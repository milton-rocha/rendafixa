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ltonrocha/Documents/Posts Medium/13. Quebra de risco NTNB/"/>
    </mc:Choice>
  </mc:AlternateContent>
  <xr:revisionPtr revIDLastSave="0" documentId="13_ncr:1_{B4EDBA3D-C88E-BF40-A158-90E851161AA7}" xr6:coauthVersionLast="47" xr6:coauthVersionMax="47" xr10:uidLastSave="{00000000-0000-0000-0000-000000000000}"/>
  <bookViews>
    <workbookView xWindow="360" yWindow="0" windowWidth="28040" windowHeight="17440" xr2:uid="{6258B918-2B0C-2C45-A67E-0DE03EB213CF}"/>
  </bookViews>
  <sheets>
    <sheet name="Dashboard" sheetId="3" r:id="rId1"/>
    <sheet name="Simulador" sheetId="8" r:id="rId2"/>
    <sheet name="TxInd_Anbima" sheetId="5" state="hidden" r:id="rId3"/>
    <sheet name="Svensson" sheetId="10" state="hidden" r:id="rId4"/>
    <sheet name="Pre_DI" sheetId="6" state="hidden" r:id="rId5"/>
    <sheet name="bonds" sheetId="1" r:id="rId6"/>
    <sheet name="feriados" sheetId="2" state="hidden" r:id="rId7"/>
  </sheets>
  <functionGroups builtInGroupCount="19"/>
  <definedNames>
    <definedName name="_xlchart.v1.0" hidden="1">Pre_DI!$F$1</definedName>
    <definedName name="_xlchart.v1.1" hidden="1">Pre_DI!$F$3:$F$40</definedName>
    <definedName name="_xlchart.v1.10" hidden="1">Pre_DI!$F$1</definedName>
    <definedName name="_xlchart.v1.11" hidden="1">Pre_DI!$F$3:$F$40</definedName>
    <definedName name="_xlchart.v1.12" hidden="1">Simulador!$B$5:$B$147</definedName>
    <definedName name="_xlchart.v1.13" hidden="1">Simulador!$I$4</definedName>
    <definedName name="_xlchart.v1.14" hidden="1">Simulador!$I$5:$I$147</definedName>
    <definedName name="_xlchart.v1.15" hidden="1">Pre_DI!$F$1</definedName>
    <definedName name="_xlchart.v1.16" hidden="1">Pre_DI!$F$3:$F$40</definedName>
    <definedName name="_xlchart.v1.17" hidden="1">Simulador!$B$5:$B$147</definedName>
    <definedName name="_xlchart.v1.18" hidden="1">Simulador!$I$4</definedName>
    <definedName name="_xlchart.v1.19" hidden="1">Simulador!$I$5:$I$147</definedName>
    <definedName name="_xlchart.v1.2" hidden="1">Simulador!$B$5:$B$147</definedName>
    <definedName name="_xlchart.v1.20" hidden="1">Pre_DI!$F$1</definedName>
    <definedName name="_xlchart.v1.21" hidden="1">Pre_DI!$F$3:$F$40</definedName>
    <definedName name="_xlchart.v1.22" hidden="1">Simulador!$B$5:$B$147</definedName>
    <definedName name="_xlchart.v1.23" hidden="1">Simulador!$I$4</definedName>
    <definedName name="_xlchart.v1.24" hidden="1">Simulador!$I$5:$I$147</definedName>
    <definedName name="_xlchart.v1.25" hidden="1">Simulador!$U$5</definedName>
    <definedName name="_xlchart.v1.26" hidden="1">Simulador!$U$6</definedName>
    <definedName name="_xlchart.v1.27" hidden="1">Simulador!$V$4:$Z$4</definedName>
    <definedName name="_xlchart.v1.28" hidden="1">Simulador!$V$5:$Z$5</definedName>
    <definedName name="_xlchart.v1.29" hidden="1">Simulador!$V$6:$Z$6</definedName>
    <definedName name="_xlchart.v1.3" hidden="1">Simulador!$I$4</definedName>
    <definedName name="_xlchart.v1.30" hidden="1">Svensson!$A$8:$A$126</definedName>
    <definedName name="_xlchart.v1.31" hidden="1">Svensson!$B$7</definedName>
    <definedName name="_xlchart.v1.32" hidden="1">Svensson!$B$8:$B$126</definedName>
    <definedName name="_xlchart.v1.33" hidden="1">Svensson!$C$7</definedName>
    <definedName name="_xlchart.v1.34" hidden="1">Svensson!$C$8:$C$126</definedName>
    <definedName name="_xlchart.v1.35" hidden="1">Svensson!$D$7</definedName>
    <definedName name="_xlchart.v1.36" hidden="1">Svensson!$D$8:$D$126</definedName>
    <definedName name="_xlchart.v1.37" hidden="1">Svensson!$E$7</definedName>
    <definedName name="_xlchart.v1.38" hidden="1">Svensson!$E$8:$E$126</definedName>
    <definedName name="_xlchart.v1.39" hidden="1">Svensson!$A$8:$A$126</definedName>
    <definedName name="_xlchart.v1.4" hidden="1">Simulador!$I$5:$I$147</definedName>
    <definedName name="_xlchart.v1.40" hidden="1">Svensson!$B$7</definedName>
    <definedName name="_xlchart.v1.41" hidden="1">Svensson!$B$8:$B$126</definedName>
    <definedName name="_xlchart.v1.42" hidden="1">Svensson!$C$7</definedName>
    <definedName name="_xlchart.v1.43" hidden="1">Svensson!$C$8:$C$126</definedName>
    <definedName name="_xlchart.v1.44" hidden="1">Svensson!$D$7</definedName>
    <definedName name="_xlchart.v1.45" hidden="1">Svensson!$D$8:$D$126</definedName>
    <definedName name="_xlchart.v1.46" hidden="1">Svensson!$E$7</definedName>
    <definedName name="_xlchart.v1.47" hidden="1">Svensson!$E$8:$E$126</definedName>
    <definedName name="_xlchart.v1.5" hidden="1">Pre_DI!$F$1</definedName>
    <definedName name="_xlchart.v1.6" hidden="1">Pre_DI!$F$3:$F$40</definedName>
    <definedName name="_xlchart.v1.7" hidden="1">Simulador!$B$5:$B$147</definedName>
    <definedName name="_xlchart.v1.8" hidden="1">Simulador!$I$4</definedName>
    <definedName name="_xlchart.v1.9" hidden="1">Simulador!$I$5:$I$147</definedName>
    <definedName name="betas_implicita">Svensson!$B$5:$G$5</definedName>
    <definedName name="betas_pre">Svensson!$B$2:$G$2</definedName>
    <definedName name="betas_real_spot">Svensson!$B$4:$G$4</definedName>
    <definedName name="betas_real_ytm">Svensson!$B$3:$G$3</definedName>
    <definedName name="curve_type">Dashboard!$C$14</definedName>
    <definedName name="dus_implicita">TxInd_Anbima!$O$3:$O$17</definedName>
    <definedName name="dus_pre">Pre_DI!$E$2:$E$40</definedName>
    <definedName name="dus_real">TxInd_Anbima!$D$3:$D$17</definedName>
    <definedName name="dus_svensson">Svensson!$A$8:$A$126</definedName>
    <definedName name="feriados">feriados!$A$1:$A$936</definedName>
    <definedName name="method">Dashboard!$C$13</definedName>
    <definedName name="pre_shocks">Simulador!$V$5:$Z$5</definedName>
    <definedName name="summary_exposures">Dashboard!$C$53:$G$53</definedName>
    <definedName name="svensson_implicita">Svensson!$E$8:$E$126</definedName>
    <definedName name="svensson_pre">Svensson!$B$8:$B$126</definedName>
    <definedName name="svensson_real_spot">Svensson!$D$8:$D$126</definedName>
    <definedName name="svensson_real_ytm">Svensson!$C$8:$C$126</definedName>
    <definedName name="val_date">Dashboard!$C$10</definedName>
    <definedName name="VNA">Dashboard!$C$11</definedName>
    <definedName name="yields_implicita">TxInd_Anbima!$R$3:$R$17</definedName>
    <definedName name="yields_pre">Pre_DI!$F$2:$F$40</definedName>
    <definedName name="yields_real">TxInd_Anbima!$G$3:$G$17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 a="1"/>
  <c r="F6" i="1" a="1"/>
  <c r="F3" i="1" a="1"/>
  <c r="F15" i="1" a="1"/>
  <c r="F20" i="1" a="1"/>
  <c r="F31" i="1" a="1"/>
  <c r="F36" i="1" a="1"/>
  <c r="F47" i="1" a="1"/>
  <c r="F52" i="1" a="1"/>
  <c r="F61" i="1" a="1"/>
  <c r="F70" i="1" a="1"/>
  <c r="F75" i="1" a="1"/>
  <c r="F84" i="1" a="1"/>
  <c r="F93" i="1" a="1"/>
  <c r="F102" i="1" a="1"/>
  <c r="F107" i="1" a="1"/>
  <c r="F116" i="1" a="1"/>
  <c r="F125" i="1" a="1"/>
  <c r="F134" i="1" a="1"/>
  <c r="F139" i="1" a="1"/>
  <c r="F148" i="1" a="1"/>
  <c r="F157" i="1" a="1"/>
  <c r="F166" i="1" a="1"/>
  <c r="F171" i="1" a="1"/>
  <c r="F180" i="1" a="1"/>
  <c r="F189" i="1" a="1"/>
  <c r="F198" i="1" a="1"/>
  <c r="F203" i="1" a="1"/>
  <c r="F212" i="1" a="1"/>
  <c r="F221" i="1" a="1"/>
  <c r="F230" i="1" a="1"/>
  <c r="F235" i="1" a="1"/>
  <c r="F244" i="1" a="1"/>
  <c r="F253" i="1" a="1"/>
  <c r="F262" i="1" a="1"/>
  <c r="F267" i="1" a="1"/>
  <c r="F276" i="1" a="1"/>
  <c r="F285" i="1" a="1"/>
  <c r="F294" i="1" a="1"/>
  <c r="F299" i="1" a="1"/>
  <c r="F308" i="1" a="1"/>
  <c r="F317" i="1" a="1"/>
  <c r="F326" i="1" a="1"/>
  <c r="F331" i="1" a="1"/>
  <c r="F340" i="1" a="1"/>
  <c r="F344" i="1" a="1"/>
  <c r="F348" i="1" a="1"/>
  <c r="F352" i="1" a="1"/>
  <c r="F356" i="1" a="1"/>
  <c r="F360" i="1" a="1"/>
  <c r="F368" i="1" a="1"/>
  <c r="F376" i="1" a="1"/>
  <c r="F22" i="1" a="1"/>
  <c r="F95" i="1" a="1"/>
  <c r="F122" i="1" a="1"/>
  <c r="F145" i="1" a="1"/>
  <c r="F186" i="1" a="1"/>
  <c r="F209" i="1" a="1"/>
  <c r="F232" i="1" a="1"/>
  <c r="F287" i="1" a="1"/>
  <c r="F10" i="1" a="1"/>
  <c r="F21" i="1" a="1"/>
  <c r="F26" i="1" a="1"/>
  <c r="F37" i="1" a="1"/>
  <c r="F42" i="1" a="1"/>
  <c r="F57" i="1" a="1"/>
  <c r="F66" i="1" a="1"/>
  <c r="F71" i="1" a="1"/>
  <c r="F80" i="1" a="1"/>
  <c r="F89" i="1" a="1"/>
  <c r="F98" i="1" a="1"/>
  <c r="F103" i="1" a="1"/>
  <c r="F112" i="1" a="1"/>
  <c r="F121" i="1" a="1"/>
  <c r="F130" i="1" a="1"/>
  <c r="F135" i="1" a="1"/>
  <c r="F144" i="1" a="1"/>
  <c r="F153" i="1" a="1"/>
  <c r="F162" i="1" a="1"/>
  <c r="F167" i="1" a="1"/>
  <c r="F176" i="1" a="1"/>
  <c r="F185" i="1" a="1"/>
  <c r="F194" i="1" a="1"/>
  <c r="F199" i="1" a="1"/>
  <c r="F208" i="1" a="1"/>
  <c r="F217" i="1" a="1"/>
  <c r="F226" i="1" a="1"/>
  <c r="F231" i="1" a="1"/>
  <c r="F240" i="1" a="1"/>
  <c r="F249" i="1" a="1"/>
  <c r="F258" i="1" a="1"/>
  <c r="F263" i="1" a="1"/>
  <c r="F272" i="1" a="1"/>
  <c r="F281" i="1" a="1"/>
  <c r="F290" i="1" a="1"/>
  <c r="F295" i="1" a="1"/>
  <c r="F304" i="1" a="1"/>
  <c r="F313" i="1" a="1"/>
  <c r="F322" i="1" a="1"/>
  <c r="F327" i="1" a="1"/>
  <c r="F336" i="1" a="1"/>
  <c r="F323" i="1" a="1"/>
  <c r="F341" i="1" a="1"/>
  <c r="F349" i="1" a="1"/>
  <c r="F353" i="1" a="1"/>
  <c r="F361" i="1" a="1"/>
  <c r="F365" i="1" a="1"/>
  <c r="F373" i="1" a="1"/>
  <c r="F381" i="1" a="1"/>
  <c r="F49" i="1" a="1"/>
  <c r="F81" i="1" a="1"/>
  <c r="F104" i="1" a="1"/>
  <c r="F136" i="1" a="1"/>
  <c r="F177" i="1" a="1"/>
  <c r="F218" i="1" a="1"/>
  <c r="F255" i="1" a="1"/>
  <c r="F282" i="1" a="1"/>
  <c r="F305" i="1" a="1"/>
  <c r="F4" i="1" a="1"/>
  <c r="F11" i="1" a="1"/>
  <c r="F16" i="1" a="1"/>
  <c r="F27" i="1" a="1"/>
  <c r="F32" i="1" a="1"/>
  <c r="F43" i="1" a="1"/>
  <c r="F48" i="1" a="1"/>
  <c r="F53" i="1" a="1"/>
  <c r="F62" i="1" a="1"/>
  <c r="F67" i="1" a="1"/>
  <c r="F76" i="1" a="1"/>
  <c r="F85" i="1" a="1"/>
  <c r="F94" i="1" a="1"/>
  <c r="F99" i="1" a="1"/>
  <c r="F108" i="1" a="1"/>
  <c r="F117" i="1" a="1"/>
  <c r="F126" i="1" a="1"/>
  <c r="F131" i="1" a="1"/>
  <c r="F140" i="1" a="1"/>
  <c r="F149" i="1" a="1"/>
  <c r="F158" i="1" a="1"/>
  <c r="F163" i="1" a="1"/>
  <c r="F172" i="1" a="1"/>
  <c r="F181" i="1" a="1"/>
  <c r="F190" i="1" a="1"/>
  <c r="F195" i="1" a="1"/>
  <c r="F204" i="1" a="1"/>
  <c r="F213" i="1" a="1"/>
  <c r="F222" i="1" a="1"/>
  <c r="F227" i="1" a="1"/>
  <c r="F236" i="1" a="1"/>
  <c r="F245" i="1" a="1"/>
  <c r="F254" i="1" a="1"/>
  <c r="F259" i="1" a="1"/>
  <c r="F268" i="1" a="1"/>
  <c r="F277" i="1" a="1"/>
  <c r="F286" i="1" a="1"/>
  <c r="F291" i="1" a="1"/>
  <c r="F300" i="1" a="1"/>
  <c r="F309" i="1" a="1"/>
  <c r="F318" i="1" a="1"/>
  <c r="F332" i="1" a="1"/>
  <c r="F345" i="1" a="1"/>
  <c r="F357" i="1" a="1"/>
  <c r="F369" i="1" a="1"/>
  <c r="F377" i="1" a="1"/>
  <c r="F385" i="1" a="1"/>
  <c r="F17" i="1" a="1"/>
  <c r="F33" i="1" a="1"/>
  <c r="F38" i="1" a="1"/>
  <c r="F63" i="1" a="1"/>
  <c r="F90" i="1" a="1"/>
  <c r="F113" i="1" a="1"/>
  <c r="F154" i="1" a="1"/>
  <c r="F191" i="1" a="1"/>
  <c r="F223" i="1" a="1"/>
  <c r="F250" i="1" a="1"/>
  <c r="F273" i="1" a="1"/>
  <c r="F296" i="1" a="1"/>
  <c r="F5" i="1" a="1"/>
  <c r="F7" i="1" a="1"/>
  <c r="F12" i="1" a="1"/>
  <c r="F23" i="1" a="1"/>
  <c r="F13" i="1" a="1"/>
  <c r="F18" i="1" a="1"/>
  <c r="F29" i="1" a="1"/>
  <c r="F9" i="1" a="1"/>
  <c r="F14" i="1" a="1"/>
  <c r="F25" i="1" a="1"/>
  <c r="F30" i="1" a="1"/>
  <c r="F41" i="1" a="1"/>
  <c r="F46" i="1" a="1"/>
  <c r="F56" i="1" a="1"/>
  <c r="F65" i="1" a="1"/>
  <c r="F74" i="1" a="1"/>
  <c r="F79" i="1" a="1"/>
  <c r="F88" i="1" a="1"/>
  <c r="F97" i="1" a="1"/>
  <c r="F106" i="1" a="1"/>
  <c r="F111" i="1" a="1"/>
  <c r="F120" i="1" a="1"/>
  <c r="F129" i="1" a="1"/>
  <c r="F138" i="1" a="1"/>
  <c r="F143" i="1" a="1"/>
  <c r="F152" i="1" a="1"/>
  <c r="F161" i="1" a="1"/>
  <c r="F170" i="1" a="1"/>
  <c r="F175" i="1" a="1"/>
  <c r="F184" i="1" a="1"/>
  <c r="F193" i="1" a="1"/>
  <c r="F202" i="1" a="1"/>
  <c r="F207" i="1" a="1"/>
  <c r="F216" i="1" a="1"/>
  <c r="F225" i="1" a="1"/>
  <c r="F234" i="1" a="1"/>
  <c r="F239" i="1" a="1"/>
  <c r="F248" i="1" a="1"/>
  <c r="F257" i="1" a="1"/>
  <c r="F266" i="1" a="1"/>
  <c r="F271" i="1" a="1"/>
  <c r="F280" i="1" a="1"/>
  <c r="F289" i="1" a="1"/>
  <c r="F298" i="1" a="1"/>
  <c r="F303" i="1" a="1"/>
  <c r="F312" i="1" a="1"/>
  <c r="F321" i="1" a="1"/>
  <c r="F330" i="1" a="1"/>
  <c r="F335" i="1" a="1"/>
  <c r="F364" i="1" a="1"/>
  <c r="F372" i="1" a="1"/>
  <c r="F380" i="1" a="1"/>
  <c r="F384" i="1" a="1"/>
  <c r="F58" i="1" a="1"/>
  <c r="F72" i="1" a="1"/>
  <c r="F127" i="1" a="1"/>
  <c r="F168" i="1" a="1"/>
  <c r="F200" i="1" a="1"/>
  <c r="F241" i="1" a="1"/>
  <c r="F264" i="1" a="1"/>
  <c r="F8" i="1" a="1"/>
  <c r="F35" i="1" a="1"/>
  <c r="F50" i="1" a="1"/>
  <c r="F87" i="1" a="1"/>
  <c r="F100" i="1" a="1"/>
  <c r="F110" i="1" a="1"/>
  <c r="F147" i="1" a="1"/>
  <c r="F183" i="1" a="1"/>
  <c r="F196" i="1" a="1"/>
  <c r="F206" i="1" a="1"/>
  <c r="F243" i="1" a="1"/>
  <c r="F256" i="1" a="1"/>
  <c r="F269" i="1" a="1"/>
  <c r="F302" i="1" a="1"/>
  <c r="F314" i="1" a="1"/>
  <c r="F358" i="1" a="1"/>
  <c r="F374" i="1" a="1"/>
  <c r="F68" i="1" a="1"/>
  <c r="F141" i="1" a="1"/>
  <c r="F211" i="1" a="1"/>
  <c r="F284" i="1" a="1"/>
  <c r="F325" i="1" a="1"/>
  <c r="F359" i="1" a="1"/>
  <c r="F118" i="1" a="1"/>
  <c r="F201" i="1" a="1"/>
  <c r="F261" i="1" a="1"/>
  <c r="F337" i="1" a="1"/>
  <c r="F165" i="1" a="1"/>
  <c r="F288" i="1" a="1"/>
  <c r="F346" i="1" a="1"/>
  <c r="F378" i="1" a="1"/>
  <c r="F96" i="1" a="1"/>
  <c r="F179" i="1" a="1"/>
  <c r="F252" i="1" a="1"/>
  <c r="F311" i="1" a="1"/>
  <c r="F39" i="1" a="1"/>
  <c r="F51" i="1" a="1"/>
  <c r="F64" i="1" a="1"/>
  <c r="F77" i="1" a="1"/>
  <c r="F124" i="1" a="1"/>
  <c r="F137" i="1" a="1"/>
  <c r="F150" i="1" a="1"/>
  <c r="F160" i="1" a="1"/>
  <c r="F173" i="1" a="1"/>
  <c r="F220" i="1" a="1"/>
  <c r="F233" i="1" a="1"/>
  <c r="F246" i="1" a="1"/>
  <c r="F283" i="1" a="1"/>
  <c r="F293" i="1" a="1"/>
  <c r="F315" i="1" a="1"/>
  <c r="F324" i="1" a="1"/>
  <c r="F333" i="1" a="1"/>
  <c r="F342" i="1" a="1"/>
  <c r="F350" i="1" a="1"/>
  <c r="F366" i="1" a="1"/>
  <c r="F382" i="1" a="1"/>
  <c r="F224" i="1" a="1"/>
  <c r="F297" i="1" a="1"/>
  <c r="F334" i="1" a="1"/>
  <c r="F367" i="1" a="1"/>
  <c r="F105" i="1" a="1"/>
  <c r="F188" i="1" a="1"/>
  <c r="F328" i="1" a="1"/>
  <c r="F228" i="1" a="1"/>
  <c r="F275" i="1" a="1"/>
  <c r="F354" i="1" a="1"/>
  <c r="F386" i="1" a="1"/>
  <c r="F83" i="1" a="1"/>
  <c r="F205" i="1" a="1"/>
  <c r="F301" i="1" a="1"/>
  <c r="F338" i="1" a="1"/>
  <c r="F19" i="1" a="1"/>
  <c r="F54" i="1" a="1"/>
  <c r="F91" i="1" a="1"/>
  <c r="F101" i="1" a="1"/>
  <c r="F114" i="1" a="1"/>
  <c r="F151" i="1" a="1"/>
  <c r="F187" i="1" a="1"/>
  <c r="F197" i="1" a="1"/>
  <c r="F210" i="1" a="1"/>
  <c r="F247" i="1" a="1"/>
  <c r="F260" i="1" a="1"/>
  <c r="F270" i="1" a="1"/>
  <c r="F306" i="1" a="1"/>
  <c r="F40" i="1" a="1"/>
  <c r="F55" i="1" a="1"/>
  <c r="F78" i="1" a="1"/>
  <c r="F115" i="1" a="1"/>
  <c r="F174" i="1" a="1"/>
  <c r="F316" i="1" a="1"/>
  <c r="F343" i="1" a="1"/>
  <c r="F375" i="1" a="1"/>
  <c r="F251" i="1" a="1"/>
  <c r="F319" i="1" a="1"/>
  <c r="F178" i="1" a="1"/>
  <c r="F310" i="1" a="1"/>
  <c r="F370" i="1" a="1"/>
  <c r="F109" i="1" a="1"/>
  <c r="F192" i="1" a="1"/>
  <c r="F265" i="1" a="1"/>
  <c r="F320" i="1" a="1"/>
  <c r="F24" i="1" a="1"/>
  <c r="F164" i="1" a="1"/>
  <c r="F28" i="1" a="1"/>
  <c r="F44" i="1" a="1"/>
  <c r="F92" i="1" a="1"/>
  <c r="F45" i="1" a="1"/>
  <c r="F59" i="1" a="1"/>
  <c r="F69" i="1" a="1"/>
  <c r="F82" i="1" a="1"/>
  <c r="F119" i="1" a="1"/>
  <c r="F132" i="1" a="1"/>
  <c r="F142" i="1" a="1"/>
  <c r="F238" i="1" a="1"/>
  <c r="F34" i="1" a="1"/>
  <c r="F60" i="1" a="1"/>
  <c r="F73" i="1" a="1"/>
  <c r="F86" i="1" a="1"/>
  <c r="F123" i="1" a="1"/>
  <c r="F133" i="1" a="1"/>
  <c r="F146" i="1" a="1"/>
  <c r="F159" i="1" a="1"/>
  <c r="F169" i="1" a="1"/>
  <c r="F182" i="1" a="1"/>
  <c r="F219" i="1" a="1"/>
  <c r="F229" i="1" a="1"/>
  <c r="F242" i="1" a="1"/>
  <c r="F279" i="1" a="1"/>
  <c r="F292" i="1" a="1"/>
  <c r="F339" i="1" a="1"/>
  <c r="F347" i="1" a="1"/>
  <c r="F355" i="1" a="1"/>
  <c r="F363" i="1" a="1"/>
  <c r="F371" i="1" a="1"/>
  <c r="F379" i="1" a="1"/>
  <c r="F128" i="1" a="1"/>
  <c r="F237" i="1" a="1"/>
  <c r="F307" i="1" a="1"/>
  <c r="F351" i="1" a="1"/>
  <c r="F383" i="1" a="1"/>
  <c r="F155" i="1" a="1"/>
  <c r="F214" i="1" a="1"/>
  <c r="F274" i="1" a="1"/>
  <c r="F215" i="1" a="1"/>
  <c r="F362" i="1" a="1"/>
  <c r="F156" i="1" a="1"/>
  <c r="F278" i="1" a="1"/>
  <c r="F329" i="1" a="1"/>
  <c r="L386" i="1" a="1"/>
  <c r="F329" i="1" l="1"/>
  <c r="F278" i="1"/>
  <c r="F156" i="1"/>
  <c r="F362" i="1"/>
  <c r="F215" i="1"/>
  <c r="F274" i="1"/>
  <c r="F214" i="1"/>
  <c r="F155" i="1"/>
  <c r="F383" i="1"/>
  <c r="F351" i="1"/>
  <c r="F307" i="1"/>
  <c r="F237" i="1"/>
  <c r="F128" i="1"/>
  <c r="F379" i="1"/>
  <c r="F371" i="1"/>
  <c r="F363" i="1"/>
  <c r="F355" i="1"/>
  <c r="F347" i="1"/>
  <c r="F339" i="1"/>
  <c r="F292" i="1"/>
  <c r="F279" i="1"/>
  <c r="F242" i="1"/>
  <c r="F229" i="1"/>
  <c r="F219" i="1"/>
  <c r="F182" i="1"/>
  <c r="F169" i="1"/>
  <c r="F159" i="1"/>
  <c r="F146" i="1"/>
  <c r="F133" i="1"/>
  <c r="F123" i="1"/>
  <c r="F86" i="1"/>
  <c r="F73" i="1"/>
  <c r="F60" i="1"/>
  <c r="F34" i="1"/>
  <c r="F238" i="1"/>
  <c r="F142" i="1"/>
  <c r="F132" i="1"/>
  <c r="F119" i="1"/>
  <c r="F82" i="1"/>
  <c r="F69" i="1"/>
  <c r="F59" i="1"/>
  <c r="F45" i="1"/>
  <c r="F92" i="1"/>
  <c r="F44" i="1"/>
  <c r="F28" i="1"/>
  <c r="F164" i="1"/>
  <c r="F24" i="1"/>
  <c r="F320" i="1"/>
  <c r="F265" i="1"/>
  <c r="F192" i="1"/>
  <c r="F109" i="1"/>
  <c r="F370" i="1"/>
  <c r="F310" i="1"/>
  <c r="F178" i="1"/>
  <c r="F319" i="1"/>
  <c r="F251" i="1"/>
  <c r="F375" i="1"/>
  <c r="F343" i="1"/>
  <c r="F316" i="1"/>
  <c r="F174" i="1"/>
  <c r="F115" i="1"/>
  <c r="F78" i="1"/>
  <c r="F55" i="1"/>
  <c r="F40" i="1"/>
  <c r="F306" i="1"/>
  <c r="F270" i="1"/>
  <c r="F260" i="1"/>
  <c r="F247" i="1"/>
  <c r="F210" i="1"/>
  <c r="F197" i="1"/>
  <c r="F187" i="1"/>
  <c r="F151" i="1"/>
  <c r="F114" i="1"/>
  <c r="F101" i="1"/>
  <c r="F91" i="1"/>
  <c r="F54" i="1"/>
  <c r="F19" i="1"/>
  <c r="F338" i="1"/>
  <c r="F301" i="1"/>
  <c r="F205" i="1"/>
  <c r="F83" i="1"/>
  <c r="F386" i="1"/>
  <c r="F354" i="1"/>
  <c r="F275" i="1"/>
  <c r="F228" i="1"/>
  <c r="F328" i="1"/>
  <c r="F188" i="1"/>
  <c r="F105" i="1"/>
  <c r="F367" i="1"/>
  <c r="F334" i="1"/>
  <c r="F297" i="1"/>
  <c r="F224" i="1"/>
  <c r="F382" i="1"/>
  <c r="F366" i="1"/>
  <c r="F350" i="1"/>
  <c r="F342" i="1"/>
  <c r="F333" i="1"/>
  <c r="F324" i="1"/>
  <c r="F315" i="1"/>
  <c r="F293" i="1"/>
  <c r="F283" i="1"/>
  <c r="F246" i="1"/>
  <c r="F233" i="1"/>
  <c r="F220" i="1"/>
  <c r="F173" i="1"/>
  <c r="F160" i="1"/>
  <c r="F150" i="1"/>
  <c r="F137" i="1"/>
  <c r="F124" i="1"/>
  <c r="F77" i="1"/>
  <c r="F64" i="1"/>
  <c r="F51" i="1"/>
  <c r="F39" i="1"/>
  <c r="F311" i="1"/>
  <c r="F252" i="1"/>
  <c r="F179" i="1"/>
  <c r="F96" i="1"/>
  <c r="F378" i="1"/>
  <c r="F346" i="1"/>
  <c r="F288" i="1"/>
  <c r="F165" i="1"/>
  <c r="F337" i="1"/>
  <c r="F261" i="1"/>
  <c r="F201" i="1"/>
  <c r="F118" i="1"/>
  <c r="F359" i="1"/>
  <c r="F325" i="1"/>
  <c r="F284" i="1"/>
  <c r="F211" i="1"/>
  <c r="F141" i="1"/>
  <c r="F68" i="1"/>
  <c r="F374" i="1"/>
  <c r="F358" i="1"/>
  <c r="F314" i="1"/>
  <c r="F302" i="1"/>
  <c r="F269" i="1"/>
  <c r="F256" i="1"/>
  <c r="F243" i="1"/>
  <c r="F206" i="1"/>
  <c r="F196" i="1"/>
  <c r="F183" i="1"/>
  <c r="F147" i="1"/>
  <c r="F110" i="1"/>
  <c r="F100" i="1"/>
  <c r="F87" i="1"/>
  <c r="F50" i="1"/>
  <c r="F35" i="1"/>
  <c r="F8" i="1"/>
  <c r="F264" i="1"/>
  <c r="F241" i="1"/>
  <c r="F200" i="1"/>
  <c r="F168" i="1"/>
  <c r="F127" i="1"/>
  <c r="F72" i="1"/>
  <c r="F58" i="1"/>
  <c r="F384" i="1"/>
  <c r="F380" i="1"/>
  <c r="F372" i="1"/>
  <c r="F364" i="1"/>
  <c r="F335" i="1"/>
  <c r="F330" i="1"/>
  <c r="F321" i="1"/>
  <c r="F312" i="1"/>
  <c r="F303" i="1"/>
  <c r="F298" i="1"/>
  <c r="F289" i="1"/>
  <c r="F280" i="1"/>
  <c r="F271" i="1"/>
  <c r="F266" i="1"/>
  <c r="F257" i="1"/>
  <c r="F248" i="1"/>
  <c r="F239" i="1"/>
  <c r="F234" i="1"/>
  <c r="F225" i="1"/>
  <c r="F216" i="1"/>
  <c r="F207" i="1"/>
  <c r="F202" i="1"/>
  <c r="F193" i="1"/>
  <c r="F184" i="1"/>
  <c r="F175" i="1"/>
  <c r="F170" i="1"/>
  <c r="F161" i="1"/>
  <c r="F152" i="1"/>
  <c r="F143" i="1"/>
  <c r="F138" i="1"/>
  <c r="F129" i="1"/>
  <c r="F120" i="1"/>
  <c r="F111" i="1"/>
  <c r="F106" i="1"/>
  <c r="F97" i="1"/>
  <c r="F88" i="1"/>
  <c r="F79" i="1"/>
  <c r="F74" i="1"/>
  <c r="F65" i="1"/>
  <c r="F56" i="1"/>
  <c r="F46" i="1"/>
  <c r="F41" i="1"/>
  <c r="F30" i="1"/>
  <c r="F25" i="1"/>
  <c r="F14" i="1"/>
  <c r="F9" i="1"/>
  <c r="F29" i="1"/>
  <c r="F18" i="1"/>
  <c r="F13" i="1"/>
  <c r="F23" i="1"/>
  <c r="F12" i="1"/>
  <c r="F7" i="1"/>
  <c r="F5" i="1"/>
  <c r="F296" i="1"/>
  <c r="F273" i="1"/>
  <c r="F250" i="1"/>
  <c r="F223" i="1"/>
  <c r="F191" i="1"/>
  <c r="F154" i="1"/>
  <c r="F113" i="1"/>
  <c r="F90" i="1"/>
  <c r="F63" i="1"/>
  <c r="F38" i="1"/>
  <c r="F33" i="1"/>
  <c r="F17" i="1"/>
  <c r="F385" i="1"/>
  <c r="F377" i="1"/>
  <c r="F369" i="1"/>
  <c r="F357" i="1"/>
  <c r="F345" i="1"/>
  <c r="F332" i="1"/>
  <c r="F318" i="1"/>
  <c r="F309" i="1"/>
  <c r="F300" i="1"/>
  <c r="F291" i="1"/>
  <c r="F286" i="1"/>
  <c r="F277" i="1"/>
  <c r="F268" i="1"/>
  <c r="F259" i="1"/>
  <c r="F254" i="1"/>
  <c r="F245" i="1"/>
  <c r="F236" i="1"/>
  <c r="F227" i="1"/>
  <c r="F222" i="1"/>
  <c r="F213" i="1"/>
  <c r="F204" i="1"/>
  <c r="F195" i="1"/>
  <c r="F190" i="1"/>
  <c r="F181" i="1"/>
  <c r="F172" i="1"/>
  <c r="F163" i="1"/>
  <c r="F158" i="1"/>
  <c r="F149" i="1"/>
  <c r="F140" i="1"/>
  <c r="F131" i="1"/>
  <c r="F126" i="1"/>
  <c r="F117" i="1"/>
  <c r="F108" i="1"/>
  <c r="F99" i="1"/>
  <c r="F94" i="1"/>
  <c r="F85" i="1"/>
  <c r="F76" i="1"/>
  <c r="F67" i="1"/>
  <c r="F62" i="1"/>
  <c r="F53" i="1"/>
  <c r="F48" i="1"/>
  <c r="F43" i="1"/>
  <c r="F32" i="1"/>
  <c r="F27" i="1"/>
  <c r="F16" i="1"/>
  <c r="F11" i="1"/>
  <c r="F4" i="1"/>
  <c r="F305" i="1"/>
  <c r="F282" i="1"/>
  <c r="F255" i="1"/>
  <c r="F218" i="1"/>
  <c r="F177" i="1"/>
  <c r="F136" i="1"/>
  <c r="F104" i="1"/>
  <c r="F81" i="1"/>
  <c r="F49" i="1"/>
  <c r="F381" i="1"/>
  <c r="F373" i="1"/>
  <c r="F365" i="1"/>
  <c r="F361" i="1"/>
  <c r="F353" i="1"/>
  <c r="F349" i="1"/>
  <c r="F341" i="1"/>
  <c r="F323" i="1"/>
  <c r="F336" i="1"/>
  <c r="F327" i="1"/>
  <c r="F322" i="1"/>
  <c r="F313" i="1"/>
  <c r="F304" i="1"/>
  <c r="F295" i="1"/>
  <c r="F290" i="1"/>
  <c r="F281" i="1"/>
  <c r="F272" i="1"/>
  <c r="F263" i="1"/>
  <c r="F258" i="1"/>
  <c r="F249" i="1"/>
  <c r="F240" i="1"/>
  <c r="F231" i="1"/>
  <c r="F226" i="1"/>
  <c r="F217" i="1"/>
  <c r="F208" i="1"/>
  <c r="F199" i="1"/>
  <c r="F194" i="1"/>
  <c r="F185" i="1"/>
  <c r="F176" i="1"/>
  <c r="F167" i="1"/>
  <c r="F162" i="1"/>
  <c r="F153" i="1"/>
  <c r="F144" i="1"/>
  <c r="F135" i="1"/>
  <c r="F130" i="1"/>
  <c r="F121" i="1"/>
  <c r="F112" i="1"/>
  <c r="F103" i="1"/>
  <c r="F98" i="1"/>
  <c r="F89" i="1"/>
  <c r="F80" i="1"/>
  <c r="F71" i="1"/>
  <c r="F66" i="1"/>
  <c r="F57" i="1"/>
  <c r="F42" i="1"/>
  <c r="F37" i="1"/>
  <c r="F26" i="1"/>
  <c r="F21" i="1"/>
  <c r="F10" i="1"/>
  <c r="F287" i="1"/>
  <c r="F232" i="1"/>
  <c r="F209" i="1"/>
  <c r="F186" i="1"/>
  <c r="F145" i="1"/>
  <c r="F122" i="1"/>
  <c r="F95" i="1"/>
  <c r="F22" i="1"/>
  <c r="F376" i="1"/>
  <c r="F368" i="1"/>
  <c r="F360" i="1"/>
  <c r="F356" i="1"/>
  <c r="F352" i="1"/>
  <c r="F348" i="1"/>
  <c r="F344" i="1"/>
  <c r="F340" i="1"/>
  <c r="F331" i="1"/>
  <c r="F326" i="1"/>
  <c r="F317" i="1"/>
  <c r="F308" i="1"/>
  <c r="F299" i="1"/>
  <c r="F294" i="1"/>
  <c r="F285" i="1"/>
  <c r="F276" i="1"/>
  <c r="F267" i="1"/>
  <c r="F262" i="1"/>
  <c r="F253" i="1"/>
  <c r="F244" i="1"/>
  <c r="F235" i="1"/>
  <c r="F230" i="1"/>
  <c r="F221" i="1"/>
  <c r="F212" i="1"/>
  <c r="F203" i="1"/>
  <c r="F198" i="1"/>
  <c r="F189" i="1"/>
  <c r="F180" i="1"/>
  <c r="F171" i="1"/>
  <c r="F166" i="1"/>
  <c r="F157" i="1"/>
  <c r="F148" i="1"/>
  <c r="F139" i="1"/>
  <c r="F134" i="1"/>
  <c r="F125" i="1"/>
  <c r="F116" i="1"/>
  <c r="F107" i="1"/>
  <c r="F102" i="1"/>
  <c r="F93" i="1"/>
  <c r="F84" i="1"/>
  <c r="F75" i="1"/>
  <c r="F70" i="1"/>
  <c r="F61" i="1"/>
  <c r="F52" i="1"/>
  <c r="F47" i="1"/>
  <c r="F36" i="1"/>
  <c r="F31" i="1"/>
  <c r="F20" i="1"/>
  <c r="F15" i="1"/>
  <c r="F3" i="1"/>
  <c r="F6" i="1"/>
  <c r="F2" i="1"/>
  <c r="L386" i="1"/>
  <c r="L385" i="1" a="1"/>
  <c r="L385" i="1"/>
  <c r="L384" i="1" a="1"/>
  <c r="L384" i="1"/>
  <c r="L383" i="1" a="1"/>
  <c r="L383" i="1"/>
  <c r="L382" i="1" a="1"/>
  <c r="L382" i="1"/>
  <c r="L381" i="1" a="1"/>
  <c r="L381" i="1"/>
  <c r="L380" i="1" a="1"/>
  <c r="L380" i="1"/>
  <c r="L379" i="1" a="1"/>
  <c r="L379" i="1"/>
  <c r="L378" i="1" a="1"/>
  <c r="L378" i="1"/>
  <c r="L377" i="1" a="1"/>
  <c r="L377" i="1"/>
  <c r="L376" i="1" a="1"/>
  <c r="L376" i="1"/>
  <c r="L375" i="1" a="1"/>
  <c r="L375" i="1"/>
  <c r="L374" i="1" a="1"/>
  <c r="L374" i="1"/>
  <c r="L373" i="1" a="1"/>
  <c r="L373" i="1"/>
  <c r="L372" i="1" a="1"/>
  <c r="L372" i="1"/>
  <c r="L371" i="1" a="1"/>
  <c r="L371" i="1"/>
  <c r="L370" i="1" a="1"/>
  <c r="L370" i="1"/>
  <c r="L369" i="1" a="1"/>
  <c r="L369" i="1"/>
  <c r="L368" i="1" a="1"/>
  <c r="L368" i="1"/>
  <c r="L367" i="1" a="1"/>
  <c r="L367" i="1"/>
  <c r="L366" i="1" a="1"/>
  <c r="L366" i="1"/>
  <c r="L365" i="1" a="1"/>
  <c r="L365" i="1"/>
  <c r="L364" i="1" a="1"/>
  <c r="L364" i="1"/>
  <c r="L363" i="1" a="1"/>
  <c r="L363" i="1"/>
  <c r="L362" i="1" a="1"/>
  <c r="L362" i="1"/>
  <c r="L361" i="1" a="1"/>
  <c r="L361" i="1"/>
  <c r="L360" i="1" a="1"/>
  <c r="L360" i="1"/>
  <c r="L359" i="1" a="1"/>
  <c r="L359" i="1"/>
  <c r="L358" i="1" a="1"/>
  <c r="L358" i="1"/>
  <c r="L357" i="1" a="1"/>
  <c r="L357" i="1"/>
  <c r="L356" i="1" a="1"/>
  <c r="L356" i="1"/>
  <c r="L355" i="1" a="1"/>
  <c r="L355" i="1"/>
  <c r="L354" i="1" a="1"/>
  <c r="L354" i="1"/>
  <c r="L353" i="1" a="1"/>
  <c r="L353" i="1"/>
  <c r="L352" i="1" a="1"/>
  <c r="L352" i="1"/>
  <c r="L351" i="1" a="1"/>
  <c r="L351" i="1"/>
  <c r="L350" i="1" a="1"/>
  <c r="L350" i="1"/>
  <c r="L349" i="1" a="1"/>
  <c r="L349" i="1"/>
  <c r="L348" i="1" a="1"/>
  <c r="L348" i="1"/>
  <c r="L347" i="1" a="1"/>
  <c r="L347" i="1"/>
  <c r="L346" i="1" a="1"/>
  <c r="L346" i="1"/>
  <c r="L345" i="1" a="1"/>
  <c r="L345" i="1"/>
  <c r="L344" i="1" a="1"/>
  <c r="L344" i="1"/>
  <c r="L343" i="1" a="1"/>
  <c r="L343" i="1"/>
  <c r="L342" i="1" a="1"/>
  <c r="L342" i="1"/>
  <c r="L341" i="1" a="1"/>
  <c r="L341" i="1"/>
  <c r="L340" i="1" a="1"/>
  <c r="L340" i="1"/>
  <c r="L339" i="1" a="1"/>
  <c r="L339" i="1"/>
  <c r="L338" i="1" a="1"/>
  <c r="L338" i="1"/>
  <c r="L337" i="1" a="1"/>
  <c r="L337" i="1"/>
  <c r="L336" i="1" a="1"/>
  <c r="L336" i="1"/>
  <c r="L335" i="1" a="1"/>
  <c r="L335" i="1"/>
  <c r="L334" i="1" a="1"/>
  <c r="L334" i="1"/>
  <c r="L333" i="1" a="1"/>
  <c r="L333" i="1"/>
  <c r="L332" i="1" a="1"/>
  <c r="L332" i="1"/>
  <c r="L331" i="1" a="1"/>
  <c r="L331" i="1"/>
  <c r="L330" i="1" a="1"/>
  <c r="L330" i="1"/>
  <c r="L329" i="1" a="1"/>
  <c r="L329" i="1"/>
  <c r="L328" i="1" a="1"/>
  <c r="L328" i="1"/>
  <c r="L327" i="1" a="1"/>
  <c r="L327" i="1"/>
  <c r="L326" i="1" a="1"/>
  <c r="L326" i="1"/>
  <c r="L325" i="1" a="1"/>
  <c r="L325" i="1"/>
  <c r="L324" i="1" a="1"/>
  <c r="L324" i="1"/>
  <c r="L323" i="1" a="1"/>
  <c r="L323" i="1"/>
  <c r="L322" i="1" a="1"/>
  <c r="L322" i="1"/>
  <c r="L321" i="1" a="1"/>
  <c r="L321" i="1"/>
  <c r="L320" i="1" a="1"/>
  <c r="L320" i="1"/>
  <c r="L319" i="1" a="1"/>
  <c r="L319" i="1"/>
  <c r="L318" i="1" a="1"/>
  <c r="L318" i="1"/>
  <c r="L317" i="1" a="1"/>
  <c r="L317" i="1"/>
  <c r="L316" i="1" a="1"/>
  <c r="L316" i="1"/>
  <c r="L315" i="1" a="1"/>
  <c r="L315" i="1"/>
  <c r="L314" i="1" a="1"/>
  <c r="L314" i="1"/>
  <c r="L313" i="1" a="1"/>
  <c r="L313" i="1"/>
  <c r="L312" i="1" a="1"/>
  <c r="L312" i="1"/>
  <c r="L311" i="1" a="1"/>
  <c r="L311" i="1"/>
  <c r="L310" i="1" a="1"/>
  <c r="L310" i="1"/>
  <c r="L309" i="1" a="1"/>
  <c r="L309" i="1"/>
  <c r="L308" i="1" a="1"/>
  <c r="L308" i="1"/>
  <c r="L307" i="1" a="1"/>
  <c r="L307" i="1"/>
  <c r="L306" i="1" a="1"/>
  <c r="L306" i="1"/>
  <c r="L305" i="1" a="1"/>
  <c r="L305" i="1"/>
  <c r="L304" i="1" a="1"/>
  <c r="L304" i="1"/>
  <c r="L303" i="1" a="1"/>
  <c r="L303" i="1"/>
  <c r="L302" i="1" a="1"/>
  <c r="L302" i="1"/>
  <c r="L301" i="1" a="1"/>
  <c r="L301" i="1"/>
  <c r="L300" i="1" a="1"/>
  <c r="L300" i="1"/>
  <c r="L299" i="1" a="1"/>
  <c r="L299" i="1"/>
  <c r="L298" i="1" a="1"/>
  <c r="L298" i="1"/>
  <c r="L297" i="1" a="1"/>
  <c r="L297" i="1"/>
  <c r="L296" i="1" a="1"/>
  <c r="L296" i="1"/>
  <c r="L295" i="1" a="1"/>
  <c r="L295" i="1"/>
  <c r="L294" i="1" a="1"/>
  <c r="L294" i="1"/>
  <c r="L293" i="1" a="1"/>
  <c r="L293" i="1"/>
  <c r="L292" i="1" a="1"/>
  <c r="L292" i="1"/>
  <c r="L291" i="1" a="1"/>
  <c r="L291" i="1"/>
  <c r="L290" i="1" a="1"/>
  <c r="L290" i="1"/>
  <c r="L289" i="1" a="1"/>
  <c r="L289" i="1"/>
  <c r="L288" i="1" a="1"/>
  <c r="L288" i="1"/>
  <c r="L287" i="1" a="1"/>
  <c r="L287" i="1"/>
  <c r="L286" i="1" a="1"/>
  <c r="L286" i="1"/>
  <c r="L285" i="1" a="1"/>
  <c r="L285" i="1"/>
  <c r="L284" i="1" a="1"/>
  <c r="L284" i="1"/>
  <c r="L283" i="1" a="1"/>
  <c r="L283" i="1"/>
  <c r="L282" i="1" a="1"/>
  <c r="L282" i="1"/>
  <c r="L281" i="1" a="1"/>
  <c r="L281" i="1"/>
  <c r="L280" i="1" a="1"/>
  <c r="L280" i="1"/>
  <c r="L279" i="1" a="1"/>
  <c r="L279" i="1"/>
  <c r="L278" i="1" a="1"/>
  <c r="L278" i="1"/>
  <c r="L277" i="1" a="1"/>
  <c r="L277" i="1"/>
  <c r="L276" i="1" a="1"/>
  <c r="L276" i="1"/>
  <c r="L275" i="1" a="1"/>
  <c r="L275" i="1"/>
  <c r="L274" i="1" a="1"/>
  <c r="L274" i="1"/>
  <c r="L273" i="1" a="1"/>
  <c r="L273" i="1"/>
  <c r="L272" i="1" a="1"/>
  <c r="L272" i="1"/>
  <c r="L271" i="1" a="1"/>
  <c r="L271" i="1"/>
  <c r="L270" i="1" a="1"/>
  <c r="L270" i="1"/>
  <c r="L269" i="1" a="1"/>
  <c r="L269" i="1"/>
  <c r="L268" i="1" a="1"/>
  <c r="L268" i="1"/>
  <c r="L267" i="1" a="1"/>
  <c r="L267" i="1"/>
  <c r="L266" i="1" a="1"/>
  <c r="L266" i="1"/>
  <c r="L265" i="1" a="1"/>
  <c r="L265" i="1"/>
  <c r="L264" i="1" a="1"/>
  <c r="L264" i="1"/>
  <c r="L263" i="1" a="1"/>
  <c r="L263" i="1"/>
  <c r="L262" i="1" a="1"/>
  <c r="L262" i="1"/>
  <c r="L261" i="1" a="1"/>
  <c r="L261" i="1"/>
  <c r="L260" i="1" a="1"/>
  <c r="L260" i="1"/>
  <c r="L259" i="1" a="1"/>
  <c r="L259" i="1"/>
  <c r="L258" i="1" a="1"/>
  <c r="L258" i="1"/>
  <c r="L257" i="1" a="1"/>
  <c r="L257" i="1"/>
  <c r="L256" i="1" a="1"/>
  <c r="L256" i="1"/>
  <c r="L255" i="1" a="1"/>
  <c r="L255" i="1"/>
  <c r="L254" i="1" a="1"/>
  <c r="L254" i="1"/>
  <c r="L253" i="1" a="1"/>
  <c r="L253" i="1"/>
  <c r="L252" i="1" a="1"/>
  <c r="L252" i="1"/>
  <c r="L251" i="1" a="1"/>
  <c r="L251" i="1"/>
  <c r="L250" i="1" a="1"/>
  <c r="L250" i="1"/>
  <c r="L249" i="1" a="1"/>
  <c r="L249" i="1"/>
  <c r="L248" i="1" a="1"/>
  <c r="L248" i="1"/>
  <c r="L247" i="1" a="1"/>
  <c r="L247" i="1"/>
  <c r="L246" i="1" a="1"/>
  <c r="L246" i="1"/>
  <c r="L245" i="1" a="1"/>
  <c r="L245" i="1"/>
  <c r="L244" i="1" a="1"/>
  <c r="L244" i="1"/>
  <c r="L243" i="1" a="1"/>
  <c r="L243" i="1"/>
  <c r="L242" i="1" a="1"/>
  <c r="L242" i="1"/>
  <c r="L241" i="1" a="1"/>
  <c r="L241" i="1"/>
  <c r="L240" i="1" a="1"/>
  <c r="L240" i="1"/>
  <c r="L239" i="1" a="1"/>
  <c r="L239" i="1"/>
  <c r="L238" i="1" a="1"/>
  <c r="L238" i="1"/>
  <c r="L237" i="1" a="1"/>
  <c r="L237" i="1"/>
  <c r="L236" i="1" a="1"/>
  <c r="L236" i="1"/>
  <c r="L235" i="1" a="1"/>
  <c r="L235" i="1"/>
  <c r="L234" i="1" a="1"/>
  <c r="L234" i="1"/>
  <c r="L233" i="1" a="1"/>
  <c r="L233" i="1"/>
  <c r="L232" i="1" a="1"/>
  <c r="L232" i="1"/>
  <c r="L231" i="1" a="1"/>
  <c r="L231" i="1"/>
  <c r="L230" i="1" a="1"/>
  <c r="L230" i="1"/>
  <c r="L229" i="1" a="1"/>
  <c r="L229" i="1"/>
  <c r="L228" i="1" a="1"/>
  <c r="L228" i="1"/>
  <c r="L227" i="1" a="1"/>
  <c r="L227" i="1"/>
  <c r="L226" i="1" a="1"/>
  <c r="L226" i="1"/>
  <c r="L225" i="1" a="1"/>
  <c r="L225" i="1"/>
  <c r="L224" i="1" a="1"/>
  <c r="L224" i="1"/>
  <c r="L223" i="1" a="1"/>
  <c r="L223" i="1"/>
  <c r="L222" i="1" a="1"/>
  <c r="L222" i="1"/>
  <c r="L221" i="1" a="1"/>
  <c r="L221" i="1"/>
  <c r="L220" i="1" a="1"/>
  <c r="L220" i="1"/>
  <c r="L219" i="1" a="1"/>
  <c r="L219" i="1"/>
  <c r="L218" i="1" a="1"/>
  <c r="L218" i="1"/>
  <c r="L217" i="1" a="1"/>
  <c r="L217" i="1"/>
  <c r="L216" i="1" a="1"/>
  <c r="L216" i="1"/>
  <c r="L215" i="1" a="1"/>
  <c r="L215" i="1"/>
  <c r="L214" i="1" a="1"/>
  <c r="L214" i="1"/>
  <c r="L213" i="1" a="1"/>
  <c r="L213" i="1"/>
  <c r="L212" i="1" a="1"/>
  <c r="L212" i="1"/>
  <c r="L211" i="1" a="1"/>
  <c r="L211" i="1"/>
  <c r="L210" i="1" a="1"/>
  <c r="L210" i="1"/>
  <c r="L209" i="1" a="1"/>
  <c r="L209" i="1"/>
  <c r="L208" i="1" a="1"/>
  <c r="L208" i="1"/>
  <c r="L207" i="1" a="1"/>
  <c r="L207" i="1"/>
  <c r="L206" i="1" a="1"/>
  <c r="L206" i="1"/>
  <c r="L205" i="1" a="1"/>
  <c r="L205" i="1"/>
  <c r="L204" i="1" a="1"/>
  <c r="L204" i="1"/>
  <c r="L203" i="1" a="1"/>
  <c r="L203" i="1"/>
  <c r="L202" i="1" a="1"/>
  <c r="L202" i="1"/>
  <c r="L201" i="1" a="1"/>
  <c r="L201" i="1"/>
  <c r="L200" i="1" a="1"/>
  <c r="L200" i="1"/>
  <c r="L199" i="1" a="1"/>
  <c r="L199" i="1"/>
  <c r="L198" i="1" a="1"/>
  <c r="L198" i="1"/>
  <c r="L197" i="1" a="1"/>
  <c r="L197" i="1"/>
  <c r="L196" i="1" a="1"/>
  <c r="L196" i="1"/>
  <c r="L195" i="1" a="1"/>
  <c r="L195" i="1"/>
  <c r="L194" i="1" a="1"/>
  <c r="L194" i="1"/>
  <c r="L193" i="1" a="1"/>
  <c r="L193" i="1"/>
  <c r="L192" i="1" a="1"/>
  <c r="L192" i="1"/>
  <c r="L191" i="1" a="1"/>
  <c r="L191" i="1"/>
  <c r="L190" i="1" a="1"/>
  <c r="L190" i="1"/>
  <c r="L189" i="1" a="1"/>
  <c r="L189" i="1"/>
  <c r="L188" i="1" a="1"/>
  <c r="L188" i="1"/>
  <c r="L187" i="1" a="1"/>
  <c r="L187" i="1"/>
  <c r="L186" i="1" a="1"/>
  <c r="L186" i="1"/>
  <c r="L185" i="1" a="1"/>
  <c r="L185" i="1"/>
  <c r="L184" i="1" a="1"/>
  <c r="L184" i="1"/>
  <c r="L183" i="1" a="1"/>
  <c r="L183" i="1"/>
  <c r="L182" i="1" a="1"/>
  <c r="L182" i="1"/>
  <c r="L181" i="1" a="1"/>
  <c r="L181" i="1"/>
  <c r="L180" i="1" a="1"/>
  <c r="L180" i="1"/>
  <c r="L179" i="1" a="1"/>
  <c r="L179" i="1"/>
  <c r="L178" i="1" a="1"/>
  <c r="L178" i="1"/>
  <c r="L177" i="1" a="1"/>
  <c r="L177" i="1"/>
  <c r="L176" i="1" a="1"/>
  <c r="L176" i="1"/>
  <c r="L175" i="1" a="1"/>
  <c r="L175" i="1"/>
  <c r="L174" i="1" a="1"/>
  <c r="L174" i="1"/>
  <c r="L173" i="1" a="1"/>
  <c r="L173" i="1"/>
  <c r="L172" i="1" a="1"/>
  <c r="L172" i="1"/>
  <c r="L171" i="1" a="1"/>
  <c r="L171" i="1"/>
  <c r="L170" i="1" a="1"/>
  <c r="L170" i="1"/>
  <c r="L169" i="1" a="1"/>
  <c r="L169" i="1"/>
  <c r="L168" i="1" a="1"/>
  <c r="L168" i="1"/>
  <c r="L167" i="1" a="1"/>
  <c r="L167" i="1"/>
  <c r="L166" i="1" a="1"/>
  <c r="L166" i="1"/>
  <c r="L165" i="1" a="1"/>
  <c r="L165" i="1"/>
  <c r="L164" i="1" a="1"/>
  <c r="L164" i="1"/>
  <c r="L163" i="1" a="1"/>
  <c r="L163" i="1"/>
  <c r="L162" i="1" a="1"/>
  <c r="L162" i="1"/>
  <c r="L161" i="1" a="1"/>
  <c r="L161" i="1"/>
  <c r="L160" i="1" a="1"/>
  <c r="L160" i="1"/>
  <c r="L159" i="1" a="1"/>
  <c r="L159" i="1"/>
  <c r="L158" i="1" a="1"/>
  <c r="L158" i="1"/>
  <c r="L157" i="1" a="1"/>
  <c r="L157" i="1"/>
  <c r="L156" i="1" a="1"/>
  <c r="L156" i="1"/>
  <c r="L155" i="1" a="1"/>
  <c r="L155" i="1"/>
  <c r="L154" i="1" a="1"/>
  <c r="L154" i="1"/>
  <c r="L153" i="1" a="1"/>
  <c r="L153" i="1"/>
  <c r="L152" i="1" a="1"/>
  <c r="L152" i="1"/>
  <c r="L151" i="1" a="1"/>
  <c r="L151" i="1"/>
  <c r="L150" i="1" a="1"/>
  <c r="L150" i="1"/>
  <c r="L149" i="1" a="1"/>
  <c r="L149" i="1"/>
  <c r="L148" i="1" a="1"/>
  <c r="L148" i="1"/>
  <c r="L147" i="1" a="1"/>
  <c r="L147" i="1"/>
  <c r="L146" i="1" a="1"/>
  <c r="L146" i="1"/>
  <c r="L145" i="1" a="1"/>
  <c r="L145" i="1"/>
  <c r="L144" i="1" a="1"/>
  <c r="L144" i="1"/>
  <c r="L143" i="1" a="1"/>
  <c r="L143" i="1"/>
  <c r="L142" i="1" a="1"/>
  <c r="L142" i="1"/>
  <c r="L141" i="1" a="1"/>
  <c r="L141" i="1"/>
  <c r="L140" i="1" a="1"/>
  <c r="L140" i="1"/>
  <c r="L139" i="1" a="1"/>
  <c r="L139" i="1"/>
  <c r="L138" i="1" a="1"/>
  <c r="L138" i="1"/>
  <c r="L137" i="1" a="1"/>
  <c r="L137" i="1"/>
  <c r="L136" i="1" a="1"/>
  <c r="L136" i="1"/>
  <c r="L135" i="1" a="1"/>
  <c r="L135" i="1"/>
  <c r="L134" i="1" a="1"/>
  <c r="L134" i="1"/>
  <c r="L133" i="1" a="1"/>
  <c r="L133" i="1"/>
  <c r="L132" i="1" a="1"/>
  <c r="L132" i="1"/>
  <c r="L131" i="1" a="1"/>
  <c r="L131" i="1"/>
  <c r="L130" i="1" a="1"/>
  <c r="L130" i="1"/>
  <c r="L129" i="1" a="1"/>
  <c r="L129" i="1"/>
  <c r="L128" i="1" a="1"/>
  <c r="L128" i="1"/>
  <c r="L127" i="1" a="1"/>
  <c r="L127" i="1"/>
  <c r="L126" i="1" a="1"/>
  <c r="L126" i="1"/>
  <c r="L125" i="1" a="1"/>
  <c r="L125" i="1"/>
  <c r="L124" i="1" a="1"/>
  <c r="L124" i="1"/>
  <c r="L123" i="1" a="1"/>
  <c r="L123" i="1"/>
  <c r="L122" i="1" a="1"/>
  <c r="L122" i="1"/>
  <c r="L121" i="1" a="1"/>
  <c r="L121" i="1"/>
  <c r="L120" i="1" a="1"/>
  <c r="L120" i="1"/>
  <c r="L119" i="1" a="1"/>
  <c r="L119" i="1"/>
  <c r="L118" i="1" a="1"/>
  <c r="L118" i="1"/>
  <c r="L117" i="1" a="1"/>
  <c r="L117" i="1"/>
  <c r="L116" i="1" a="1"/>
  <c r="L116" i="1"/>
  <c r="L115" i="1" a="1"/>
  <c r="L115" i="1"/>
  <c r="L114" i="1" a="1"/>
  <c r="L114" i="1"/>
  <c r="L113" i="1" a="1"/>
  <c r="L113" i="1"/>
  <c r="L112" i="1" a="1"/>
  <c r="L112" i="1"/>
  <c r="L111" i="1" a="1"/>
  <c r="L111" i="1"/>
  <c r="L110" i="1" a="1"/>
  <c r="L110" i="1"/>
  <c r="L109" i="1" a="1"/>
  <c r="L109" i="1"/>
  <c r="L108" i="1" a="1"/>
  <c r="L108" i="1"/>
  <c r="L107" i="1" a="1"/>
  <c r="L107" i="1"/>
  <c r="L106" i="1" a="1"/>
  <c r="L106" i="1"/>
  <c r="L105" i="1" a="1"/>
  <c r="L105" i="1"/>
  <c r="L104" i="1" a="1"/>
  <c r="L104" i="1"/>
  <c r="L103" i="1" a="1"/>
  <c r="L103" i="1"/>
  <c r="L102" i="1" a="1"/>
  <c r="L102" i="1"/>
  <c r="L101" i="1" a="1"/>
  <c r="L101" i="1"/>
  <c r="L100" i="1" a="1"/>
  <c r="L100" i="1"/>
  <c r="L99" i="1" a="1"/>
  <c r="L99" i="1"/>
  <c r="L98" i="1" a="1"/>
  <c r="L98" i="1"/>
  <c r="L97" i="1" a="1"/>
  <c r="L97" i="1"/>
  <c r="L96" i="1" a="1"/>
  <c r="L96" i="1"/>
  <c r="L95" i="1" a="1"/>
  <c r="L95" i="1"/>
  <c r="L94" i="1" a="1"/>
  <c r="L94" i="1"/>
  <c r="L93" i="1" a="1"/>
  <c r="L93" i="1"/>
  <c r="L92" i="1" a="1"/>
  <c r="L92" i="1"/>
  <c r="L91" i="1" a="1"/>
  <c r="L91" i="1"/>
  <c r="L90" i="1" a="1"/>
  <c r="L90" i="1"/>
  <c r="L89" i="1" a="1"/>
  <c r="L89" i="1"/>
  <c r="L88" i="1" a="1"/>
  <c r="L88" i="1"/>
  <c r="L87" i="1" a="1"/>
  <c r="L87" i="1"/>
  <c r="L86" i="1" a="1"/>
  <c r="L86" i="1"/>
  <c r="L85" i="1" a="1"/>
  <c r="L85" i="1"/>
  <c r="L84" i="1" a="1"/>
  <c r="L84" i="1"/>
  <c r="L83" i="1" a="1"/>
  <c r="L83" i="1"/>
  <c r="L82" i="1" a="1"/>
  <c r="L82" i="1"/>
  <c r="L81" i="1" a="1"/>
  <c r="L81" i="1"/>
  <c r="L80" i="1" a="1"/>
  <c r="L80" i="1"/>
  <c r="L79" i="1" a="1"/>
  <c r="L79" i="1"/>
  <c r="L78" i="1" a="1"/>
  <c r="L78" i="1"/>
  <c r="L77" i="1" a="1"/>
  <c r="L77" i="1"/>
  <c r="L76" i="1" a="1"/>
  <c r="L76" i="1"/>
  <c r="L75" i="1" a="1"/>
  <c r="L75" i="1"/>
  <c r="L74" i="1" a="1"/>
  <c r="L74" i="1"/>
  <c r="L73" i="1" a="1"/>
  <c r="L73" i="1"/>
  <c r="L72" i="1" a="1"/>
  <c r="L72" i="1"/>
  <c r="L71" i="1" a="1"/>
  <c r="L71" i="1"/>
  <c r="L70" i="1" a="1"/>
  <c r="L70" i="1"/>
  <c r="L69" i="1" a="1"/>
  <c r="L69" i="1"/>
  <c r="L68" i="1" a="1"/>
  <c r="L68" i="1"/>
  <c r="L67" i="1" a="1"/>
  <c r="L67" i="1"/>
  <c r="L66" i="1" a="1"/>
  <c r="L66" i="1"/>
  <c r="L65" i="1" a="1"/>
  <c r="L65" i="1"/>
  <c r="L64" i="1" a="1"/>
  <c r="L64" i="1"/>
  <c r="L63" i="1" a="1"/>
  <c r="L63" i="1"/>
  <c r="L62" i="1" a="1"/>
  <c r="L62" i="1"/>
  <c r="L61" i="1" a="1"/>
  <c r="L61" i="1"/>
  <c r="L60" i="1" a="1"/>
  <c r="L60" i="1"/>
  <c r="L59" i="1" a="1"/>
  <c r="L59" i="1"/>
  <c r="L58" i="1" a="1"/>
  <c r="L58" i="1"/>
  <c r="L57" i="1" a="1"/>
  <c r="L57" i="1"/>
  <c r="L56" i="1" a="1"/>
  <c r="L56" i="1"/>
  <c r="L55" i="1" a="1"/>
  <c r="L55" i="1"/>
  <c r="L54" i="1" a="1"/>
  <c r="L54" i="1"/>
  <c r="L53" i="1" a="1"/>
  <c r="L53" i="1"/>
  <c r="L52" i="1" a="1"/>
  <c r="L52" i="1"/>
  <c r="L51" i="1" a="1"/>
  <c r="L51" i="1"/>
  <c r="L50" i="1" a="1"/>
  <c r="L50" i="1"/>
  <c r="L49" i="1" a="1"/>
  <c r="L49" i="1"/>
  <c r="L48" i="1" a="1"/>
  <c r="L48" i="1"/>
  <c r="L47" i="1" a="1"/>
  <c r="L47" i="1"/>
  <c r="L46" i="1" a="1"/>
  <c r="L46" i="1"/>
  <c r="L45" i="1" a="1"/>
  <c r="L45" i="1"/>
  <c r="L44" i="1" a="1"/>
  <c r="L44" i="1"/>
  <c r="L43" i="1" a="1"/>
  <c r="L43" i="1"/>
  <c r="L42" i="1" a="1"/>
  <c r="L42" i="1"/>
  <c r="L41" i="1" a="1"/>
  <c r="L41" i="1"/>
  <c r="L40" i="1" a="1"/>
  <c r="L40" i="1"/>
  <c r="L39" i="1" a="1"/>
  <c r="L39" i="1"/>
  <c r="L38" i="1" a="1"/>
  <c r="L38" i="1"/>
  <c r="L37" i="1" a="1"/>
  <c r="L37" i="1"/>
  <c r="L36" i="1" a="1"/>
  <c r="L36" i="1"/>
  <c r="L35" i="1" a="1"/>
  <c r="L35" i="1"/>
  <c r="L34" i="1" a="1"/>
  <c r="L34" i="1"/>
  <c r="L33" i="1" a="1"/>
  <c r="L33" i="1"/>
  <c r="L32" i="1" a="1"/>
  <c r="L32" i="1"/>
  <c r="L31" i="1" a="1"/>
  <c r="L31" i="1"/>
  <c r="L30" i="1" a="1"/>
  <c r="L30" i="1"/>
  <c r="L29" i="1" a="1"/>
  <c r="L29" i="1"/>
  <c r="L28" i="1" a="1"/>
  <c r="L28" i="1"/>
  <c r="L27" i="1" a="1"/>
  <c r="L27" i="1"/>
  <c r="L26" i="1" a="1"/>
  <c r="L26" i="1"/>
  <c r="L25" i="1" a="1"/>
  <c r="L25" i="1"/>
  <c r="L24" i="1" a="1"/>
  <c r="L24" i="1"/>
  <c r="L23" i="1" a="1"/>
  <c r="L23" i="1"/>
  <c r="L22" i="1" a="1"/>
  <c r="L22" i="1"/>
  <c r="L21" i="1" a="1"/>
  <c r="L21" i="1"/>
  <c r="L20" i="1" a="1"/>
  <c r="L20" i="1"/>
  <c r="L19" i="1" a="1"/>
  <c r="L19" i="1"/>
  <c r="L18" i="1" a="1"/>
  <c r="L18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L11" i="1" a="1"/>
  <c r="L11" i="1"/>
  <c r="L10" i="1" a="1"/>
  <c r="L10" i="1"/>
  <c r="L9" i="1" a="1"/>
  <c r="L9" i="1"/>
  <c r="L8" i="1" a="1"/>
  <c r="L8" i="1"/>
  <c r="L7" i="1" a="1"/>
  <c r="L7" i="1"/>
  <c r="L6" i="1" a="1"/>
  <c r="L6" i="1"/>
  <c r="L5" i="1" a="1"/>
  <c r="L5" i="1"/>
  <c r="L4" i="1" a="1"/>
  <c r="L4" i="1"/>
  <c r="L3" i="1" a="1"/>
  <c r="L3" i="1"/>
  <c r="L2" i="1" a="1"/>
  <c r="L2" i="1"/>
  <c r="E8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I2" i="1" a="1"/>
  <c r="I3" i="1" a="1"/>
  <c r="I12" i="1" a="1"/>
  <c r="I21" i="1" a="1"/>
  <c r="I30" i="1" a="1"/>
  <c r="I35" i="1" a="1"/>
  <c r="I44" i="1" a="1"/>
  <c r="I53" i="1" a="1"/>
  <c r="I62" i="1" a="1"/>
  <c r="I67" i="1" a="1"/>
  <c r="I76" i="1" a="1"/>
  <c r="I85" i="1" a="1"/>
  <c r="I94" i="1" a="1"/>
  <c r="I99" i="1" a="1"/>
  <c r="I108" i="1" a="1"/>
  <c r="I117" i="1" a="1"/>
  <c r="I126" i="1" a="1"/>
  <c r="I131" i="1" a="1"/>
  <c r="I140" i="1" a="1"/>
  <c r="I149" i="1" a="1"/>
  <c r="I158" i="1" a="1"/>
  <c r="I163" i="1" a="1"/>
  <c r="I172" i="1" a="1"/>
  <c r="I181" i="1" a="1"/>
  <c r="I190" i="1" a="1"/>
  <c r="I195" i="1" a="1"/>
  <c r="I204" i="1" a="1"/>
  <c r="I213" i="1" a="1"/>
  <c r="I222" i="1" a="1"/>
  <c r="I227" i="1" a="1"/>
  <c r="I236" i="1" a="1"/>
  <c r="I245" i="1" a="1"/>
  <c r="I254" i="1" a="1"/>
  <c r="I259" i="1" a="1"/>
  <c r="I268" i="1" a="1"/>
  <c r="I277" i="1" a="1"/>
  <c r="I286" i="1" a="1"/>
  <c r="I291" i="1" a="1"/>
  <c r="I300" i="1" a="1"/>
  <c r="I309" i="1" a="1"/>
  <c r="I318" i="1" a="1"/>
  <c r="I323" i="1" a="1"/>
  <c r="I332" i="1" a="1"/>
  <c r="I341" i="1" a="1"/>
  <c r="I345" i="1" a="1"/>
  <c r="I349" i="1" a="1"/>
  <c r="I353" i="1" a="1"/>
  <c r="I357" i="1" a="1"/>
  <c r="I361" i="1" a="1"/>
  <c r="I365" i="1" a="1"/>
  <c r="I369" i="1" a="1"/>
  <c r="I373" i="1" a="1"/>
  <c r="I377" i="1" a="1"/>
  <c r="I381" i="1" a="1"/>
  <c r="I385" i="1" a="1"/>
  <c r="I328" i="1" a="1"/>
  <c r="I22" i="1" a="1"/>
  <c r="I27" i="1" a="1"/>
  <c r="I8" i="1" a="1"/>
  <c r="I17" i="1" a="1"/>
  <c r="I26" i="1" a="1"/>
  <c r="I31" i="1" a="1"/>
  <c r="I40" i="1" a="1"/>
  <c r="I49" i="1" a="1"/>
  <c r="I58" i="1" a="1"/>
  <c r="I63" i="1" a="1"/>
  <c r="I72" i="1" a="1"/>
  <c r="I81" i="1" a="1"/>
  <c r="I90" i="1" a="1"/>
  <c r="I95" i="1" a="1"/>
  <c r="I104" i="1" a="1"/>
  <c r="I113" i="1" a="1"/>
  <c r="I122" i="1" a="1"/>
  <c r="I127" i="1" a="1"/>
  <c r="I136" i="1" a="1"/>
  <c r="I145" i="1" a="1"/>
  <c r="I154" i="1" a="1"/>
  <c r="I159" i="1" a="1"/>
  <c r="I168" i="1" a="1"/>
  <c r="I177" i="1" a="1"/>
  <c r="I186" i="1" a="1"/>
  <c r="I191" i="1" a="1"/>
  <c r="I200" i="1" a="1"/>
  <c r="I209" i="1" a="1"/>
  <c r="I218" i="1" a="1"/>
  <c r="I223" i="1" a="1"/>
  <c r="I232" i="1" a="1"/>
  <c r="I241" i="1" a="1"/>
  <c r="I250" i="1" a="1"/>
  <c r="I255" i="1" a="1"/>
  <c r="I264" i="1" a="1"/>
  <c r="I273" i="1" a="1"/>
  <c r="I282" i="1" a="1"/>
  <c r="I287" i="1" a="1"/>
  <c r="I296" i="1" a="1"/>
  <c r="I305" i="1" a="1"/>
  <c r="I314" i="1" a="1"/>
  <c r="I319" i="1" a="1"/>
  <c r="I337" i="1" a="1"/>
  <c r="I13" i="1" a="1"/>
  <c r="I4" i="1" a="1"/>
  <c r="I9" i="1" a="1"/>
  <c r="I18" i="1" a="1"/>
  <c r="I23" i="1" a="1"/>
  <c r="I32" i="1" a="1"/>
  <c r="I41" i="1" a="1"/>
  <c r="I50" i="1" a="1"/>
  <c r="I55" i="1" a="1"/>
  <c r="I64" i="1" a="1"/>
  <c r="I73" i="1" a="1"/>
  <c r="I82" i="1" a="1"/>
  <c r="I87" i="1" a="1"/>
  <c r="I96" i="1" a="1"/>
  <c r="I105" i="1" a="1"/>
  <c r="I114" i="1" a="1"/>
  <c r="I119" i="1" a="1"/>
  <c r="I128" i="1" a="1"/>
  <c r="I137" i="1" a="1"/>
  <c r="I146" i="1" a="1"/>
  <c r="I151" i="1" a="1"/>
  <c r="I160" i="1" a="1"/>
  <c r="I169" i="1" a="1"/>
  <c r="I178" i="1" a="1"/>
  <c r="I183" i="1" a="1"/>
  <c r="I192" i="1" a="1"/>
  <c r="I201" i="1" a="1"/>
  <c r="I210" i="1" a="1"/>
  <c r="I215" i="1" a="1"/>
  <c r="I5" i="1" a="1"/>
  <c r="I10" i="1" a="1"/>
  <c r="I6" i="1" a="1"/>
  <c r="I7" i="1" a="1"/>
  <c r="I19" i="1" a="1"/>
  <c r="I28" i="1" a="1"/>
  <c r="I36" i="1" a="1"/>
  <c r="I43" i="1" a="1"/>
  <c r="I51" i="1" a="1"/>
  <c r="I57" i="1" a="1"/>
  <c r="I65" i="1" a="1"/>
  <c r="I109" i="1" a="1"/>
  <c r="I116" i="1" a="1"/>
  <c r="I124" i="1" a="1"/>
  <c r="I130" i="1" a="1"/>
  <c r="I138" i="1" a="1"/>
  <c r="I167" i="1" a="1"/>
  <c r="I175" i="1" a="1"/>
  <c r="I182" i="1" a="1"/>
  <c r="I189" i="1" a="1"/>
  <c r="I197" i="1" a="1"/>
  <c r="I219" i="1" a="1"/>
  <c r="I230" i="1" a="1"/>
  <c r="I237" i="1" a="1"/>
  <c r="I243" i="1" a="1"/>
  <c r="I261" i="1" a="1"/>
  <c r="I267" i="1" a="1"/>
  <c r="I285" i="1" a="1"/>
  <c r="I292" i="1" a="1"/>
  <c r="I310" i="1" a="1"/>
  <c r="I316" i="1" a="1"/>
  <c r="I334" i="1" a="1"/>
  <c r="I340" i="1" a="1"/>
  <c r="I346" i="1" a="1"/>
  <c r="I351" i="1" a="1"/>
  <c r="I356" i="1" a="1"/>
  <c r="I362" i="1" a="1"/>
  <c r="I367" i="1" a="1"/>
  <c r="I372" i="1" a="1"/>
  <c r="I378" i="1" a="1"/>
  <c r="I383" i="1" a="1"/>
  <c r="I97" i="1" a="1"/>
  <c r="I156" i="1" a="1"/>
  <c r="I170" i="1" a="1"/>
  <c r="I214" i="1" a="1"/>
  <c r="I239" i="1" a="1"/>
  <c r="I281" i="1" a="1"/>
  <c r="I312" i="1" a="1"/>
  <c r="I54" i="1" a="1"/>
  <c r="I91" i="1" a="1"/>
  <c r="I120" i="1" a="1"/>
  <c r="I164" i="1" a="1"/>
  <c r="I185" i="1" a="1"/>
  <c r="I252" i="1" a="1"/>
  <c r="I283" i="1" a="1"/>
  <c r="I301" i="1" a="1"/>
  <c r="I331" i="1" a="1"/>
  <c r="I354" i="1" a="1"/>
  <c r="I370" i="1" a="1"/>
  <c r="I386" i="1" a="1"/>
  <c r="I180" i="1" a="1"/>
  <c r="I260" i="1" a="1"/>
  <c r="I284" i="1" a="1"/>
  <c r="I315" i="1" a="1"/>
  <c r="I344" i="1" a="1"/>
  <c r="I366" i="1" a="1"/>
  <c r="I101" i="1" a="1"/>
  <c r="I144" i="1" a="1"/>
  <c r="I211" i="1" a="1"/>
  <c r="I266" i="1" a="1"/>
  <c r="I290" i="1" a="1"/>
  <c r="I37" i="1" a="1"/>
  <c r="I59" i="1" a="1"/>
  <c r="I80" i="1" a="1"/>
  <c r="I88" i="1" a="1"/>
  <c r="I102" i="1" a="1"/>
  <c r="I110" i="1" a="1"/>
  <c r="I132" i="1" a="1"/>
  <c r="I139" i="1" a="1"/>
  <c r="I147" i="1" a="1"/>
  <c r="I153" i="1" a="1"/>
  <c r="I161" i="1" a="1"/>
  <c r="I205" i="1" a="1"/>
  <c r="I212" i="1" a="1"/>
  <c r="I225" i="1" a="1"/>
  <c r="I231" i="1" a="1"/>
  <c r="I249" i="1" a="1"/>
  <c r="I256" i="1" a="1"/>
  <c r="I274" i="1" a="1"/>
  <c r="I280" i="1" a="1"/>
  <c r="I298" i="1" a="1"/>
  <c r="I304" i="1" a="1"/>
  <c r="I311" i="1" a="1"/>
  <c r="I322" i="1" a="1"/>
  <c r="I329" i="1" a="1"/>
  <c r="I335" i="1" a="1"/>
  <c r="I347" i="1" a="1"/>
  <c r="I358" i="1" a="1"/>
  <c r="I368" i="1" a="1"/>
  <c r="I379" i="1" a="1"/>
  <c r="I38" i="1" a="1"/>
  <c r="I68" i="1" a="1"/>
  <c r="I83" i="1" a="1"/>
  <c r="I148" i="1" a="1"/>
  <c r="I199" i="1" a="1"/>
  <c r="I226" i="1" a="1"/>
  <c r="I263" i="1" a="1"/>
  <c r="I306" i="1" a="1"/>
  <c r="I330" i="1" a="1"/>
  <c r="I39" i="1" a="1"/>
  <c r="I61" i="1" a="1"/>
  <c r="I134" i="1" a="1"/>
  <c r="I171" i="1" a="1"/>
  <c r="I193" i="1" a="1"/>
  <c r="I270" i="1" a="1"/>
  <c r="I294" i="1" a="1"/>
  <c r="I325" i="1" a="1"/>
  <c r="I343" i="1" a="1"/>
  <c r="I359" i="1" a="1"/>
  <c r="I375" i="1" a="1"/>
  <c r="I194" i="1" a="1"/>
  <c r="I235" i="1" a="1"/>
  <c r="I278" i="1" a="1"/>
  <c r="I326" i="1" a="1"/>
  <c r="I350" i="1" a="1"/>
  <c r="I371" i="1" a="1"/>
  <c r="I93" i="1" a="1"/>
  <c r="I166" i="1" a="1"/>
  <c r="I196" i="1" a="1"/>
  <c r="I272" i="1" a="1"/>
  <c r="I303" i="1" a="1"/>
  <c r="I11" i="1" a="1"/>
  <c r="I20" i="1" a="1"/>
  <c r="I29" i="1" a="1"/>
  <c r="I45" i="1" a="1"/>
  <c r="I52" i="1" a="1"/>
  <c r="I60" i="1" a="1"/>
  <c r="I66" i="1" a="1"/>
  <c r="I74" i="1" a="1"/>
  <c r="I103" i="1" a="1"/>
  <c r="I111" i="1" a="1"/>
  <c r="I118" i="1" a="1"/>
  <c r="I125" i="1" a="1"/>
  <c r="I133" i="1" a="1"/>
  <c r="I155" i="1" a="1"/>
  <c r="I176" i="1" a="1"/>
  <c r="I184" i="1" a="1"/>
  <c r="I198" i="1" a="1"/>
  <c r="I206" i="1" a="1"/>
  <c r="I220" i="1" a="1"/>
  <c r="I238" i="1" a="1"/>
  <c r="I244" i="1" a="1"/>
  <c r="I251" i="1" a="1"/>
  <c r="I262" i="1" a="1"/>
  <c r="I269" i="1" a="1"/>
  <c r="I275" i="1" a="1"/>
  <c r="I293" i="1" a="1"/>
  <c r="I299" i="1" a="1"/>
  <c r="I317" i="1" a="1"/>
  <c r="I324" i="1" a="1"/>
  <c r="I342" i="1" a="1"/>
  <c r="I352" i="1" a="1"/>
  <c r="I363" i="1" a="1"/>
  <c r="I374" i="1" a="1"/>
  <c r="I384" i="1" a="1"/>
  <c r="I46" i="1" a="1"/>
  <c r="I75" i="1" a="1"/>
  <c r="I89" i="1" a="1"/>
  <c r="I141" i="1" a="1"/>
  <c r="I162" i="1" a="1"/>
  <c r="I207" i="1" a="1"/>
  <c r="I233" i="1" a="1"/>
  <c r="I257" i="1" a="1"/>
  <c r="I288" i="1" a="1"/>
  <c r="I336" i="1" a="1"/>
  <c r="I47" i="1" a="1"/>
  <c r="I69" i="1" a="1"/>
  <c r="I112" i="1" a="1"/>
  <c r="I142" i="1" a="1"/>
  <c r="I179" i="1" a="1"/>
  <c r="I221" i="1" a="1"/>
  <c r="I246" i="1" a="1"/>
  <c r="I276" i="1" a="1"/>
  <c r="I307" i="1" a="1"/>
  <c r="I348" i="1" a="1"/>
  <c r="I364" i="1" a="1"/>
  <c r="I380" i="1" a="1"/>
  <c r="I188" i="1" a="1"/>
  <c r="I229" i="1" a="1"/>
  <c r="I308" i="1" a="1"/>
  <c r="I339" i="1" a="1"/>
  <c r="I355" i="1" a="1"/>
  <c r="I376" i="1" a="1"/>
  <c r="I71" i="1" a="1"/>
  <c r="I152" i="1" a="1"/>
  <c r="I217" i="1" a="1"/>
  <c r="I248" i="1" a="1"/>
  <c r="I279" i="1" a="1"/>
  <c r="I327" i="1" a="1"/>
  <c r="I14" i="1" a="1"/>
  <c r="I228" i="1" a="1"/>
  <c r="I15" i="1" a="1"/>
  <c r="I24" i="1" a="1"/>
  <c r="I33" i="1" a="1"/>
  <c r="I77" i="1" a="1"/>
  <c r="I84" i="1" a="1"/>
  <c r="I92" i="1" a="1"/>
  <c r="I98" i="1" a="1"/>
  <c r="I106" i="1" a="1"/>
  <c r="I135" i="1" a="1"/>
  <c r="I143" i="1" a="1"/>
  <c r="I150" i="1" a="1"/>
  <c r="I157" i="1" a="1"/>
  <c r="I165" i="1" a="1"/>
  <c r="I187" i="1" a="1"/>
  <c r="I208" i="1" a="1"/>
  <c r="I216" i="1" a="1"/>
  <c r="I234" i="1" a="1"/>
  <c r="I240" i="1" a="1"/>
  <c r="I247" i="1" a="1"/>
  <c r="I258" i="1" a="1"/>
  <c r="I265" i="1" a="1"/>
  <c r="I271" i="1" a="1"/>
  <c r="I289" i="1" a="1"/>
  <c r="I295" i="1" a="1"/>
  <c r="I313" i="1" a="1"/>
  <c r="I320" i="1" a="1"/>
  <c r="I338" i="1" a="1"/>
  <c r="I48" i="1" a="1"/>
  <c r="I56" i="1" a="1"/>
  <c r="I70" i="1" a="1"/>
  <c r="I100" i="1" a="1"/>
  <c r="I107" i="1" a="1"/>
  <c r="I115" i="1" a="1"/>
  <c r="I121" i="1" a="1"/>
  <c r="I129" i="1" a="1"/>
  <c r="I173" i="1" a="1"/>
  <c r="I202" i="1" a="1"/>
  <c r="I253" i="1" a="1"/>
  <c r="I302" i="1" a="1"/>
  <c r="I333" i="1" a="1"/>
  <c r="I360" i="1" a="1"/>
  <c r="I382" i="1" a="1"/>
  <c r="I86" i="1" a="1"/>
  <c r="I174" i="1" a="1"/>
  <c r="I203" i="1" a="1"/>
  <c r="I242" i="1" a="1"/>
  <c r="I297" i="1" a="1"/>
  <c r="I321" i="1" a="1"/>
  <c r="I78" i="1" a="1"/>
  <c r="I16" i="1" a="1"/>
  <c r="I25" i="1" a="1"/>
  <c r="I34" i="1" a="1"/>
  <c r="I42" i="1" a="1"/>
  <c r="I79" i="1" a="1"/>
  <c r="I123" i="1" a="1"/>
  <c r="I224" i="1" a="1"/>
  <c r="I224" i="1" l="1"/>
  <c r="I123" i="1"/>
  <c r="I79" i="1"/>
  <c r="I42" i="1"/>
  <c r="I34" i="1"/>
  <c r="I25" i="1"/>
  <c r="I16" i="1"/>
  <c r="I78" i="1"/>
  <c r="I321" i="1"/>
  <c r="I297" i="1"/>
  <c r="I242" i="1"/>
  <c r="I203" i="1"/>
  <c r="I174" i="1"/>
  <c r="I86" i="1"/>
  <c r="I382" i="1"/>
  <c r="I360" i="1"/>
  <c r="I333" i="1"/>
  <c r="I302" i="1"/>
  <c r="I253" i="1"/>
  <c r="I202" i="1"/>
  <c r="I173" i="1"/>
  <c r="I129" i="1"/>
  <c r="I121" i="1"/>
  <c r="I115" i="1"/>
  <c r="I107" i="1"/>
  <c r="I100" i="1"/>
  <c r="I70" i="1"/>
  <c r="I56" i="1"/>
  <c r="I48" i="1"/>
  <c r="I338" i="1"/>
  <c r="I320" i="1"/>
  <c r="I313" i="1"/>
  <c r="I295" i="1"/>
  <c r="I289" i="1"/>
  <c r="I271" i="1"/>
  <c r="I265" i="1"/>
  <c r="I258" i="1"/>
  <c r="I247" i="1"/>
  <c r="I240" i="1"/>
  <c r="I234" i="1"/>
  <c r="I216" i="1"/>
  <c r="I208" i="1"/>
  <c r="I187" i="1"/>
  <c r="I165" i="1"/>
  <c r="I157" i="1"/>
  <c r="I150" i="1"/>
  <c r="I143" i="1"/>
  <c r="I135" i="1"/>
  <c r="I106" i="1"/>
  <c r="I98" i="1"/>
  <c r="I92" i="1"/>
  <c r="I84" i="1"/>
  <c r="I77" i="1"/>
  <c r="I33" i="1"/>
  <c r="I24" i="1"/>
  <c r="I15" i="1"/>
  <c r="I228" i="1"/>
  <c r="I14" i="1"/>
  <c r="I327" i="1"/>
  <c r="I279" i="1"/>
  <c r="I248" i="1"/>
  <c r="I217" i="1"/>
  <c r="I152" i="1"/>
  <c r="I71" i="1"/>
  <c r="I376" i="1"/>
  <c r="I355" i="1"/>
  <c r="I339" i="1"/>
  <c r="I308" i="1"/>
  <c r="I229" i="1"/>
  <c r="I188" i="1"/>
  <c r="I380" i="1"/>
  <c r="I364" i="1"/>
  <c r="I348" i="1"/>
  <c r="I307" i="1"/>
  <c r="I276" i="1"/>
  <c r="I246" i="1"/>
  <c r="I221" i="1"/>
  <c r="I179" i="1"/>
  <c r="I142" i="1"/>
  <c r="I112" i="1"/>
  <c r="I69" i="1"/>
  <c r="I47" i="1"/>
  <c r="I336" i="1"/>
  <c r="I288" i="1"/>
  <c r="I257" i="1"/>
  <c r="I233" i="1"/>
  <c r="I207" i="1"/>
  <c r="I162" i="1"/>
  <c r="I141" i="1"/>
  <c r="I89" i="1"/>
  <c r="I75" i="1"/>
  <c r="I46" i="1"/>
  <c r="I384" i="1"/>
  <c r="I374" i="1"/>
  <c r="I363" i="1"/>
  <c r="I352" i="1"/>
  <c r="I342" i="1"/>
  <c r="I324" i="1"/>
  <c r="I317" i="1"/>
  <c r="I299" i="1"/>
  <c r="I293" i="1"/>
  <c r="I275" i="1"/>
  <c r="I269" i="1"/>
  <c r="I262" i="1"/>
  <c r="I251" i="1"/>
  <c r="I244" i="1"/>
  <c r="I238" i="1"/>
  <c r="I220" i="1"/>
  <c r="I206" i="1"/>
  <c r="I198" i="1"/>
  <c r="I184" i="1"/>
  <c r="I176" i="1"/>
  <c r="I155" i="1"/>
  <c r="I133" i="1"/>
  <c r="I125" i="1"/>
  <c r="I118" i="1"/>
  <c r="I111" i="1"/>
  <c r="I103" i="1"/>
  <c r="I74" i="1"/>
  <c r="I66" i="1"/>
  <c r="I60" i="1"/>
  <c r="I52" i="1"/>
  <c r="I45" i="1"/>
  <c r="I29" i="1"/>
  <c r="I20" i="1"/>
  <c r="I11" i="1"/>
  <c r="I303" i="1"/>
  <c r="I272" i="1"/>
  <c r="I196" i="1"/>
  <c r="I166" i="1"/>
  <c r="I93" i="1"/>
  <c r="I371" i="1"/>
  <c r="I350" i="1"/>
  <c r="I326" i="1"/>
  <c r="I278" i="1"/>
  <c r="I235" i="1"/>
  <c r="I194" i="1"/>
  <c r="I375" i="1"/>
  <c r="I359" i="1"/>
  <c r="I343" i="1"/>
  <c r="I325" i="1"/>
  <c r="I294" i="1"/>
  <c r="I270" i="1"/>
  <c r="I193" i="1"/>
  <c r="I171" i="1"/>
  <c r="I134" i="1"/>
  <c r="I61" i="1"/>
  <c r="I39" i="1"/>
  <c r="I330" i="1"/>
  <c r="I306" i="1"/>
  <c r="I263" i="1"/>
  <c r="I226" i="1"/>
  <c r="I199" i="1"/>
  <c r="I148" i="1"/>
  <c r="I83" i="1"/>
  <c r="I68" i="1"/>
  <c r="I38" i="1"/>
  <c r="I379" i="1"/>
  <c r="I368" i="1"/>
  <c r="I358" i="1"/>
  <c r="I347" i="1"/>
  <c r="I335" i="1"/>
  <c r="I329" i="1"/>
  <c r="I322" i="1"/>
  <c r="I311" i="1"/>
  <c r="I304" i="1"/>
  <c r="I298" i="1"/>
  <c r="I280" i="1"/>
  <c r="I274" i="1"/>
  <c r="I256" i="1"/>
  <c r="I249" i="1"/>
  <c r="I231" i="1"/>
  <c r="I225" i="1"/>
  <c r="I212" i="1"/>
  <c r="I205" i="1"/>
  <c r="I161" i="1"/>
  <c r="I153" i="1"/>
  <c r="I147" i="1"/>
  <c r="I139" i="1"/>
  <c r="I132" i="1"/>
  <c r="I110" i="1"/>
  <c r="I102" i="1"/>
  <c r="I88" i="1"/>
  <c r="I80" i="1"/>
  <c r="I59" i="1"/>
  <c r="I37" i="1"/>
  <c r="I290" i="1"/>
  <c r="I266" i="1"/>
  <c r="I211" i="1"/>
  <c r="I144" i="1"/>
  <c r="I101" i="1"/>
  <c r="I366" i="1"/>
  <c r="I344" i="1"/>
  <c r="I315" i="1"/>
  <c r="I284" i="1"/>
  <c r="I260" i="1"/>
  <c r="I180" i="1"/>
  <c r="I386" i="1"/>
  <c r="I370" i="1"/>
  <c r="I354" i="1"/>
  <c r="I331" i="1"/>
  <c r="I301" i="1"/>
  <c r="I283" i="1"/>
  <c r="I252" i="1"/>
  <c r="I185" i="1"/>
  <c r="I164" i="1"/>
  <c r="I120" i="1"/>
  <c r="I91" i="1"/>
  <c r="I54" i="1"/>
  <c r="I312" i="1"/>
  <c r="I281" i="1"/>
  <c r="I239" i="1"/>
  <c r="I214" i="1"/>
  <c r="I170" i="1"/>
  <c r="I156" i="1"/>
  <c r="I97" i="1"/>
  <c r="I383" i="1"/>
  <c r="I378" i="1"/>
  <c r="I372" i="1"/>
  <c r="I367" i="1"/>
  <c r="I362" i="1"/>
  <c r="I356" i="1"/>
  <c r="I351" i="1"/>
  <c r="I346" i="1"/>
  <c r="I340" i="1"/>
  <c r="I334" i="1"/>
  <c r="I316" i="1"/>
  <c r="I310" i="1"/>
  <c r="I292" i="1"/>
  <c r="I285" i="1"/>
  <c r="I267" i="1"/>
  <c r="I261" i="1"/>
  <c r="I243" i="1"/>
  <c r="I237" i="1"/>
  <c r="I230" i="1"/>
  <c r="I219" i="1"/>
  <c r="I197" i="1"/>
  <c r="I189" i="1"/>
  <c r="I182" i="1"/>
  <c r="I175" i="1"/>
  <c r="I167" i="1"/>
  <c r="I138" i="1"/>
  <c r="I130" i="1"/>
  <c r="I124" i="1"/>
  <c r="I116" i="1"/>
  <c r="I109" i="1"/>
  <c r="I65" i="1"/>
  <c r="I57" i="1"/>
  <c r="I51" i="1"/>
  <c r="I43" i="1"/>
  <c r="I36" i="1"/>
  <c r="I28" i="1"/>
  <c r="I19" i="1"/>
  <c r="I7" i="1"/>
  <c r="I6" i="1"/>
  <c r="I10" i="1"/>
  <c r="I5" i="1"/>
  <c r="I215" i="1"/>
  <c r="I210" i="1"/>
  <c r="I201" i="1"/>
  <c r="I192" i="1"/>
  <c r="I183" i="1"/>
  <c r="I178" i="1"/>
  <c r="I169" i="1"/>
  <c r="I160" i="1"/>
  <c r="I151" i="1"/>
  <c r="I146" i="1"/>
  <c r="I137" i="1"/>
  <c r="I128" i="1"/>
  <c r="I119" i="1"/>
  <c r="I114" i="1"/>
  <c r="I105" i="1"/>
  <c r="I96" i="1"/>
  <c r="I87" i="1"/>
  <c r="I82" i="1"/>
  <c r="I73" i="1"/>
  <c r="I64" i="1"/>
  <c r="I55" i="1"/>
  <c r="I50" i="1"/>
  <c r="I41" i="1"/>
  <c r="I32" i="1"/>
  <c r="I23" i="1"/>
  <c r="I18" i="1"/>
  <c r="I9" i="1"/>
  <c r="I4" i="1"/>
  <c r="I13" i="1"/>
  <c r="I337" i="1"/>
  <c r="I319" i="1"/>
  <c r="I314" i="1"/>
  <c r="I305" i="1"/>
  <c r="I296" i="1"/>
  <c r="I287" i="1"/>
  <c r="I282" i="1"/>
  <c r="I273" i="1"/>
  <c r="I264" i="1"/>
  <c r="I255" i="1"/>
  <c r="I250" i="1"/>
  <c r="I241" i="1"/>
  <c r="I232" i="1"/>
  <c r="I223" i="1"/>
  <c r="I218" i="1"/>
  <c r="I209" i="1"/>
  <c r="I200" i="1"/>
  <c r="I191" i="1"/>
  <c r="I186" i="1"/>
  <c r="I177" i="1"/>
  <c r="I168" i="1"/>
  <c r="I159" i="1"/>
  <c r="I154" i="1"/>
  <c r="I145" i="1"/>
  <c r="I136" i="1"/>
  <c r="I127" i="1"/>
  <c r="I122" i="1"/>
  <c r="I113" i="1"/>
  <c r="I104" i="1"/>
  <c r="I95" i="1"/>
  <c r="I90" i="1"/>
  <c r="I81" i="1"/>
  <c r="I72" i="1"/>
  <c r="I63" i="1"/>
  <c r="I58" i="1"/>
  <c r="I49" i="1"/>
  <c r="I40" i="1"/>
  <c r="I31" i="1"/>
  <c r="I26" i="1"/>
  <c r="I17" i="1"/>
  <c r="I8" i="1"/>
  <c r="I27" i="1"/>
  <c r="I22" i="1"/>
  <c r="I328" i="1"/>
  <c r="I385" i="1"/>
  <c r="I381" i="1"/>
  <c r="I377" i="1"/>
  <c r="I373" i="1"/>
  <c r="I369" i="1"/>
  <c r="I365" i="1"/>
  <c r="I361" i="1"/>
  <c r="I357" i="1"/>
  <c r="I353" i="1"/>
  <c r="I349" i="1"/>
  <c r="I345" i="1"/>
  <c r="I341" i="1"/>
  <c r="I332" i="1"/>
  <c r="I323" i="1"/>
  <c r="I318" i="1"/>
  <c r="I309" i="1"/>
  <c r="I300" i="1"/>
  <c r="I291" i="1"/>
  <c r="I286" i="1"/>
  <c r="I277" i="1"/>
  <c r="I268" i="1"/>
  <c r="I259" i="1"/>
  <c r="I254" i="1"/>
  <c r="I245" i="1"/>
  <c r="I236" i="1"/>
  <c r="I227" i="1"/>
  <c r="I222" i="1"/>
  <c r="I213" i="1"/>
  <c r="I204" i="1"/>
  <c r="I195" i="1"/>
  <c r="I190" i="1"/>
  <c r="I181" i="1"/>
  <c r="I172" i="1"/>
  <c r="I163" i="1"/>
  <c r="I158" i="1"/>
  <c r="I149" i="1"/>
  <c r="I140" i="1"/>
  <c r="I131" i="1"/>
  <c r="I126" i="1"/>
  <c r="I117" i="1"/>
  <c r="I108" i="1"/>
  <c r="I99" i="1"/>
  <c r="I94" i="1"/>
  <c r="I85" i="1"/>
  <c r="I76" i="1"/>
  <c r="I67" i="1"/>
  <c r="I62" i="1"/>
  <c r="I53" i="1"/>
  <c r="I44" i="1"/>
  <c r="I35" i="1"/>
  <c r="I30" i="1"/>
  <c r="I21" i="1"/>
  <c r="I12" i="1"/>
  <c r="I3" i="1"/>
  <c r="I2" i="1"/>
  <c r="A126" i="10"/>
  <c r="A118" i="10"/>
  <c r="A119" i="10" s="1"/>
  <c r="A120" i="10" s="1"/>
  <c r="A121" i="10" s="1"/>
  <c r="A122" i="10" s="1"/>
  <c r="A123" i="10" s="1"/>
  <c r="A124" i="10" s="1"/>
  <c r="A125" i="10" s="1"/>
  <c r="A103" i="10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48" i="10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47" i="10"/>
  <c r="A46" i="10"/>
  <c r="A45" i="10"/>
  <c r="A37" i="10"/>
  <c r="A38" i="10" s="1"/>
  <c r="A39" i="10" s="1"/>
  <c r="A40" i="10" s="1"/>
  <c r="A41" i="10" s="1"/>
  <c r="A42" i="10" s="1"/>
  <c r="A43" i="10" s="1"/>
  <c r="A44" i="10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10" i="10"/>
  <c r="A2" i="6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A3" i="6"/>
  <c r="A4" i="6"/>
  <c r="E4" i="6" s="1"/>
  <c r="F4" i="6" s="1"/>
  <c r="A5" i="6"/>
  <c r="E5" i="6" s="1"/>
  <c r="F5" i="6" s="1"/>
  <c r="A6" i="6"/>
  <c r="E6" i="6" s="1"/>
  <c r="F6" i="6" s="1"/>
  <c r="A7" i="6"/>
  <c r="E7" i="6" s="1"/>
  <c r="F7" i="6" s="1"/>
  <c r="A8" i="6"/>
  <c r="E8" i="6" s="1"/>
  <c r="F8" i="6" s="1"/>
  <c r="A9" i="6"/>
  <c r="E9" i="6" s="1"/>
  <c r="F9" i="6" s="1"/>
  <c r="A10" i="6"/>
  <c r="E10" i="6" s="1"/>
  <c r="F10" i="6" s="1"/>
  <c r="A11" i="6"/>
  <c r="E11" i="6" s="1"/>
  <c r="F11" i="6" s="1"/>
  <c r="A12" i="6"/>
  <c r="E12" i="6" s="1"/>
  <c r="F12" i="6" s="1"/>
  <c r="A13" i="6"/>
  <c r="E13" i="6" s="1"/>
  <c r="F13" i="6" s="1"/>
  <c r="A14" i="6"/>
  <c r="E14" i="6" s="1"/>
  <c r="F14" i="6" s="1"/>
  <c r="A15" i="6"/>
  <c r="E15" i="6" s="1"/>
  <c r="F15" i="6" s="1"/>
  <c r="A16" i="6"/>
  <c r="E16" i="6" s="1"/>
  <c r="F16" i="6" s="1"/>
  <c r="A17" i="6"/>
  <c r="E17" i="6" s="1"/>
  <c r="F17" i="6" s="1"/>
  <c r="A18" i="6"/>
  <c r="E18" i="6" s="1"/>
  <c r="F18" i="6" s="1"/>
  <c r="A19" i="6"/>
  <c r="E19" i="6" s="1"/>
  <c r="F19" i="6" s="1"/>
  <c r="A20" i="6"/>
  <c r="E20" i="6" s="1"/>
  <c r="F20" i="6" s="1"/>
  <c r="A21" i="6"/>
  <c r="E21" i="6" s="1"/>
  <c r="F21" i="6" s="1"/>
  <c r="A22" i="6"/>
  <c r="E22" i="6" s="1"/>
  <c r="F22" i="6" s="1"/>
  <c r="A23" i="6"/>
  <c r="E23" i="6" s="1"/>
  <c r="F23" i="6" s="1"/>
  <c r="A24" i="6"/>
  <c r="E24" i="6" s="1"/>
  <c r="F24" i="6" s="1"/>
  <c r="A25" i="6"/>
  <c r="E25" i="6" s="1"/>
  <c r="F25" i="6" s="1"/>
  <c r="A26" i="6"/>
  <c r="E26" i="6" s="1"/>
  <c r="F26" i="6" s="1"/>
  <c r="A27" i="6"/>
  <c r="A28" i="6"/>
  <c r="E28" i="6" s="1"/>
  <c r="F28" i="6" s="1"/>
  <c r="A29" i="6"/>
  <c r="E29" i="6" s="1"/>
  <c r="F29" i="6" s="1"/>
  <c r="A30" i="6"/>
  <c r="E30" i="6" s="1"/>
  <c r="F30" i="6" s="1"/>
  <c r="A31" i="6"/>
  <c r="E31" i="6" s="1"/>
  <c r="F31" i="6" s="1"/>
  <c r="A32" i="6"/>
  <c r="E32" i="6" s="1"/>
  <c r="F32" i="6" s="1"/>
  <c r="A33" i="6"/>
  <c r="A34" i="6"/>
  <c r="E34" i="6" s="1"/>
  <c r="F34" i="6" s="1"/>
  <c r="A35" i="6"/>
  <c r="E35" i="6" s="1"/>
  <c r="F35" i="6" s="1"/>
  <c r="A36" i="6"/>
  <c r="E36" i="6" s="1"/>
  <c r="F36" i="6" s="1"/>
  <c r="A37" i="6"/>
  <c r="E37" i="6" s="1"/>
  <c r="F37" i="6" s="1"/>
  <c r="A38" i="6"/>
  <c r="E38" i="6" s="1"/>
  <c r="F38" i="6" s="1"/>
  <c r="A39" i="6"/>
  <c r="E39" i="6" s="1"/>
  <c r="F39" i="6" s="1"/>
  <c r="A40" i="6"/>
  <c r="E40" i="6" s="1"/>
  <c r="F40" i="6" s="1"/>
  <c r="E33" i="6"/>
  <c r="F33" i="6" s="1"/>
  <c r="E27" i="6"/>
  <c r="F27" i="6" s="1"/>
  <c r="E3" i="6"/>
  <c r="F3" i="6" s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C19" i="3"/>
  <c r="C18" i="3" s="1"/>
  <c r="C17" i="3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K6" i="1" a="1"/>
  <c r="K14" i="1" a="1"/>
  <c r="K22" i="1" a="1"/>
  <c r="K30" i="1" a="1"/>
  <c r="K38" i="1" a="1"/>
  <c r="K46" i="1" a="1"/>
  <c r="K54" i="1" a="1"/>
  <c r="K62" i="1" a="1"/>
  <c r="K70" i="1" a="1"/>
  <c r="K78" i="1" a="1"/>
  <c r="K86" i="1" a="1"/>
  <c r="K94" i="1" a="1"/>
  <c r="K102" i="1" a="1"/>
  <c r="K110" i="1" a="1"/>
  <c r="K118" i="1" a="1"/>
  <c r="K126" i="1" a="1"/>
  <c r="K134" i="1" a="1"/>
  <c r="K142" i="1" a="1"/>
  <c r="K150" i="1" a="1"/>
  <c r="K158" i="1" a="1"/>
  <c r="K166" i="1" a="1"/>
  <c r="K174" i="1" a="1"/>
  <c r="K182" i="1" a="1"/>
  <c r="K190" i="1" a="1"/>
  <c r="K198" i="1" a="1"/>
  <c r="K206" i="1" a="1"/>
  <c r="K214" i="1" a="1"/>
  <c r="K222" i="1" a="1"/>
  <c r="K230" i="1" a="1"/>
  <c r="K238" i="1" a="1"/>
  <c r="K246" i="1" a="1"/>
  <c r="K254" i="1" a="1"/>
  <c r="K262" i="1" a="1"/>
  <c r="K270" i="1" a="1"/>
  <c r="K278" i="1" a="1"/>
  <c r="K286" i="1" a="1"/>
  <c r="K294" i="1" a="1"/>
  <c r="K302" i="1" a="1"/>
  <c r="K310" i="1" a="1"/>
  <c r="K318" i="1" a="1"/>
  <c r="K326" i="1" a="1"/>
  <c r="K334" i="1" a="1"/>
  <c r="K342" i="1" a="1"/>
  <c r="K350" i="1" a="1"/>
  <c r="K358" i="1" a="1"/>
  <c r="K366" i="1" a="1"/>
  <c r="K374" i="1" a="1"/>
  <c r="K382" i="1" a="1"/>
  <c r="H38" i="1" a="1"/>
  <c r="H54" i="1" a="1"/>
  <c r="H78" i="1" a="1"/>
  <c r="H110" i="1" a="1"/>
  <c r="H134" i="1" a="1"/>
  <c r="H158" i="1" a="1"/>
  <c r="H182" i="1" a="1"/>
  <c r="H206" i="1" a="1"/>
  <c r="H230" i="1" a="1"/>
  <c r="H246" i="1" a="1"/>
  <c r="H262" i="1" a="1"/>
  <c r="H278" i="1" a="1"/>
  <c r="H286" i="1" a="1"/>
  <c r="H310" i="1" a="1"/>
  <c r="H318" i="1" a="1"/>
  <c r="H326" i="1" a="1"/>
  <c r="H342" i="1" a="1"/>
  <c r="H366" i="1" a="1"/>
  <c r="H382" i="1" a="1"/>
  <c r="K233" i="1" a="1"/>
  <c r="K257" i="1" a="1"/>
  <c r="K273" i="1" a="1"/>
  <c r="K297" i="1" a="1"/>
  <c r="K313" i="1" a="1"/>
  <c r="K329" i="1" a="1"/>
  <c r="K345" i="1" a="1"/>
  <c r="K369" i="1" a="1"/>
  <c r="H7" i="1" a="1"/>
  <c r="H15" i="1" a="1"/>
  <c r="H31" i="1" a="1"/>
  <c r="H39" i="1" a="1"/>
  <c r="H55" i="1" a="1"/>
  <c r="H71" i="1" a="1"/>
  <c r="H87" i="1" a="1"/>
  <c r="H103" i="1" a="1"/>
  <c r="H119" i="1" a="1"/>
  <c r="H135" i="1" a="1"/>
  <c r="H143" i="1" a="1"/>
  <c r="H159" i="1" a="1"/>
  <c r="H175" i="1" a="1"/>
  <c r="H191" i="1" a="1"/>
  <c r="H207" i="1" a="1"/>
  <c r="H231" i="1" a="1"/>
  <c r="H247" i="1" a="1"/>
  <c r="H263" i="1" a="1"/>
  <c r="H279" i="1" a="1"/>
  <c r="H295" i="1" a="1"/>
  <c r="H311" i="1" a="1"/>
  <c r="H327" i="1" a="1"/>
  <c r="H343" i="1" a="1"/>
  <c r="H351" i="1" a="1"/>
  <c r="H359" i="1" a="1"/>
  <c r="H367" i="1" a="1"/>
  <c r="H383" i="1" a="1"/>
  <c r="K306" i="1" a="1"/>
  <c r="K346" i="1" a="1"/>
  <c r="K370" i="1" a="1"/>
  <c r="H24" i="1" a="1"/>
  <c r="H48" i="1" a="1"/>
  <c r="H80" i="1" a="1"/>
  <c r="H96" i="1" a="1"/>
  <c r="H128" i="1" a="1"/>
  <c r="H152" i="1" a="1"/>
  <c r="H176" i="1" a="1"/>
  <c r="H208" i="1" a="1"/>
  <c r="H240" i="1" a="1"/>
  <c r="H256" i="1" a="1"/>
  <c r="H288" i="1" a="1"/>
  <c r="H312" i="1" a="1"/>
  <c r="H344" i="1" a="1"/>
  <c r="H368" i="1" a="1"/>
  <c r="K339" i="1" a="1"/>
  <c r="H9" i="1" a="1"/>
  <c r="H33" i="1" a="1"/>
  <c r="H57" i="1" a="1"/>
  <c r="H81" i="1" a="1"/>
  <c r="H97" i="1" a="1"/>
  <c r="H121" i="1" a="1"/>
  <c r="H145" i="1" a="1"/>
  <c r="H169" i="1" a="1"/>
  <c r="H201" i="1" a="1"/>
  <c r="H241" i="1" a="1"/>
  <c r="H265" i="1" a="1"/>
  <c r="H289" i="1" a="1"/>
  <c r="H321" i="1" a="1"/>
  <c r="H361" i="1" a="1"/>
  <c r="H385" i="1" a="1"/>
  <c r="K332" i="1" a="1"/>
  <c r="K380" i="1" a="1"/>
  <c r="K7" i="1" a="1"/>
  <c r="K15" i="1" a="1"/>
  <c r="K23" i="1" a="1"/>
  <c r="K31" i="1" a="1"/>
  <c r="K39" i="1" a="1"/>
  <c r="K47" i="1" a="1"/>
  <c r="K55" i="1" a="1"/>
  <c r="K63" i="1" a="1"/>
  <c r="K71" i="1" a="1"/>
  <c r="K79" i="1" a="1"/>
  <c r="K87" i="1" a="1"/>
  <c r="K95" i="1" a="1"/>
  <c r="K103" i="1" a="1"/>
  <c r="K111" i="1" a="1"/>
  <c r="K119" i="1" a="1"/>
  <c r="K127" i="1" a="1"/>
  <c r="K135" i="1" a="1"/>
  <c r="K143" i="1" a="1"/>
  <c r="K151" i="1" a="1"/>
  <c r="K159" i="1" a="1"/>
  <c r="K167" i="1" a="1"/>
  <c r="K175" i="1" a="1"/>
  <c r="K183" i="1" a="1"/>
  <c r="K191" i="1" a="1"/>
  <c r="K199" i="1" a="1"/>
  <c r="K207" i="1" a="1"/>
  <c r="K215" i="1" a="1"/>
  <c r="K223" i="1" a="1"/>
  <c r="K231" i="1" a="1"/>
  <c r="K239" i="1" a="1"/>
  <c r="K247" i="1" a="1"/>
  <c r="K255" i="1" a="1"/>
  <c r="K263" i="1" a="1"/>
  <c r="K271" i="1" a="1"/>
  <c r="K279" i="1" a="1"/>
  <c r="K287" i="1" a="1"/>
  <c r="K295" i="1" a="1"/>
  <c r="K303" i="1" a="1"/>
  <c r="K311" i="1" a="1"/>
  <c r="K319" i="1" a="1"/>
  <c r="K327" i="1" a="1"/>
  <c r="K335" i="1" a="1"/>
  <c r="K343" i="1" a="1"/>
  <c r="K351" i="1" a="1"/>
  <c r="K359" i="1" a="1"/>
  <c r="K367" i="1" a="1"/>
  <c r="K375" i="1" a="1"/>
  <c r="K383" i="1" a="1"/>
  <c r="H30" i="1" a="1"/>
  <c r="H62" i="1" a="1"/>
  <c r="H86" i="1" a="1"/>
  <c r="H102" i="1" a="1"/>
  <c r="H126" i="1" a="1"/>
  <c r="H150" i="1" a="1"/>
  <c r="H174" i="1" a="1"/>
  <c r="H198" i="1" a="1"/>
  <c r="H222" i="1" a="1"/>
  <c r="H238" i="1" a="1"/>
  <c r="H254" i="1" a="1"/>
  <c r="H270" i="1" a="1"/>
  <c r="H294" i="1" a="1"/>
  <c r="K8" i="1" a="1"/>
  <c r="K16" i="1" a="1"/>
  <c r="K24" i="1" a="1"/>
  <c r="K32" i="1" a="1"/>
  <c r="K40" i="1" a="1"/>
  <c r="K48" i="1" a="1"/>
  <c r="K56" i="1" a="1"/>
  <c r="K64" i="1" a="1"/>
  <c r="K72" i="1" a="1"/>
  <c r="K80" i="1" a="1"/>
  <c r="K88" i="1" a="1"/>
  <c r="K96" i="1" a="1"/>
  <c r="K104" i="1" a="1"/>
  <c r="K112" i="1" a="1"/>
  <c r="K120" i="1" a="1"/>
  <c r="K128" i="1" a="1"/>
  <c r="K136" i="1" a="1"/>
  <c r="K144" i="1" a="1"/>
  <c r="K152" i="1" a="1"/>
  <c r="K160" i="1" a="1"/>
  <c r="K168" i="1" a="1"/>
  <c r="K176" i="1" a="1"/>
  <c r="K184" i="1" a="1"/>
  <c r="K192" i="1" a="1"/>
  <c r="K200" i="1" a="1"/>
  <c r="K208" i="1" a="1"/>
  <c r="K216" i="1" a="1"/>
  <c r="K224" i="1" a="1"/>
  <c r="K232" i="1" a="1"/>
  <c r="K240" i="1" a="1"/>
  <c r="K248" i="1" a="1"/>
  <c r="K256" i="1" a="1"/>
  <c r="K264" i="1" a="1"/>
  <c r="K272" i="1" a="1"/>
  <c r="K280" i="1" a="1"/>
  <c r="K288" i="1" a="1"/>
  <c r="K296" i="1" a="1"/>
  <c r="K304" i="1" a="1"/>
  <c r="K312" i="1" a="1"/>
  <c r="K320" i="1" a="1"/>
  <c r="K328" i="1" a="1"/>
  <c r="K336" i="1" a="1"/>
  <c r="K344" i="1" a="1"/>
  <c r="K352" i="1" a="1"/>
  <c r="K360" i="1" a="1"/>
  <c r="K368" i="1" a="1"/>
  <c r="K376" i="1" a="1"/>
  <c r="K384" i="1" a="1"/>
  <c r="H6" i="1" a="1"/>
  <c r="H14" i="1" a="1"/>
  <c r="H22" i="1" a="1"/>
  <c r="H46" i="1" a="1"/>
  <c r="H70" i="1" a="1"/>
  <c r="H94" i="1" a="1"/>
  <c r="H118" i="1" a="1"/>
  <c r="H142" i="1" a="1"/>
  <c r="H166" i="1" a="1"/>
  <c r="H190" i="1" a="1"/>
  <c r="H214" i="1" a="1"/>
  <c r="H334" i="1" a="1"/>
  <c r="H350" i="1" a="1"/>
  <c r="H374" i="1" a="1"/>
  <c r="K241" i="1" a="1"/>
  <c r="K265" i="1" a="1"/>
  <c r="K289" i="1" a="1"/>
  <c r="K305" i="1" a="1"/>
  <c r="K337" i="1" a="1"/>
  <c r="K361" i="1" a="1"/>
  <c r="K377" i="1" a="1"/>
  <c r="H23" i="1" a="1"/>
  <c r="H47" i="1" a="1"/>
  <c r="H63" i="1" a="1"/>
  <c r="H79" i="1" a="1"/>
  <c r="H95" i="1" a="1"/>
  <c r="H111" i="1" a="1"/>
  <c r="H127" i="1" a="1"/>
  <c r="H151" i="1" a="1"/>
  <c r="H167" i="1" a="1"/>
  <c r="H183" i="1" a="1"/>
  <c r="H199" i="1" a="1"/>
  <c r="H215" i="1" a="1"/>
  <c r="H239" i="1" a="1"/>
  <c r="H255" i="1" a="1"/>
  <c r="H271" i="1" a="1"/>
  <c r="H287" i="1" a="1"/>
  <c r="H303" i="1" a="1"/>
  <c r="H319" i="1" a="1"/>
  <c r="H335" i="1" a="1"/>
  <c r="K314" i="1" a="1"/>
  <c r="K338" i="1" a="1"/>
  <c r="K362" i="1" a="1"/>
  <c r="H8" i="1" a="1"/>
  <c r="H16" i="1" a="1"/>
  <c r="H40" i="1" a="1"/>
  <c r="H56" i="1" a="1"/>
  <c r="H72" i="1" a="1"/>
  <c r="H88" i="1" a="1"/>
  <c r="H120" i="1" a="1"/>
  <c r="H144" i="1" a="1"/>
  <c r="H168" i="1" a="1"/>
  <c r="H200" i="1" a="1"/>
  <c r="H224" i="1" a="1"/>
  <c r="H248" i="1" a="1"/>
  <c r="H280" i="1" a="1"/>
  <c r="H304" i="1" a="1"/>
  <c r="H336" i="1" a="1"/>
  <c r="H376" i="1" a="1"/>
  <c r="K355" i="1" a="1"/>
  <c r="H17" i="1" a="1"/>
  <c r="H49" i="1" a="1"/>
  <c r="H65" i="1" a="1"/>
  <c r="H89" i="1" a="1"/>
  <c r="H113" i="1" a="1"/>
  <c r="H137" i="1" a="1"/>
  <c r="H161" i="1" a="1"/>
  <c r="H193" i="1" a="1"/>
  <c r="H233" i="1" a="1"/>
  <c r="H257" i="1" a="1"/>
  <c r="H281" i="1" a="1"/>
  <c r="H305" i="1" a="1"/>
  <c r="H345" i="1" a="1"/>
  <c r="H377" i="1" a="1"/>
  <c r="K324" i="1" a="1"/>
  <c r="K372" i="1" a="1"/>
  <c r="K9" i="1" a="1"/>
  <c r="K17" i="1" a="1"/>
  <c r="K25" i="1" a="1"/>
  <c r="K33" i="1" a="1"/>
  <c r="K41" i="1" a="1"/>
  <c r="K49" i="1" a="1"/>
  <c r="K57" i="1" a="1"/>
  <c r="K65" i="1" a="1"/>
  <c r="K73" i="1" a="1"/>
  <c r="K81" i="1" a="1"/>
  <c r="K89" i="1" a="1"/>
  <c r="K97" i="1" a="1"/>
  <c r="K105" i="1" a="1"/>
  <c r="K113" i="1" a="1"/>
  <c r="K121" i="1" a="1"/>
  <c r="K129" i="1" a="1"/>
  <c r="K137" i="1" a="1"/>
  <c r="K145" i="1" a="1"/>
  <c r="K153" i="1" a="1"/>
  <c r="K161" i="1" a="1"/>
  <c r="K169" i="1" a="1"/>
  <c r="K177" i="1" a="1"/>
  <c r="K185" i="1" a="1"/>
  <c r="K193" i="1" a="1"/>
  <c r="K201" i="1" a="1"/>
  <c r="K209" i="1" a="1"/>
  <c r="K217" i="1" a="1"/>
  <c r="K225" i="1" a="1"/>
  <c r="K249" i="1" a="1"/>
  <c r="K281" i="1" a="1"/>
  <c r="K321" i="1" a="1"/>
  <c r="K353" i="1" a="1"/>
  <c r="K385" i="1" a="1"/>
  <c r="H223" i="1" a="1"/>
  <c r="H375" i="1" a="1"/>
  <c r="K330" i="1" a="1"/>
  <c r="K386" i="1" a="1"/>
  <c r="H216" i="1" a="1"/>
  <c r="H328" i="1" a="1"/>
  <c r="K363" i="1" a="1"/>
  <c r="H209" i="1" a="1"/>
  <c r="H353" i="1" a="1"/>
  <c r="K356" i="1" a="1"/>
  <c r="K2" i="1" a="1"/>
  <c r="K10" i="1" a="1"/>
  <c r="K18" i="1" a="1"/>
  <c r="K26" i="1" a="1"/>
  <c r="K34" i="1" a="1"/>
  <c r="K42" i="1" a="1"/>
  <c r="K50" i="1" a="1"/>
  <c r="K58" i="1" a="1"/>
  <c r="K66" i="1" a="1"/>
  <c r="K74" i="1" a="1"/>
  <c r="K82" i="1" a="1"/>
  <c r="K90" i="1" a="1"/>
  <c r="K98" i="1" a="1"/>
  <c r="K106" i="1" a="1"/>
  <c r="K114" i="1" a="1"/>
  <c r="K122" i="1" a="1"/>
  <c r="K130" i="1" a="1"/>
  <c r="K138" i="1" a="1"/>
  <c r="K146" i="1" a="1"/>
  <c r="K154" i="1" a="1"/>
  <c r="K162" i="1" a="1"/>
  <c r="K170" i="1" a="1"/>
  <c r="K178" i="1" a="1"/>
  <c r="K186" i="1" a="1"/>
  <c r="K194" i="1" a="1"/>
  <c r="K202" i="1" a="1"/>
  <c r="K210" i="1" a="1"/>
  <c r="K218" i="1" a="1"/>
  <c r="K226" i="1" a="1"/>
  <c r="K234" i="1" a="1"/>
  <c r="K242" i="1" a="1"/>
  <c r="K250" i="1" a="1"/>
  <c r="K258" i="1" a="1"/>
  <c r="K266" i="1" a="1"/>
  <c r="K274" i="1" a="1"/>
  <c r="K282" i="1" a="1"/>
  <c r="K290" i="1" a="1"/>
  <c r="K298" i="1" a="1"/>
  <c r="K322" i="1" a="1"/>
  <c r="K354" i="1" a="1"/>
  <c r="H32" i="1" a="1"/>
  <c r="H112" i="1" a="1"/>
  <c r="H184" i="1" a="1"/>
  <c r="H272" i="1" a="1"/>
  <c r="H352" i="1" a="1"/>
  <c r="K371" i="1" a="1"/>
  <c r="H217" i="1" a="1"/>
  <c r="H329" i="1" a="1"/>
  <c r="K340" i="1" a="1"/>
  <c r="K3" i="1" a="1"/>
  <c r="K11" i="1" a="1"/>
  <c r="K19" i="1" a="1"/>
  <c r="K27" i="1" a="1"/>
  <c r="K35" i="1" a="1"/>
  <c r="K43" i="1" a="1"/>
  <c r="K51" i="1" a="1"/>
  <c r="K59" i="1" a="1"/>
  <c r="K67" i="1" a="1"/>
  <c r="K75" i="1" a="1"/>
  <c r="K83" i="1" a="1"/>
  <c r="K91" i="1" a="1"/>
  <c r="K99" i="1" a="1"/>
  <c r="K107" i="1" a="1"/>
  <c r="K115" i="1" a="1"/>
  <c r="K123" i="1" a="1"/>
  <c r="K131" i="1" a="1"/>
  <c r="K139" i="1" a="1"/>
  <c r="K147" i="1" a="1"/>
  <c r="K155" i="1" a="1"/>
  <c r="K163" i="1" a="1"/>
  <c r="K171" i="1" a="1"/>
  <c r="K179" i="1" a="1"/>
  <c r="K187" i="1" a="1"/>
  <c r="K195" i="1" a="1"/>
  <c r="K203" i="1" a="1"/>
  <c r="K211" i="1" a="1"/>
  <c r="K219" i="1" a="1"/>
  <c r="K227" i="1" a="1"/>
  <c r="K235" i="1" a="1"/>
  <c r="K243" i="1" a="1"/>
  <c r="K251" i="1" a="1"/>
  <c r="K259" i="1" a="1"/>
  <c r="K267" i="1" a="1"/>
  <c r="K275" i="1" a="1"/>
  <c r="K283" i="1" a="1"/>
  <c r="K291" i="1" a="1"/>
  <c r="K299" i="1" a="1"/>
  <c r="K307" i="1" a="1"/>
  <c r="K315" i="1" a="1"/>
  <c r="K323" i="1" a="1"/>
  <c r="K331" i="1" a="1"/>
  <c r="K379" i="1" a="1"/>
  <c r="H185" i="1" a="1"/>
  <c r="H313" i="1" a="1"/>
  <c r="K348" i="1" a="1"/>
  <c r="K4" i="1" a="1"/>
  <c r="K12" i="1" a="1"/>
  <c r="K20" i="1" a="1"/>
  <c r="K28" i="1" a="1"/>
  <c r="K36" i="1" a="1"/>
  <c r="K44" i="1" a="1"/>
  <c r="K52" i="1" a="1"/>
  <c r="K60" i="1" a="1"/>
  <c r="K68" i="1" a="1"/>
  <c r="K76" i="1" a="1"/>
  <c r="K84" i="1" a="1"/>
  <c r="K92" i="1" a="1"/>
  <c r="K100" i="1" a="1"/>
  <c r="K108" i="1" a="1"/>
  <c r="K116" i="1" a="1"/>
  <c r="K124" i="1" a="1"/>
  <c r="K132" i="1" a="1"/>
  <c r="K140" i="1" a="1"/>
  <c r="K148" i="1" a="1"/>
  <c r="K156" i="1" a="1"/>
  <c r="K164" i="1" a="1"/>
  <c r="K172" i="1" a="1"/>
  <c r="K180" i="1" a="1"/>
  <c r="K188" i="1" a="1"/>
  <c r="K196" i="1" a="1"/>
  <c r="K204" i="1" a="1"/>
  <c r="K212" i="1" a="1"/>
  <c r="K220" i="1" a="1"/>
  <c r="K228" i="1" a="1"/>
  <c r="K236" i="1" a="1"/>
  <c r="K244" i="1" a="1"/>
  <c r="K252" i="1" a="1"/>
  <c r="K260" i="1" a="1"/>
  <c r="K268" i="1" a="1"/>
  <c r="K276" i="1" a="1"/>
  <c r="K284" i="1" a="1"/>
  <c r="K292" i="1" a="1"/>
  <c r="K300" i="1" a="1"/>
  <c r="K308" i="1" a="1"/>
  <c r="K5" i="1" a="1"/>
  <c r="K13" i="1" a="1"/>
  <c r="K21" i="1" a="1"/>
  <c r="K29" i="1" a="1"/>
  <c r="K37" i="1" a="1"/>
  <c r="K45" i="1" a="1"/>
  <c r="K53" i="1" a="1"/>
  <c r="K61" i="1" a="1"/>
  <c r="K69" i="1" a="1"/>
  <c r="K77" i="1" a="1"/>
  <c r="K85" i="1" a="1"/>
  <c r="K93" i="1" a="1"/>
  <c r="K101" i="1" a="1"/>
  <c r="K109" i="1" a="1"/>
  <c r="K117" i="1" a="1"/>
  <c r="K125" i="1" a="1"/>
  <c r="K133" i="1" a="1"/>
  <c r="K141" i="1" a="1"/>
  <c r="K149" i="1" a="1"/>
  <c r="K157" i="1" a="1"/>
  <c r="K165" i="1" a="1"/>
  <c r="K173" i="1" a="1"/>
  <c r="K181" i="1" a="1"/>
  <c r="K189" i="1" a="1"/>
  <c r="K197" i="1" a="1"/>
  <c r="K205" i="1" a="1"/>
  <c r="K213" i="1" a="1"/>
  <c r="K221" i="1" a="1"/>
  <c r="K229" i="1" a="1"/>
  <c r="K237" i="1" a="1"/>
  <c r="K245" i="1" a="1"/>
  <c r="K253" i="1" a="1"/>
  <c r="K261" i="1" a="1"/>
  <c r="K269" i="1" a="1"/>
  <c r="K277" i="1" a="1"/>
  <c r="K285" i="1" a="1"/>
  <c r="K293" i="1" a="1"/>
  <c r="K301" i="1" a="1"/>
  <c r="K309" i="1" a="1"/>
  <c r="K317" i="1" a="1"/>
  <c r="K325" i="1" a="1"/>
  <c r="K333" i="1" a="1"/>
  <c r="K341" i="1" a="1"/>
  <c r="K349" i="1" a="1"/>
  <c r="K357" i="1" a="1"/>
  <c r="K365" i="1" a="1"/>
  <c r="K373" i="1" a="1"/>
  <c r="K381" i="1" a="1"/>
  <c r="H299" i="1" a="1"/>
  <c r="K378" i="1" a="1"/>
  <c r="H64" i="1" a="1"/>
  <c r="H104" i="1" a="1"/>
  <c r="H136" i="1" a="1"/>
  <c r="H160" i="1" a="1"/>
  <c r="H192" i="1" a="1"/>
  <c r="H232" i="1" a="1"/>
  <c r="H264" i="1" a="1"/>
  <c r="H296" i="1" a="1"/>
  <c r="H320" i="1" a="1"/>
  <c r="H360" i="1" a="1"/>
  <c r="H384" i="1" a="1"/>
  <c r="K347" i="1" a="1"/>
  <c r="H25" i="1" a="1"/>
  <c r="H41" i="1" a="1"/>
  <c r="H73" i="1" a="1"/>
  <c r="H105" i="1" a="1"/>
  <c r="H129" i="1" a="1"/>
  <c r="H153" i="1" a="1"/>
  <c r="H177" i="1" a="1"/>
  <c r="H225" i="1" a="1"/>
  <c r="H249" i="1" a="1"/>
  <c r="H273" i="1" a="1"/>
  <c r="H297" i="1" a="1"/>
  <c r="H337" i="1" a="1"/>
  <c r="H369" i="1" a="1"/>
  <c r="K316" i="1" a="1"/>
  <c r="K364" i="1" a="1"/>
  <c r="C126" i="10" a="1"/>
  <c r="D126" i="10" a="1"/>
  <c r="B126" i="10" a="1"/>
  <c r="C122" i="10" a="1"/>
  <c r="C121" i="10" a="1"/>
  <c r="D125" i="10" a="1"/>
  <c r="D124" i="10" a="1"/>
  <c r="D123" i="10" a="1"/>
  <c r="D122" i="10" a="1"/>
  <c r="D121" i="10" a="1"/>
  <c r="D120" i="10" a="1"/>
  <c r="D119" i="10" a="1"/>
  <c r="D118" i="10" a="1"/>
  <c r="C123" i="10" a="1"/>
  <c r="B120" i="10" a="1"/>
  <c r="C125" i="10" a="1"/>
  <c r="C124" i="10" a="1"/>
  <c r="C119" i="10" a="1"/>
  <c r="C118" i="10" a="1"/>
  <c r="B125" i="10" a="1"/>
  <c r="B124" i="10" a="1"/>
  <c r="B123" i="10" a="1"/>
  <c r="B122" i="10" a="1"/>
  <c r="B121" i="10" a="1"/>
  <c r="B119" i="10" a="1"/>
  <c r="C120" i="10" a="1"/>
  <c r="B118" i="10" a="1"/>
  <c r="C113" i="10" a="1"/>
  <c r="B116" i="10" a="1"/>
  <c r="B106" i="10" a="1"/>
  <c r="C117" i="10" a="1"/>
  <c r="C103" i="10" a="1"/>
  <c r="B115" i="10" a="1"/>
  <c r="B107" i="10" a="1"/>
  <c r="B103" i="10" a="1"/>
  <c r="D117" i="10" a="1"/>
  <c r="D116" i="10" a="1"/>
  <c r="D115" i="10" a="1"/>
  <c r="D114" i="10" a="1"/>
  <c r="D113" i="10" a="1"/>
  <c r="D112" i="10" a="1"/>
  <c r="D111" i="10" a="1"/>
  <c r="D110" i="10" a="1"/>
  <c r="D109" i="10" a="1"/>
  <c r="D108" i="10" a="1"/>
  <c r="D107" i="10" a="1"/>
  <c r="D106" i="10" a="1"/>
  <c r="D105" i="10" a="1"/>
  <c r="D104" i="10" a="1"/>
  <c r="D103" i="10" a="1"/>
  <c r="C114" i="10" a="1"/>
  <c r="C112" i="10" a="1"/>
  <c r="C111" i="10" a="1"/>
  <c r="C110" i="10" a="1"/>
  <c r="C109" i="10" a="1"/>
  <c r="C108" i="10" a="1"/>
  <c r="C107" i="10" a="1"/>
  <c r="C106" i="10" a="1"/>
  <c r="C104" i="10" a="1"/>
  <c r="B117" i="10" a="1"/>
  <c r="B109" i="10" a="1"/>
  <c r="B105" i="10" a="1"/>
  <c r="B112" i="10" a="1"/>
  <c r="C116" i="10" a="1"/>
  <c r="B113" i="10" a="1"/>
  <c r="B111" i="10" a="1"/>
  <c r="B110" i="10" a="1"/>
  <c r="C115" i="10" a="1"/>
  <c r="C105" i="10" a="1"/>
  <c r="B114" i="10" a="1"/>
  <c r="B108" i="10" a="1"/>
  <c r="B104" i="10" a="1"/>
  <c r="D34" i="10" a="1"/>
  <c r="D30" i="10" a="1"/>
  <c r="D26" i="10" a="1"/>
  <c r="D22" i="10" a="1"/>
  <c r="D18" i="10" a="1"/>
  <c r="D13" i="10" a="1"/>
  <c r="D9" i="10" a="1"/>
  <c r="D33" i="10" a="1"/>
  <c r="D29" i="10" a="1"/>
  <c r="D25" i="10" a="1"/>
  <c r="D21" i="10" a="1"/>
  <c r="D17" i="10" a="1"/>
  <c r="D12" i="10" a="1"/>
  <c r="D20" i="10" a="1"/>
  <c r="D31" i="10" a="1"/>
  <c r="D19" i="10" a="1"/>
  <c r="D27" i="10" a="1"/>
  <c r="D14" i="10" a="1"/>
  <c r="D36" i="10" a="1"/>
  <c r="D32" i="10" a="1"/>
  <c r="D28" i="10" a="1"/>
  <c r="D24" i="10" a="1"/>
  <c r="D16" i="10" a="1"/>
  <c r="D11" i="10" a="1"/>
  <c r="D35" i="10" a="1"/>
  <c r="D23" i="10" a="1"/>
  <c r="D10" i="10" a="1"/>
  <c r="D8" i="10" a="1"/>
  <c r="C25" i="10" a="1"/>
  <c r="C24" i="10" a="1"/>
  <c r="C34" i="10" a="1"/>
  <c r="C30" i="10" a="1"/>
  <c r="C26" i="10" a="1"/>
  <c r="C22" i="10" a="1"/>
  <c r="C18" i="10" a="1"/>
  <c r="C13" i="10" a="1"/>
  <c r="C9" i="10" a="1"/>
  <c r="C29" i="10" a="1"/>
  <c r="C21" i="10" a="1"/>
  <c r="C12" i="10" a="1"/>
  <c r="C36" i="10" a="1"/>
  <c r="C20" i="10" a="1"/>
  <c r="C33" i="10" a="1"/>
  <c r="C17" i="10" a="1"/>
  <c r="C28" i="10" a="1"/>
  <c r="C11" i="10" a="1"/>
  <c r="C35" i="10" a="1"/>
  <c r="C31" i="10" a="1"/>
  <c r="C27" i="10" a="1"/>
  <c r="C23" i="10" a="1"/>
  <c r="C19" i="10" a="1"/>
  <c r="C14" i="10" a="1"/>
  <c r="C10" i="10" a="1"/>
  <c r="C32" i="10" a="1"/>
  <c r="C16" i="10" a="1"/>
  <c r="C8" i="10" a="1"/>
  <c r="B25" i="10" a="1"/>
  <c r="B12" i="10" a="1"/>
  <c r="B24" i="10" a="1"/>
  <c r="B11" i="10" a="1"/>
  <c r="B34" i="10" a="1"/>
  <c r="B30" i="10" a="1"/>
  <c r="B26" i="10" a="1"/>
  <c r="B22" i="10" a="1"/>
  <c r="B18" i="10" a="1"/>
  <c r="B13" i="10" a="1"/>
  <c r="B9" i="10" a="1"/>
  <c r="B29" i="10" a="1"/>
  <c r="B17" i="10" a="1"/>
  <c r="B36" i="10" a="1"/>
  <c r="B20" i="10" a="1"/>
  <c r="B33" i="10" a="1"/>
  <c r="B21" i="10" a="1"/>
  <c r="B32" i="10" a="1"/>
  <c r="B16" i="10" a="1"/>
  <c r="B35" i="10" a="1"/>
  <c r="B31" i="10" a="1"/>
  <c r="B27" i="10" a="1"/>
  <c r="B23" i="10" a="1"/>
  <c r="B19" i="10" a="1"/>
  <c r="B14" i="10" a="1"/>
  <c r="B10" i="10" a="1"/>
  <c r="B28" i="10" a="1"/>
  <c r="B8" i="10" a="1"/>
  <c r="Q4" i="5" a="1"/>
  <c r="Q15" i="5" a="1"/>
  <c r="Q17" i="5" a="1"/>
  <c r="Q13" i="5" a="1"/>
  <c r="Q9" i="5" a="1"/>
  <c r="Q5" i="5" a="1"/>
  <c r="Q12" i="5" a="1"/>
  <c r="Q11" i="5" a="1"/>
  <c r="Q16" i="5" a="1"/>
  <c r="Q7" i="5" a="1"/>
  <c r="Q14" i="5" a="1"/>
  <c r="Q10" i="5" a="1"/>
  <c r="Q6" i="5" a="1"/>
  <c r="Q8" i="5" a="1"/>
  <c r="Q3" i="5" a="1"/>
  <c r="K364" i="1" l="1"/>
  <c r="K316" i="1"/>
  <c r="H369" i="1"/>
  <c r="H337" i="1"/>
  <c r="H297" i="1"/>
  <c r="H273" i="1"/>
  <c r="H249" i="1"/>
  <c r="H225" i="1"/>
  <c r="H177" i="1"/>
  <c r="H153" i="1"/>
  <c r="H129" i="1"/>
  <c r="H105" i="1"/>
  <c r="H73" i="1"/>
  <c r="H41" i="1"/>
  <c r="H25" i="1"/>
  <c r="K347" i="1"/>
  <c r="H384" i="1"/>
  <c r="H360" i="1"/>
  <c r="H320" i="1"/>
  <c r="H296" i="1"/>
  <c r="H264" i="1"/>
  <c r="H232" i="1"/>
  <c r="H192" i="1"/>
  <c r="H160" i="1"/>
  <c r="H136" i="1"/>
  <c r="H104" i="1"/>
  <c r="H64" i="1"/>
  <c r="K378" i="1"/>
  <c r="H299" i="1"/>
  <c r="K381" i="1"/>
  <c r="K373" i="1"/>
  <c r="K365" i="1"/>
  <c r="K357" i="1"/>
  <c r="K349" i="1"/>
  <c r="K341" i="1"/>
  <c r="K333" i="1"/>
  <c r="K325" i="1"/>
  <c r="K317" i="1"/>
  <c r="K309" i="1"/>
  <c r="K301" i="1"/>
  <c r="K293" i="1"/>
  <c r="K285" i="1"/>
  <c r="K277" i="1"/>
  <c r="K269" i="1"/>
  <c r="K261" i="1"/>
  <c r="K253" i="1"/>
  <c r="K245" i="1"/>
  <c r="K237" i="1"/>
  <c r="K229" i="1"/>
  <c r="K221" i="1"/>
  <c r="K213" i="1"/>
  <c r="K205" i="1"/>
  <c r="K197" i="1"/>
  <c r="K189" i="1"/>
  <c r="K181" i="1"/>
  <c r="K173" i="1"/>
  <c r="K165" i="1"/>
  <c r="K157" i="1"/>
  <c r="K149" i="1"/>
  <c r="K141" i="1"/>
  <c r="K133" i="1"/>
  <c r="K125" i="1"/>
  <c r="K117" i="1"/>
  <c r="K109" i="1"/>
  <c r="K101" i="1"/>
  <c r="K93" i="1"/>
  <c r="K85" i="1"/>
  <c r="K77" i="1"/>
  <c r="K69" i="1"/>
  <c r="K61" i="1"/>
  <c r="K53" i="1"/>
  <c r="K45" i="1"/>
  <c r="K37" i="1"/>
  <c r="K29" i="1"/>
  <c r="K21" i="1"/>
  <c r="K13" i="1"/>
  <c r="K5" i="1"/>
  <c r="K308" i="1"/>
  <c r="K300" i="1"/>
  <c r="K292" i="1"/>
  <c r="K284" i="1"/>
  <c r="K276" i="1"/>
  <c r="K268" i="1"/>
  <c r="K260" i="1"/>
  <c r="K252" i="1"/>
  <c r="K244" i="1"/>
  <c r="K236" i="1"/>
  <c r="K228" i="1"/>
  <c r="K220" i="1"/>
  <c r="K212" i="1"/>
  <c r="K204" i="1"/>
  <c r="K196" i="1"/>
  <c r="K188" i="1"/>
  <c r="K180" i="1"/>
  <c r="K172" i="1"/>
  <c r="K164" i="1"/>
  <c r="K156" i="1"/>
  <c r="K148" i="1"/>
  <c r="K140" i="1"/>
  <c r="K132" i="1"/>
  <c r="K124" i="1"/>
  <c r="K116" i="1"/>
  <c r="K108" i="1"/>
  <c r="K100" i="1"/>
  <c r="K92" i="1"/>
  <c r="K84" i="1"/>
  <c r="K76" i="1"/>
  <c r="K68" i="1"/>
  <c r="K60" i="1"/>
  <c r="K52" i="1"/>
  <c r="K44" i="1"/>
  <c r="K36" i="1"/>
  <c r="K28" i="1"/>
  <c r="K20" i="1"/>
  <c r="K12" i="1"/>
  <c r="K4" i="1"/>
  <c r="K348" i="1"/>
  <c r="H313" i="1"/>
  <c r="H185" i="1"/>
  <c r="K379" i="1"/>
  <c r="K331" i="1"/>
  <c r="K323" i="1"/>
  <c r="K315" i="1"/>
  <c r="K307" i="1"/>
  <c r="K299" i="1"/>
  <c r="K291" i="1"/>
  <c r="K283" i="1"/>
  <c r="K275" i="1"/>
  <c r="K267" i="1"/>
  <c r="K259" i="1"/>
  <c r="K251" i="1"/>
  <c r="K243" i="1"/>
  <c r="K235" i="1"/>
  <c r="K227" i="1"/>
  <c r="K219" i="1"/>
  <c r="K211" i="1"/>
  <c r="K203" i="1"/>
  <c r="K195" i="1"/>
  <c r="K187" i="1"/>
  <c r="K179" i="1"/>
  <c r="K171" i="1"/>
  <c r="K163" i="1"/>
  <c r="K155" i="1"/>
  <c r="K147" i="1"/>
  <c r="K139" i="1"/>
  <c r="K131" i="1"/>
  <c r="K123" i="1"/>
  <c r="K115" i="1"/>
  <c r="K107" i="1"/>
  <c r="K99" i="1"/>
  <c r="K91" i="1"/>
  <c r="K83" i="1"/>
  <c r="K75" i="1"/>
  <c r="K67" i="1"/>
  <c r="K59" i="1"/>
  <c r="K51" i="1"/>
  <c r="K43" i="1"/>
  <c r="K35" i="1"/>
  <c r="K27" i="1"/>
  <c r="K19" i="1"/>
  <c r="K11" i="1"/>
  <c r="K3" i="1"/>
  <c r="K340" i="1"/>
  <c r="H329" i="1"/>
  <c r="H217" i="1"/>
  <c r="K371" i="1"/>
  <c r="H352" i="1"/>
  <c r="H272" i="1"/>
  <c r="H184" i="1"/>
  <c r="H112" i="1"/>
  <c r="H32" i="1"/>
  <c r="K354" i="1"/>
  <c r="K322" i="1"/>
  <c r="K298" i="1"/>
  <c r="K290" i="1"/>
  <c r="K282" i="1"/>
  <c r="K274" i="1"/>
  <c r="K266" i="1"/>
  <c r="K258" i="1"/>
  <c r="K250" i="1"/>
  <c r="K242" i="1"/>
  <c r="K234" i="1"/>
  <c r="K226" i="1"/>
  <c r="K218" i="1"/>
  <c r="K210" i="1"/>
  <c r="K202" i="1"/>
  <c r="K194" i="1"/>
  <c r="K186" i="1"/>
  <c r="K178" i="1"/>
  <c r="K170" i="1"/>
  <c r="K162" i="1"/>
  <c r="K154" i="1"/>
  <c r="K146" i="1"/>
  <c r="K138" i="1"/>
  <c r="K130" i="1"/>
  <c r="K122" i="1"/>
  <c r="K114" i="1"/>
  <c r="K106" i="1"/>
  <c r="K98" i="1"/>
  <c r="K90" i="1"/>
  <c r="K82" i="1"/>
  <c r="K74" i="1"/>
  <c r="K66" i="1"/>
  <c r="K58" i="1"/>
  <c r="K50" i="1"/>
  <c r="K42" i="1"/>
  <c r="K34" i="1"/>
  <c r="K26" i="1"/>
  <c r="K18" i="1"/>
  <c r="K10" i="1"/>
  <c r="K2" i="1"/>
  <c r="K356" i="1"/>
  <c r="H353" i="1"/>
  <c r="H209" i="1"/>
  <c r="K363" i="1"/>
  <c r="H328" i="1"/>
  <c r="H216" i="1"/>
  <c r="K386" i="1"/>
  <c r="K330" i="1"/>
  <c r="H375" i="1"/>
  <c r="H223" i="1"/>
  <c r="K385" i="1"/>
  <c r="K353" i="1"/>
  <c r="K321" i="1"/>
  <c r="K281" i="1"/>
  <c r="K249" i="1"/>
  <c r="K225" i="1"/>
  <c r="K217" i="1"/>
  <c r="K209" i="1"/>
  <c r="K201" i="1"/>
  <c r="K193" i="1"/>
  <c r="K185" i="1"/>
  <c r="K177" i="1"/>
  <c r="K169" i="1"/>
  <c r="K161" i="1"/>
  <c r="K153" i="1"/>
  <c r="K145" i="1"/>
  <c r="K137" i="1"/>
  <c r="K129" i="1"/>
  <c r="K121" i="1"/>
  <c r="K113" i="1"/>
  <c r="K105" i="1"/>
  <c r="K97" i="1"/>
  <c r="K89" i="1"/>
  <c r="K81" i="1"/>
  <c r="K73" i="1"/>
  <c r="K65" i="1"/>
  <c r="K57" i="1"/>
  <c r="K49" i="1"/>
  <c r="K41" i="1"/>
  <c r="K33" i="1"/>
  <c r="K25" i="1"/>
  <c r="K17" i="1"/>
  <c r="K9" i="1"/>
  <c r="K372" i="1"/>
  <c r="K324" i="1"/>
  <c r="H377" i="1"/>
  <c r="H345" i="1"/>
  <c r="H305" i="1"/>
  <c r="H281" i="1"/>
  <c r="H257" i="1"/>
  <c r="H233" i="1"/>
  <c r="H193" i="1"/>
  <c r="H161" i="1"/>
  <c r="H137" i="1"/>
  <c r="H113" i="1"/>
  <c r="H89" i="1"/>
  <c r="H65" i="1"/>
  <c r="H49" i="1"/>
  <c r="H17" i="1"/>
  <c r="K355" i="1"/>
  <c r="H376" i="1"/>
  <c r="H336" i="1"/>
  <c r="H304" i="1"/>
  <c r="H280" i="1"/>
  <c r="H248" i="1"/>
  <c r="H224" i="1"/>
  <c r="H200" i="1"/>
  <c r="H168" i="1"/>
  <c r="H144" i="1"/>
  <c r="H120" i="1"/>
  <c r="H88" i="1"/>
  <c r="H72" i="1"/>
  <c r="H56" i="1"/>
  <c r="H40" i="1"/>
  <c r="H16" i="1"/>
  <c r="H8" i="1"/>
  <c r="K362" i="1"/>
  <c r="K338" i="1"/>
  <c r="K314" i="1"/>
  <c r="H335" i="1"/>
  <c r="H319" i="1"/>
  <c r="H303" i="1"/>
  <c r="H287" i="1"/>
  <c r="H271" i="1"/>
  <c r="H255" i="1"/>
  <c r="H239" i="1"/>
  <c r="H215" i="1"/>
  <c r="H199" i="1"/>
  <c r="H183" i="1"/>
  <c r="H167" i="1"/>
  <c r="H151" i="1"/>
  <c r="H127" i="1"/>
  <c r="H111" i="1"/>
  <c r="H95" i="1"/>
  <c r="H79" i="1"/>
  <c r="H63" i="1"/>
  <c r="H47" i="1"/>
  <c r="H23" i="1"/>
  <c r="K377" i="1"/>
  <c r="K361" i="1"/>
  <c r="K337" i="1"/>
  <c r="K305" i="1"/>
  <c r="K289" i="1"/>
  <c r="K265" i="1"/>
  <c r="K241" i="1"/>
  <c r="H374" i="1"/>
  <c r="H350" i="1"/>
  <c r="H334" i="1"/>
  <c r="H214" i="1"/>
  <c r="H190" i="1"/>
  <c r="H166" i="1"/>
  <c r="H142" i="1"/>
  <c r="H118" i="1"/>
  <c r="H94" i="1"/>
  <c r="H70" i="1"/>
  <c r="H46" i="1"/>
  <c r="H22" i="1"/>
  <c r="H14" i="1"/>
  <c r="H6" i="1"/>
  <c r="K384" i="1"/>
  <c r="K376" i="1"/>
  <c r="K368" i="1"/>
  <c r="K360" i="1"/>
  <c r="K352" i="1"/>
  <c r="K344" i="1"/>
  <c r="K336" i="1"/>
  <c r="K328" i="1"/>
  <c r="K320" i="1"/>
  <c r="K312" i="1"/>
  <c r="K304" i="1"/>
  <c r="K296" i="1"/>
  <c r="K288" i="1"/>
  <c r="K280" i="1"/>
  <c r="K272" i="1"/>
  <c r="K264" i="1"/>
  <c r="K256" i="1"/>
  <c r="K248" i="1"/>
  <c r="K240" i="1"/>
  <c r="K232" i="1"/>
  <c r="K224" i="1"/>
  <c r="K216" i="1"/>
  <c r="K208" i="1"/>
  <c r="K200" i="1"/>
  <c r="K192" i="1"/>
  <c r="K184" i="1"/>
  <c r="K176" i="1"/>
  <c r="K168" i="1"/>
  <c r="K160" i="1"/>
  <c r="K152" i="1"/>
  <c r="K144" i="1"/>
  <c r="K136" i="1"/>
  <c r="K128" i="1"/>
  <c r="K120" i="1"/>
  <c r="K112" i="1"/>
  <c r="K104" i="1"/>
  <c r="K96" i="1"/>
  <c r="K88" i="1"/>
  <c r="K80" i="1"/>
  <c r="K72" i="1"/>
  <c r="K64" i="1"/>
  <c r="K56" i="1"/>
  <c r="K48" i="1"/>
  <c r="K40" i="1"/>
  <c r="K32" i="1"/>
  <c r="K24" i="1"/>
  <c r="K16" i="1"/>
  <c r="K8" i="1"/>
  <c r="H294" i="1"/>
  <c r="H270" i="1"/>
  <c r="H254" i="1"/>
  <c r="H238" i="1"/>
  <c r="H222" i="1"/>
  <c r="H198" i="1"/>
  <c r="H174" i="1"/>
  <c r="H150" i="1"/>
  <c r="H126" i="1"/>
  <c r="H102" i="1"/>
  <c r="H86" i="1"/>
  <c r="H62" i="1"/>
  <c r="H30" i="1"/>
  <c r="K383" i="1"/>
  <c r="K375" i="1"/>
  <c r="K367" i="1"/>
  <c r="K359" i="1"/>
  <c r="K351" i="1"/>
  <c r="K343" i="1"/>
  <c r="K335" i="1"/>
  <c r="K327" i="1"/>
  <c r="K319" i="1"/>
  <c r="K311" i="1"/>
  <c r="K303" i="1"/>
  <c r="K295" i="1"/>
  <c r="K287" i="1"/>
  <c r="K279" i="1"/>
  <c r="K271" i="1"/>
  <c r="K263" i="1"/>
  <c r="K255" i="1"/>
  <c r="K247" i="1"/>
  <c r="K239" i="1"/>
  <c r="K231" i="1"/>
  <c r="K223" i="1"/>
  <c r="K215" i="1"/>
  <c r="K207" i="1"/>
  <c r="K199" i="1"/>
  <c r="K191" i="1"/>
  <c r="K183" i="1"/>
  <c r="K175" i="1"/>
  <c r="K167" i="1"/>
  <c r="K159" i="1"/>
  <c r="K151" i="1"/>
  <c r="K143" i="1"/>
  <c r="K135" i="1"/>
  <c r="K127" i="1"/>
  <c r="K119" i="1"/>
  <c r="K111" i="1"/>
  <c r="K103" i="1"/>
  <c r="K95" i="1"/>
  <c r="K87" i="1"/>
  <c r="K79" i="1"/>
  <c r="K71" i="1"/>
  <c r="K63" i="1"/>
  <c r="K55" i="1"/>
  <c r="K47" i="1"/>
  <c r="K39" i="1"/>
  <c r="K31" i="1"/>
  <c r="K23" i="1"/>
  <c r="K15" i="1"/>
  <c r="K7" i="1"/>
  <c r="K380" i="1"/>
  <c r="K332" i="1"/>
  <c r="H385" i="1"/>
  <c r="H361" i="1"/>
  <c r="H321" i="1"/>
  <c r="H289" i="1"/>
  <c r="H265" i="1"/>
  <c r="H241" i="1"/>
  <c r="H201" i="1"/>
  <c r="H169" i="1"/>
  <c r="H145" i="1"/>
  <c r="H121" i="1"/>
  <c r="H97" i="1"/>
  <c r="H81" i="1"/>
  <c r="H57" i="1"/>
  <c r="H33" i="1"/>
  <c r="H9" i="1"/>
  <c r="K339" i="1"/>
  <c r="H368" i="1"/>
  <c r="H344" i="1"/>
  <c r="H312" i="1"/>
  <c r="H288" i="1"/>
  <c r="H256" i="1"/>
  <c r="H240" i="1"/>
  <c r="H208" i="1"/>
  <c r="H176" i="1"/>
  <c r="H152" i="1"/>
  <c r="H128" i="1"/>
  <c r="H96" i="1"/>
  <c r="H80" i="1"/>
  <c r="H48" i="1"/>
  <c r="H24" i="1"/>
  <c r="K370" i="1"/>
  <c r="K346" i="1"/>
  <c r="K306" i="1"/>
  <c r="H383" i="1"/>
  <c r="H367" i="1"/>
  <c r="H359" i="1"/>
  <c r="H351" i="1"/>
  <c r="H343" i="1"/>
  <c r="H327" i="1"/>
  <c r="H311" i="1"/>
  <c r="H295" i="1"/>
  <c r="H279" i="1"/>
  <c r="H263" i="1"/>
  <c r="H247" i="1"/>
  <c r="H231" i="1"/>
  <c r="H207" i="1"/>
  <c r="H191" i="1"/>
  <c r="H175" i="1"/>
  <c r="H159" i="1"/>
  <c r="H143" i="1"/>
  <c r="H135" i="1"/>
  <c r="H119" i="1"/>
  <c r="H103" i="1"/>
  <c r="H87" i="1"/>
  <c r="H71" i="1"/>
  <c r="H55" i="1"/>
  <c r="H39" i="1"/>
  <c r="H31" i="1"/>
  <c r="H15" i="1"/>
  <c r="H7" i="1"/>
  <c r="K369" i="1"/>
  <c r="K345" i="1"/>
  <c r="K329" i="1"/>
  <c r="K313" i="1"/>
  <c r="K297" i="1"/>
  <c r="K273" i="1"/>
  <c r="K257" i="1"/>
  <c r="K233" i="1"/>
  <c r="H382" i="1"/>
  <c r="H366" i="1"/>
  <c r="H342" i="1"/>
  <c r="H326" i="1"/>
  <c r="H318" i="1"/>
  <c r="H310" i="1"/>
  <c r="H286" i="1"/>
  <c r="H278" i="1"/>
  <c r="H262" i="1"/>
  <c r="H246" i="1"/>
  <c r="H230" i="1"/>
  <c r="H206" i="1"/>
  <c r="H182" i="1"/>
  <c r="H158" i="1"/>
  <c r="H134" i="1"/>
  <c r="H110" i="1"/>
  <c r="H78" i="1"/>
  <c r="H54" i="1"/>
  <c r="H38" i="1"/>
  <c r="K382" i="1"/>
  <c r="K374" i="1"/>
  <c r="K366" i="1"/>
  <c r="K358" i="1"/>
  <c r="K350" i="1"/>
  <c r="K342" i="1"/>
  <c r="K334" i="1"/>
  <c r="K326" i="1"/>
  <c r="K318" i="1"/>
  <c r="K310" i="1"/>
  <c r="K302" i="1"/>
  <c r="K294" i="1"/>
  <c r="K286" i="1"/>
  <c r="K278" i="1"/>
  <c r="K270" i="1"/>
  <c r="K262" i="1"/>
  <c r="K254" i="1"/>
  <c r="K246" i="1"/>
  <c r="K238" i="1"/>
  <c r="K230" i="1"/>
  <c r="K222" i="1"/>
  <c r="K214" i="1"/>
  <c r="K206" i="1"/>
  <c r="K198" i="1"/>
  <c r="K190" i="1"/>
  <c r="K182" i="1"/>
  <c r="K174" i="1"/>
  <c r="K166" i="1"/>
  <c r="K158" i="1"/>
  <c r="K150" i="1"/>
  <c r="K142" i="1"/>
  <c r="K134" i="1"/>
  <c r="K126" i="1"/>
  <c r="K118" i="1"/>
  <c r="K110" i="1"/>
  <c r="K102" i="1"/>
  <c r="K94" i="1"/>
  <c r="K86" i="1"/>
  <c r="K78" i="1"/>
  <c r="K70" i="1"/>
  <c r="K62" i="1"/>
  <c r="K54" i="1"/>
  <c r="K46" i="1"/>
  <c r="K38" i="1"/>
  <c r="K30" i="1"/>
  <c r="K22" i="1"/>
  <c r="K14" i="1"/>
  <c r="K6" i="1"/>
  <c r="B126" i="10"/>
  <c r="D126" i="10"/>
  <c r="C126" i="10"/>
  <c r="B118" i="10"/>
  <c r="C120" i="10"/>
  <c r="B119" i="10"/>
  <c r="B121" i="10"/>
  <c r="B122" i="10"/>
  <c r="B123" i="10"/>
  <c r="B124" i="10"/>
  <c r="B125" i="10"/>
  <c r="C118" i="10"/>
  <c r="C119" i="10"/>
  <c r="C124" i="10"/>
  <c r="C125" i="10"/>
  <c r="B120" i="10"/>
  <c r="C123" i="10"/>
  <c r="D118" i="10"/>
  <c r="D119" i="10"/>
  <c r="D120" i="10"/>
  <c r="D121" i="10"/>
  <c r="D122" i="10"/>
  <c r="D123" i="10"/>
  <c r="D124" i="10"/>
  <c r="D125" i="10"/>
  <c r="C121" i="10"/>
  <c r="C122" i="10"/>
  <c r="B104" i="10"/>
  <c r="B108" i="10"/>
  <c r="B114" i="10"/>
  <c r="C105" i="10"/>
  <c r="C115" i="10"/>
  <c r="B110" i="10"/>
  <c r="B111" i="10"/>
  <c r="B113" i="10"/>
  <c r="C116" i="10"/>
  <c r="B112" i="10"/>
  <c r="B105" i="10"/>
  <c r="B109" i="10"/>
  <c r="B117" i="10"/>
  <c r="C104" i="10"/>
  <c r="C106" i="10"/>
  <c r="C107" i="10"/>
  <c r="C108" i="10"/>
  <c r="C109" i="10"/>
  <c r="C110" i="10"/>
  <c r="C111" i="10"/>
  <c r="C112" i="10"/>
  <c r="C114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B103" i="10"/>
  <c r="B107" i="10"/>
  <c r="B115" i="10"/>
  <c r="C103" i="10"/>
  <c r="C117" i="10"/>
  <c r="B106" i="10"/>
  <c r="B116" i="10"/>
  <c r="C113" i="10"/>
  <c r="D10" i="10"/>
  <c r="D23" i="10"/>
  <c r="D35" i="10"/>
  <c r="D11" i="10"/>
  <c r="D16" i="10"/>
  <c r="D24" i="10"/>
  <c r="D28" i="10"/>
  <c r="D32" i="10"/>
  <c r="D36" i="10"/>
  <c r="D14" i="10"/>
  <c r="D27" i="10"/>
  <c r="D19" i="10"/>
  <c r="D31" i="10"/>
  <c r="D20" i="10"/>
  <c r="D12" i="10"/>
  <c r="D17" i="10"/>
  <c r="D21" i="10"/>
  <c r="D25" i="10"/>
  <c r="D29" i="10"/>
  <c r="D33" i="10"/>
  <c r="D9" i="10"/>
  <c r="D13" i="10"/>
  <c r="D18" i="10"/>
  <c r="D22" i="10"/>
  <c r="D26" i="10"/>
  <c r="D30" i="10"/>
  <c r="D34" i="10"/>
  <c r="D8" i="10"/>
  <c r="C16" i="10"/>
  <c r="C32" i="10"/>
  <c r="C10" i="10"/>
  <c r="C14" i="10"/>
  <c r="C19" i="10"/>
  <c r="C23" i="10"/>
  <c r="C27" i="10"/>
  <c r="C31" i="10"/>
  <c r="C35" i="10"/>
  <c r="C11" i="10"/>
  <c r="C28" i="10"/>
  <c r="C17" i="10"/>
  <c r="C33" i="10"/>
  <c r="C20" i="10"/>
  <c r="C36" i="10"/>
  <c r="C12" i="10"/>
  <c r="C21" i="10"/>
  <c r="C29" i="10"/>
  <c r="C9" i="10"/>
  <c r="C13" i="10"/>
  <c r="C18" i="10"/>
  <c r="C22" i="10"/>
  <c r="C26" i="10"/>
  <c r="C30" i="10"/>
  <c r="C34" i="10"/>
  <c r="C24" i="10"/>
  <c r="C25" i="10"/>
  <c r="C8" i="10"/>
  <c r="B28" i="10"/>
  <c r="B10" i="10"/>
  <c r="B14" i="10"/>
  <c r="B19" i="10"/>
  <c r="B23" i="10"/>
  <c r="B27" i="10"/>
  <c r="B31" i="10"/>
  <c r="B35" i="10"/>
  <c r="B16" i="10"/>
  <c r="B32" i="10"/>
  <c r="B21" i="10"/>
  <c r="B33" i="10"/>
  <c r="B20" i="10"/>
  <c r="B36" i="10"/>
  <c r="B17" i="10"/>
  <c r="B29" i="10"/>
  <c r="B9" i="10"/>
  <c r="B13" i="10"/>
  <c r="B18" i="10"/>
  <c r="B22" i="10"/>
  <c r="B26" i="10"/>
  <c r="B30" i="10"/>
  <c r="B34" i="10"/>
  <c r="B11" i="10"/>
  <c r="B24" i="10"/>
  <c r="B12" i="10"/>
  <c r="B25" i="10"/>
  <c r="B8" i="10"/>
  <c r="B56" i="3" a="1"/>
  <c r="B56" i="3" s="1"/>
  <c r="C22" i="3"/>
  <c r="C11" i="3" s="1"/>
  <c r="Q8" i="5"/>
  <c r="R8" i="5" s="1"/>
  <c r="Q6" i="5"/>
  <c r="R6" i="5" s="1"/>
  <c r="Q10" i="5"/>
  <c r="R10" i="5" s="1"/>
  <c r="Q14" i="5"/>
  <c r="R14" i="5" s="1"/>
  <c r="Q7" i="5"/>
  <c r="R7" i="5" s="1"/>
  <c r="Q16" i="5"/>
  <c r="R16" i="5" s="1"/>
  <c r="Q11" i="5"/>
  <c r="R11" i="5" s="1"/>
  <c r="Q12" i="5"/>
  <c r="R12" i="5" s="1"/>
  <c r="Q5" i="5"/>
  <c r="R5" i="5" s="1"/>
  <c r="Q9" i="5"/>
  <c r="R9" i="5" s="1"/>
  <c r="Q13" i="5"/>
  <c r="R13" i="5" s="1"/>
  <c r="Q17" i="5"/>
  <c r="R17" i="5" s="1"/>
  <c r="Q15" i="5"/>
  <c r="R15" i="5" s="1"/>
  <c r="Q4" i="5"/>
  <c r="R4" i="5" s="1"/>
  <c r="Q3" i="5"/>
  <c r="R3" i="5" s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D15" i="1"/>
  <c r="E15" i="1"/>
  <c r="D14" i="1"/>
  <c r="E14" i="1"/>
  <c r="D13" i="1"/>
  <c r="E13" i="1"/>
  <c r="D12" i="1"/>
  <c r="E12" i="1"/>
  <c r="D11" i="1"/>
  <c r="E11" i="1"/>
  <c r="D10" i="1"/>
  <c r="E10" i="1"/>
  <c r="D9" i="1"/>
  <c r="E9" i="1"/>
  <c r="E8" i="1"/>
  <c r="E7" i="1"/>
  <c r="E6" i="1"/>
  <c r="E5" i="1"/>
  <c r="E4" i="1"/>
  <c r="E3" i="1"/>
  <c r="E2" i="1"/>
  <c r="D8" i="1"/>
  <c r="D7" i="1"/>
  <c r="D6" i="1"/>
  <c r="D5" i="1"/>
  <c r="D4" i="1"/>
  <c r="D3" i="1"/>
  <c r="D2" i="1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O4" i="5"/>
  <c r="O3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H379" i="1" a="1"/>
  <c r="H315" i="1" a="1"/>
  <c r="H259" i="1" a="1"/>
  <c r="H195" i="1" a="1"/>
  <c r="H131" i="1" a="1"/>
  <c r="H67" i="1" a="1"/>
  <c r="H3" i="1" a="1"/>
  <c r="N325" i="1" a="1"/>
  <c r="N261" i="1" a="1"/>
  <c r="N197" i="1" a="1"/>
  <c r="N133" i="1" a="1"/>
  <c r="N69" i="1" a="1"/>
  <c r="N5" i="1" a="1"/>
  <c r="H330" i="1" a="1"/>
  <c r="N355" i="1" a="1"/>
  <c r="N291" i="1" a="1"/>
  <c r="N227" i="1" a="1"/>
  <c r="N163" i="1" a="1"/>
  <c r="N346" i="1" a="1"/>
  <c r="N282" i="1" a="1"/>
  <c r="N369" i="1" a="1"/>
  <c r="H349" i="1" a="1"/>
  <c r="H380" i="1" a="1"/>
  <c r="H282" i="1" a="1"/>
  <c r="H218" i="1" a="1"/>
  <c r="H154" i="1" a="1"/>
  <c r="H90" i="1" a="1"/>
  <c r="H26" i="1" a="1"/>
  <c r="N348" i="1" a="1"/>
  <c r="N284" i="1" a="1"/>
  <c r="N220" i="1" a="1"/>
  <c r="N156" i="1" a="1"/>
  <c r="N92" i="1" a="1"/>
  <c r="N28" i="1" a="1"/>
  <c r="N107" i="1" a="1"/>
  <c r="N43" i="1" a="1"/>
  <c r="N210" i="1" a="1"/>
  <c r="N146" i="1" a="1"/>
  <c r="N82" i="1" a="1"/>
  <c r="N18" i="1" a="1"/>
  <c r="N297" i="1" a="1"/>
  <c r="N233" i="1" a="1"/>
  <c r="N169" i="1" a="1"/>
  <c r="N105" i="1" a="1"/>
  <c r="N41" i="1" a="1"/>
  <c r="N360" i="1" a="1"/>
  <c r="N296" i="1" a="1"/>
  <c r="N232" i="1" a="1"/>
  <c r="N168" i="1" a="1"/>
  <c r="N104" i="1" a="1"/>
  <c r="N40" i="1" a="1"/>
  <c r="H269" i="1" a="1"/>
  <c r="H205" i="1" a="1"/>
  <c r="H141" i="1" a="1"/>
  <c r="H77" i="1" a="1"/>
  <c r="H13" i="1" a="1"/>
  <c r="N335" i="1" a="1"/>
  <c r="N271" i="1" a="1"/>
  <c r="N207" i="1" a="1"/>
  <c r="N143" i="1" a="1"/>
  <c r="N79" i="1" a="1"/>
  <c r="N15" i="1" a="1"/>
  <c r="H276" i="1" a="1"/>
  <c r="H212" i="1" a="1"/>
  <c r="H148" i="1" a="1"/>
  <c r="H84" i="1" a="1"/>
  <c r="H20" i="1" a="1"/>
  <c r="N342" i="1" a="1"/>
  <c r="N278" i="1" a="1"/>
  <c r="N214" i="1" a="1"/>
  <c r="N150" i="1" a="1"/>
  <c r="N86" i="1" a="1"/>
  <c r="N22" i="1" a="1"/>
  <c r="H130" i="1" a="1"/>
  <c r="N132" i="1" a="1"/>
  <c r="N4" i="1" a="1"/>
  <c r="N186" i="1" a="1"/>
  <c r="N337" i="1" a="1"/>
  <c r="N81" i="1" a="1"/>
  <c r="N272" i="1" a="1"/>
  <c r="N80" i="1" a="1"/>
  <c r="H181" i="1" a="1"/>
  <c r="N375" i="1" a="1"/>
  <c r="N183" i="1" a="1"/>
  <c r="H316" i="1" a="1"/>
  <c r="H124" i="1" a="1"/>
  <c r="N318" i="1" a="1"/>
  <c r="N126" i="1" a="1"/>
  <c r="N139" i="1" a="1"/>
  <c r="N50" i="1" a="1"/>
  <c r="N329" i="1" a="1"/>
  <c r="N137" i="1" a="1"/>
  <c r="N264" i="1" a="1"/>
  <c r="N72" i="1" a="1"/>
  <c r="H173" i="1" a="1"/>
  <c r="N303" i="1" a="1"/>
  <c r="N111" i="1" a="1"/>
  <c r="H244" i="1" a="1"/>
  <c r="N374" i="1" a="1"/>
  <c r="N182" i="1" a="1"/>
  <c r="N321" i="1" a="1"/>
  <c r="N65" i="1" a="1"/>
  <c r="N256" i="1" a="1"/>
  <c r="H293" i="1" a="1"/>
  <c r="H101" i="1" a="1"/>
  <c r="N295" i="1" a="1"/>
  <c r="N103" i="1" a="1"/>
  <c r="H172" i="1" a="1"/>
  <c r="N302" i="1" a="1"/>
  <c r="N110" i="1" a="1"/>
  <c r="H371" i="1" a="1"/>
  <c r="H307" i="1" a="1"/>
  <c r="H251" i="1" a="1"/>
  <c r="H187" i="1" a="1"/>
  <c r="H123" i="1" a="1"/>
  <c r="H59" i="1" a="1"/>
  <c r="N381" i="1" a="1"/>
  <c r="N317" i="1" a="1"/>
  <c r="N253" i="1" a="1"/>
  <c r="N189" i="1" a="1"/>
  <c r="N125" i="1" a="1"/>
  <c r="N61" i="1" a="1"/>
  <c r="H386" i="1" a="1"/>
  <c r="H322" i="1" a="1"/>
  <c r="N347" i="1" a="1"/>
  <c r="N283" i="1" a="1"/>
  <c r="N219" i="1" a="1"/>
  <c r="N155" i="1" a="1"/>
  <c r="N338" i="1" a="1"/>
  <c r="N274" i="1" a="1"/>
  <c r="N361" i="1" a="1"/>
  <c r="H341" i="1" a="1"/>
  <c r="H372" i="1" a="1"/>
  <c r="H274" i="1" a="1"/>
  <c r="H210" i="1" a="1"/>
  <c r="H146" i="1" a="1"/>
  <c r="H82" i="1" a="1"/>
  <c r="H18" i="1" a="1"/>
  <c r="N340" i="1" a="1"/>
  <c r="N276" i="1" a="1"/>
  <c r="N212" i="1" a="1"/>
  <c r="N148" i="1" a="1"/>
  <c r="N84" i="1" a="1"/>
  <c r="N20" i="1" a="1"/>
  <c r="N99" i="1" a="1"/>
  <c r="N35" i="1" a="1"/>
  <c r="N202" i="1" a="1"/>
  <c r="N138" i="1" a="1"/>
  <c r="N74" i="1" a="1"/>
  <c r="N10" i="1" a="1"/>
  <c r="N289" i="1" a="1"/>
  <c r="N225" i="1" a="1"/>
  <c r="N161" i="1" a="1"/>
  <c r="N97" i="1" a="1"/>
  <c r="N33" i="1" a="1"/>
  <c r="N352" i="1" a="1"/>
  <c r="N288" i="1" a="1"/>
  <c r="N224" i="1" a="1"/>
  <c r="N160" i="1" a="1"/>
  <c r="N96" i="1" a="1"/>
  <c r="N32" i="1" a="1"/>
  <c r="H261" i="1" a="1"/>
  <c r="H197" i="1" a="1"/>
  <c r="H133" i="1" a="1"/>
  <c r="H69" i="1" a="1"/>
  <c r="H5" i="1" a="1"/>
  <c r="N327" i="1" a="1"/>
  <c r="N263" i="1" a="1"/>
  <c r="N199" i="1" a="1"/>
  <c r="N135" i="1" a="1"/>
  <c r="N71" i="1" a="1"/>
  <c r="N7" i="1" a="1"/>
  <c r="H268" i="1" a="1"/>
  <c r="H204" i="1" a="1"/>
  <c r="H140" i="1" a="1"/>
  <c r="H76" i="1" a="1"/>
  <c r="H12" i="1" a="1"/>
  <c r="N334" i="1" a="1"/>
  <c r="N270" i="1" a="1"/>
  <c r="N206" i="1" a="1"/>
  <c r="N142" i="1" a="1"/>
  <c r="N78" i="1" a="1"/>
  <c r="N14" i="1" a="1"/>
  <c r="H66" i="1" a="1"/>
  <c r="N196" i="1" a="1"/>
  <c r="N83" i="1" a="1"/>
  <c r="N122" i="1" a="1"/>
  <c r="N273" i="1" a="1"/>
  <c r="N17" i="1" a="1"/>
  <c r="N208" i="1" a="1"/>
  <c r="N16" i="1" a="1"/>
  <c r="H117" i="1" a="1"/>
  <c r="N311" i="1" a="1"/>
  <c r="N119" i="1" a="1"/>
  <c r="H252" i="1" a="1"/>
  <c r="H60" i="1" a="1"/>
  <c r="N254" i="1" a="1"/>
  <c r="N178" i="1" a="1"/>
  <c r="N265" i="1" a="1"/>
  <c r="N9" i="1" a="1"/>
  <c r="N200" i="1" a="1"/>
  <c r="N8" i="1" a="1"/>
  <c r="H45" i="1" a="1"/>
  <c r="N175" i="1" a="1"/>
  <c r="H308" i="1" a="1"/>
  <c r="H116" i="1" a="1"/>
  <c r="N246" i="1" a="1"/>
  <c r="N54" i="1" a="1"/>
  <c r="N106" i="1" a="1"/>
  <c r="N129" i="1" a="1"/>
  <c r="N320" i="1" a="1"/>
  <c r="N128" i="1" a="1"/>
  <c r="H165" i="1" a="1"/>
  <c r="N359" i="1" a="1"/>
  <c r="N167" i="1" a="1"/>
  <c r="H236" i="1" a="1"/>
  <c r="N366" i="1" a="1"/>
  <c r="N174" i="1" a="1"/>
  <c r="H363" i="1" a="1"/>
  <c r="H358" i="1" a="1"/>
  <c r="H243" i="1" a="1"/>
  <c r="H179" i="1" a="1"/>
  <c r="H115" i="1" a="1"/>
  <c r="H51" i="1" a="1"/>
  <c r="N373" i="1" a="1"/>
  <c r="N309" i="1" a="1"/>
  <c r="N245" i="1" a="1"/>
  <c r="N181" i="1" a="1"/>
  <c r="N117" i="1" a="1"/>
  <c r="N53" i="1" a="1"/>
  <c r="H378" i="1" a="1"/>
  <c r="H314" i="1" a="1"/>
  <c r="N339" i="1" a="1"/>
  <c r="N275" i="1" a="1"/>
  <c r="N211" i="1" a="1"/>
  <c r="N147" i="1" a="1"/>
  <c r="N330" i="1" a="1"/>
  <c r="N266" i="1" a="1"/>
  <c r="N353" i="1" a="1"/>
  <c r="H333" i="1" a="1"/>
  <c r="H364" i="1" a="1"/>
  <c r="H266" i="1" a="1"/>
  <c r="H202" i="1" a="1"/>
  <c r="H138" i="1" a="1"/>
  <c r="H74" i="1" a="1"/>
  <c r="H10" i="1" a="1"/>
  <c r="N332" i="1" a="1"/>
  <c r="N268" i="1" a="1"/>
  <c r="N204" i="1" a="1"/>
  <c r="N140" i="1" a="1"/>
  <c r="N76" i="1" a="1"/>
  <c r="N12" i="1" a="1"/>
  <c r="N91" i="1" a="1"/>
  <c r="N27" i="1" a="1"/>
  <c r="N194" i="1" a="1"/>
  <c r="N130" i="1" a="1"/>
  <c r="N66" i="1" a="1"/>
  <c r="N2" i="1" a="1"/>
  <c r="N281" i="1" a="1"/>
  <c r="N217" i="1" a="1"/>
  <c r="N153" i="1" a="1"/>
  <c r="N89" i="1" a="1"/>
  <c r="N25" i="1" a="1"/>
  <c r="N344" i="1" a="1"/>
  <c r="N280" i="1" a="1"/>
  <c r="N216" i="1" a="1"/>
  <c r="N152" i="1" a="1"/>
  <c r="N88" i="1" a="1"/>
  <c r="N24" i="1" a="1"/>
  <c r="H253" i="1" a="1"/>
  <c r="H189" i="1" a="1"/>
  <c r="H125" i="1" a="1"/>
  <c r="H61" i="1" a="1"/>
  <c r="N383" i="1" a="1"/>
  <c r="N319" i="1" a="1"/>
  <c r="N255" i="1" a="1"/>
  <c r="N191" i="1" a="1"/>
  <c r="N127" i="1" a="1"/>
  <c r="N63" i="1" a="1"/>
  <c r="H324" i="1" a="1"/>
  <c r="H260" i="1" a="1"/>
  <c r="H196" i="1" a="1"/>
  <c r="H132" i="1" a="1"/>
  <c r="H68" i="1" a="1"/>
  <c r="H4" i="1" a="1"/>
  <c r="N326" i="1" a="1"/>
  <c r="N262" i="1" a="1"/>
  <c r="N198" i="1" a="1"/>
  <c r="N134" i="1" a="1"/>
  <c r="N70" i="1" a="1"/>
  <c r="N6" i="1" a="1"/>
  <c r="H194" i="1" a="1"/>
  <c r="N68" i="1" a="1"/>
  <c r="N19" i="1" a="1"/>
  <c r="N58" i="1" a="1"/>
  <c r="N209" i="1" a="1"/>
  <c r="N336" i="1" a="1"/>
  <c r="N144" i="1" a="1"/>
  <c r="H245" i="1" a="1"/>
  <c r="H53" i="1" a="1"/>
  <c r="N247" i="1" a="1"/>
  <c r="N55" i="1" a="1"/>
  <c r="H188" i="1" a="1"/>
  <c r="N382" i="1" a="1"/>
  <c r="N190" i="1" a="1"/>
  <c r="N11" i="1" a="1"/>
  <c r="N201" i="1" a="1"/>
  <c r="N328" i="1" a="1"/>
  <c r="N136" i="1" a="1"/>
  <c r="H237" i="1" a="1"/>
  <c r="N367" i="1" a="1"/>
  <c r="N239" i="1" a="1"/>
  <c r="N47" i="1" a="1"/>
  <c r="H180" i="1" a="1"/>
  <c r="N310" i="1" a="1"/>
  <c r="N118" i="1" a="1"/>
  <c r="N257" i="1" a="1"/>
  <c r="N384" i="1" a="1"/>
  <c r="N192" i="1" a="1"/>
  <c r="H229" i="1" a="1"/>
  <c r="H37" i="1" a="1"/>
  <c r="N231" i="1" a="1"/>
  <c r="H300" i="1" a="1"/>
  <c r="H108" i="1" a="1"/>
  <c r="N238" i="1" a="1"/>
  <c r="N46" i="1" a="1"/>
  <c r="H355" i="1" a="1"/>
  <c r="H302" i="1" a="1"/>
  <c r="H235" i="1" a="1"/>
  <c r="H171" i="1" a="1"/>
  <c r="H107" i="1" a="1"/>
  <c r="H43" i="1" a="1"/>
  <c r="N365" i="1" a="1"/>
  <c r="N301" i="1" a="1"/>
  <c r="N237" i="1" a="1"/>
  <c r="N173" i="1" a="1"/>
  <c r="N109" i="1" a="1"/>
  <c r="N45" i="1" a="1"/>
  <c r="H370" i="1" a="1"/>
  <c r="H306" i="1" a="1"/>
  <c r="N331" i="1" a="1"/>
  <c r="N267" i="1" a="1"/>
  <c r="N203" i="1" a="1"/>
  <c r="N386" i="1" a="1"/>
  <c r="N322" i="1" a="1"/>
  <c r="N258" i="1" a="1"/>
  <c r="N345" i="1" a="1"/>
  <c r="H325" i="1" a="1"/>
  <c r="H356" i="1" a="1"/>
  <c r="H258" i="1" a="1"/>
  <c r="H2" i="1" a="1"/>
  <c r="N324" i="1" a="1"/>
  <c r="N260" i="1" a="1"/>
  <c r="N145" i="1" a="1"/>
  <c r="N62" i="1" a="1"/>
  <c r="H347" i="1" a="1"/>
  <c r="H291" i="1" a="1"/>
  <c r="H227" i="1" a="1"/>
  <c r="H163" i="1" a="1"/>
  <c r="H99" i="1" a="1"/>
  <c r="H35" i="1" a="1"/>
  <c r="N357" i="1" a="1"/>
  <c r="N293" i="1" a="1"/>
  <c r="N229" i="1" a="1"/>
  <c r="N165" i="1" a="1"/>
  <c r="N101" i="1" a="1"/>
  <c r="N37" i="1" a="1"/>
  <c r="H362" i="1" a="1"/>
  <c r="H298" i="1" a="1"/>
  <c r="N323" i="1" a="1"/>
  <c r="N259" i="1" a="1"/>
  <c r="N195" i="1" a="1"/>
  <c r="N378" i="1" a="1"/>
  <c r="N314" i="1" a="1"/>
  <c r="N250" i="1" a="1"/>
  <c r="N385" i="1" a="1"/>
  <c r="H317" i="1" a="1"/>
  <c r="H348" i="1" a="1"/>
  <c r="H250" i="1" a="1"/>
  <c r="H186" i="1" a="1"/>
  <c r="H122" i="1" a="1"/>
  <c r="H58" i="1" a="1"/>
  <c r="N380" i="1" a="1"/>
  <c r="N316" i="1" a="1"/>
  <c r="N252" i="1" a="1"/>
  <c r="N188" i="1" a="1"/>
  <c r="N124" i="1" a="1"/>
  <c r="N60" i="1" a="1"/>
  <c r="N75" i="1" a="1"/>
  <c r="N114" i="1" a="1"/>
  <c r="N73" i="1" a="1"/>
  <c r="H109" i="1" a="1"/>
  <c r="H52" i="1" a="1"/>
  <c r="H339" i="1" a="1"/>
  <c r="H283" i="1" a="1"/>
  <c r="H219" i="1" a="1"/>
  <c r="H155" i="1" a="1"/>
  <c r="H91" i="1" a="1"/>
  <c r="H27" i="1" a="1"/>
  <c r="N349" i="1" a="1"/>
  <c r="N285" i="1" a="1"/>
  <c r="N221" i="1" a="1"/>
  <c r="N157" i="1" a="1"/>
  <c r="N93" i="1" a="1"/>
  <c r="N29" i="1" a="1"/>
  <c r="H354" i="1" a="1"/>
  <c r="N379" i="1" a="1"/>
  <c r="N315" i="1" a="1"/>
  <c r="N251" i="1" a="1"/>
  <c r="N187" i="1" a="1"/>
  <c r="N370" i="1" a="1"/>
  <c r="N306" i="1" a="1"/>
  <c r="N242" i="1" a="1"/>
  <c r="H381" i="1" a="1"/>
  <c r="H309" i="1" a="1"/>
  <c r="H340" i="1" a="1"/>
  <c r="H242" i="1" a="1"/>
  <c r="H178" i="1" a="1"/>
  <c r="H114" i="1" a="1"/>
  <c r="H50" i="1" a="1"/>
  <c r="N372" i="1" a="1"/>
  <c r="N308" i="1" a="1"/>
  <c r="N244" i="1" a="1"/>
  <c r="N180" i="1" a="1"/>
  <c r="N116" i="1" a="1"/>
  <c r="N52" i="1" a="1"/>
  <c r="N131" i="1" a="1"/>
  <c r="N67" i="1" a="1"/>
  <c r="N3" i="1" a="1"/>
  <c r="N170" i="1" a="1"/>
  <c r="N42" i="1" a="1"/>
  <c r="N193" i="1" a="1"/>
  <c r="N64" i="1" a="1"/>
  <c r="N39" i="1" a="1"/>
  <c r="H331" i="1" a="1"/>
  <c r="H275" i="1" a="1"/>
  <c r="H211" i="1" a="1"/>
  <c r="H147" i="1" a="1"/>
  <c r="H83" i="1" a="1"/>
  <c r="H19" i="1" a="1"/>
  <c r="N341" i="1" a="1"/>
  <c r="N277" i="1" a="1"/>
  <c r="N213" i="1" a="1"/>
  <c r="N149" i="1" a="1"/>
  <c r="N85" i="1" a="1"/>
  <c r="N21" i="1" a="1"/>
  <c r="H346" i="1" a="1"/>
  <c r="N371" i="1" a="1"/>
  <c r="N307" i="1" a="1"/>
  <c r="N243" i="1" a="1"/>
  <c r="N179" i="1" a="1"/>
  <c r="N362" i="1" a="1"/>
  <c r="N298" i="1" a="1"/>
  <c r="N234" i="1" a="1"/>
  <c r="H365" i="1" a="1"/>
  <c r="H301" i="1" a="1"/>
  <c r="H332" i="1" a="1"/>
  <c r="H234" i="1" a="1"/>
  <c r="H170" i="1" a="1"/>
  <c r="H106" i="1" a="1"/>
  <c r="H42" i="1" a="1"/>
  <c r="N364" i="1" a="1"/>
  <c r="N300" i="1" a="1"/>
  <c r="N236" i="1" a="1"/>
  <c r="N172" i="1" a="1"/>
  <c r="N108" i="1" a="1"/>
  <c r="N44" i="1" a="1"/>
  <c r="N123" i="1" a="1"/>
  <c r="N59" i="1" a="1"/>
  <c r="N226" i="1" a="1"/>
  <c r="N162" i="1" a="1"/>
  <c r="N98" i="1" a="1"/>
  <c r="N34" i="1" a="1"/>
  <c r="N313" i="1" a="1"/>
  <c r="N249" i="1" a="1"/>
  <c r="N185" i="1" a="1"/>
  <c r="N121" i="1" a="1"/>
  <c r="N57" i="1" a="1"/>
  <c r="N376" i="1" a="1"/>
  <c r="N312" i="1" a="1"/>
  <c r="N248" i="1" a="1"/>
  <c r="N184" i="1" a="1"/>
  <c r="N120" i="1" a="1"/>
  <c r="N56" i="1" a="1"/>
  <c r="H285" i="1" a="1"/>
  <c r="H221" i="1" a="1"/>
  <c r="H157" i="1" a="1"/>
  <c r="H93" i="1" a="1"/>
  <c r="H29" i="1" a="1"/>
  <c r="N351" i="1" a="1"/>
  <c r="N287" i="1" a="1"/>
  <c r="N223" i="1" a="1"/>
  <c r="N159" i="1" a="1"/>
  <c r="N95" i="1" a="1"/>
  <c r="N31" i="1" a="1"/>
  <c r="H292" i="1" a="1"/>
  <c r="H228" i="1" a="1"/>
  <c r="H164" i="1" a="1"/>
  <c r="H100" i="1" a="1"/>
  <c r="H36" i="1" a="1"/>
  <c r="N358" i="1" a="1"/>
  <c r="N294" i="1" a="1"/>
  <c r="N230" i="1" a="1"/>
  <c r="N166" i="1" a="1"/>
  <c r="N102" i="1" a="1"/>
  <c r="N38" i="1" a="1"/>
  <c r="H373" i="1" a="1"/>
  <c r="H98" i="1" a="1"/>
  <c r="H34" i="1" a="1"/>
  <c r="N356" i="1" a="1"/>
  <c r="N228" i="1" a="1"/>
  <c r="N164" i="1" a="1"/>
  <c r="N100" i="1" a="1"/>
  <c r="N115" i="1" a="1"/>
  <c r="N51" i="1" a="1"/>
  <c r="N218" i="1" a="1"/>
  <c r="N154" i="1" a="1"/>
  <c r="N26" i="1" a="1"/>
  <c r="N305" i="1" a="1"/>
  <c r="N241" i="1" a="1"/>
  <c r="N113" i="1" a="1"/>
  <c r="N49" i="1" a="1"/>
  <c r="N368" i="1" a="1"/>
  <c r="N304" i="1" a="1"/>
  <c r="N176" i="1" a="1"/>
  <c r="N112" i="1" a="1"/>
  <c r="N48" i="1" a="1"/>
  <c r="H213" i="1" a="1"/>
  <c r="H149" i="1" a="1"/>
  <c r="H85" i="1" a="1"/>
  <c r="N343" i="1" a="1"/>
  <c r="N279" i="1" a="1"/>
  <c r="N215" i="1" a="1"/>
  <c r="N151" i="1" a="1"/>
  <c r="N23" i="1" a="1"/>
  <c r="H284" i="1" a="1"/>
  <c r="H220" i="1" a="1"/>
  <c r="H156" i="1" a="1"/>
  <c r="H28" i="1" a="1"/>
  <c r="N350" i="1" a="1"/>
  <c r="N286" i="1" a="1"/>
  <c r="N222" i="1" a="1"/>
  <c r="N94" i="1" a="1"/>
  <c r="N30" i="1" a="1"/>
  <c r="H44" i="1" a="1"/>
  <c r="H323" i="1" a="1"/>
  <c r="H267" i="1" a="1"/>
  <c r="H203" i="1" a="1"/>
  <c r="H139" i="1" a="1"/>
  <c r="H75" i="1" a="1"/>
  <c r="H11" i="1" a="1"/>
  <c r="N333" i="1" a="1"/>
  <c r="N269" i="1" a="1"/>
  <c r="N205" i="1" a="1"/>
  <c r="N141" i="1" a="1"/>
  <c r="N77" i="1" a="1"/>
  <c r="N13" i="1" a="1"/>
  <c r="H338" i="1" a="1"/>
  <c r="N363" i="1" a="1"/>
  <c r="N299" i="1" a="1"/>
  <c r="N235" i="1" a="1"/>
  <c r="N171" i="1" a="1"/>
  <c r="N354" i="1" a="1"/>
  <c r="N290" i="1" a="1"/>
  <c r="N377" i="1" a="1"/>
  <c r="H357" i="1" a="1"/>
  <c r="H290" i="1" a="1"/>
  <c r="H226" i="1" a="1"/>
  <c r="H162" i="1" a="1"/>
  <c r="N292" i="1" a="1"/>
  <c r="N36" i="1" a="1"/>
  <c r="N90" i="1" a="1"/>
  <c r="N177" i="1" a="1"/>
  <c r="N240" i="1" a="1"/>
  <c r="H277" i="1" a="1"/>
  <c r="H21" i="1" a="1"/>
  <c r="N87" i="1" a="1"/>
  <c r="H92" i="1" a="1"/>
  <c r="N158" i="1" a="1"/>
  <c r="B37" i="10" a="1"/>
  <c r="C37" i="10" a="1"/>
  <c r="D37" i="10" a="1"/>
  <c r="C15" i="10" a="1"/>
  <c r="B15" i="10" a="1"/>
  <c r="D15" i="10" a="1"/>
  <c r="N158" i="1" l="1"/>
  <c r="H92" i="1"/>
  <c r="N87" i="1"/>
  <c r="H21" i="1"/>
  <c r="H277" i="1"/>
  <c r="N240" i="1"/>
  <c r="N177" i="1"/>
  <c r="N90" i="1"/>
  <c r="N36" i="1"/>
  <c r="N292" i="1"/>
  <c r="H162" i="1"/>
  <c r="H226" i="1"/>
  <c r="H290" i="1"/>
  <c r="H357" i="1"/>
  <c r="N377" i="1"/>
  <c r="N290" i="1"/>
  <c r="N354" i="1"/>
  <c r="N171" i="1"/>
  <c r="N235" i="1"/>
  <c r="N299" i="1"/>
  <c r="N363" i="1"/>
  <c r="H338" i="1"/>
  <c r="N13" i="1"/>
  <c r="N77" i="1"/>
  <c r="N141" i="1"/>
  <c r="N205" i="1"/>
  <c r="N269" i="1"/>
  <c r="N333" i="1"/>
  <c r="H11" i="1"/>
  <c r="H75" i="1"/>
  <c r="H139" i="1"/>
  <c r="H203" i="1"/>
  <c r="H267" i="1"/>
  <c r="H323" i="1"/>
  <c r="H44" i="1"/>
  <c r="N30" i="1"/>
  <c r="N94" i="1"/>
  <c r="N222" i="1"/>
  <c r="N286" i="1"/>
  <c r="N350" i="1"/>
  <c r="H28" i="1"/>
  <c r="H156" i="1"/>
  <c r="H220" i="1"/>
  <c r="H284" i="1"/>
  <c r="N23" i="1"/>
  <c r="N151" i="1"/>
  <c r="N215" i="1"/>
  <c r="N279" i="1"/>
  <c r="N343" i="1"/>
  <c r="H85" i="1"/>
  <c r="H149" i="1"/>
  <c r="H213" i="1"/>
  <c r="N48" i="1"/>
  <c r="N112" i="1"/>
  <c r="N176" i="1"/>
  <c r="N304" i="1"/>
  <c r="N368" i="1"/>
  <c r="N49" i="1"/>
  <c r="N113" i="1"/>
  <c r="N241" i="1"/>
  <c r="N305" i="1"/>
  <c r="N26" i="1"/>
  <c r="N154" i="1"/>
  <c r="N218" i="1"/>
  <c r="N51" i="1"/>
  <c r="N115" i="1"/>
  <c r="N100" i="1"/>
  <c r="N164" i="1"/>
  <c r="N228" i="1"/>
  <c r="N356" i="1"/>
  <c r="H34" i="1"/>
  <c r="H98" i="1"/>
  <c r="H373" i="1"/>
  <c r="N38" i="1"/>
  <c r="N102" i="1"/>
  <c r="N166" i="1"/>
  <c r="N230" i="1"/>
  <c r="N294" i="1"/>
  <c r="N358" i="1"/>
  <c r="H36" i="1"/>
  <c r="H100" i="1"/>
  <c r="H164" i="1"/>
  <c r="H228" i="1"/>
  <c r="H292" i="1"/>
  <c r="N31" i="1"/>
  <c r="N95" i="1"/>
  <c r="N159" i="1"/>
  <c r="N223" i="1"/>
  <c r="N287" i="1"/>
  <c r="N351" i="1"/>
  <c r="H29" i="1"/>
  <c r="H93" i="1"/>
  <c r="H157" i="1"/>
  <c r="H221" i="1"/>
  <c r="H285" i="1"/>
  <c r="N56" i="1"/>
  <c r="N120" i="1"/>
  <c r="N184" i="1"/>
  <c r="N248" i="1"/>
  <c r="N312" i="1"/>
  <c r="N376" i="1"/>
  <c r="N57" i="1"/>
  <c r="N121" i="1"/>
  <c r="N185" i="1"/>
  <c r="N249" i="1"/>
  <c r="N313" i="1"/>
  <c r="N34" i="1"/>
  <c r="N98" i="1"/>
  <c r="N162" i="1"/>
  <c r="N226" i="1"/>
  <c r="N59" i="1"/>
  <c r="N123" i="1"/>
  <c r="N44" i="1"/>
  <c r="N108" i="1"/>
  <c r="N172" i="1"/>
  <c r="N236" i="1"/>
  <c r="N300" i="1"/>
  <c r="N364" i="1"/>
  <c r="H42" i="1"/>
  <c r="H106" i="1"/>
  <c r="H170" i="1"/>
  <c r="H234" i="1"/>
  <c r="H332" i="1"/>
  <c r="H301" i="1"/>
  <c r="H365" i="1"/>
  <c r="N234" i="1"/>
  <c r="N298" i="1"/>
  <c r="N362" i="1"/>
  <c r="N179" i="1"/>
  <c r="N243" i="1"/>
  <c r="N307" i="1"/>
  <c r="N371" i="1"/>
  <c r="H346" i="1"/>
  <c r="N21" i="1"/>
  <c r="N85" i="1"/>
  <c r="N149" i="1"/>
  <c r="N213" i="1"/>
  <c r="N277" i="1"/>
  <c r="N341" i="1"/>
  <c r="H19" i="1"/>
  <c r="H83" i="1"/>
  <c r="H147" i="1"/>
  <c r="H211" i="1"/>
  <c r="H275" i="1"/>
  <c r="H331" i="1"/>
  <c r="N39" i="1"/>
  <c r="N64" i="1"/>
  <c r="N193" i="1"/>
  <c r="N42" i="1"/>
  <c r="N170" i="1"/>
  <c r="N3" i="1"/>
  <c r="N67" i="1"/>
  <c r="N131" i="1"/>
  <c r="N52" i="1"/>
  <c r="N116" i="1"/>
  <c r="N180" i="1"/>
  <c r="N244" i="1"/>
  <c r="N308" i="1"/>
  <c r="N372" i="1"/>
  <c r="H50" i="1"/>
  <c r="H114" i="1"/>
  <c r="H178" i="1"/>
  <c r="H242" i="1"/>
  <c r="H340" i="1"/>
  <c r="H309" i="1"/>
  <c r="H381" i="1"/>
  <c r="N242" i="1"/>
  <c r="N306" i="1"/>
  <c r="N370" i="1"/>
  <c r="N187" i="1"/>
  <c r="N251" i="1"/>
  <c r="N315" i="1"/>
  <c r="N379" i="1"/>
  <c r="H354" i="1"/>
  <c r="N29" i="1"/>
  <c r="N93" i="1"/>
  <c r="N157" i="1"/>
  <c r="N221" i="1"/>
  <c r="N285" i="1"/>
  <c r="N349" i="1"/>
  <c r="H27" i="1"/>
  <c r="H91" i="1"/>
  <c r="H155" i="1"/>
  <c r="H219" i="1"/>
  <c r="H283" i="1"/>
  <c r="H339" i="1"/>
  <c r="H52" i="1"/>
  <c r="H109" i="1"/>
  <c r="N73" i="1"/>
  <c r="N114" i="1"/>
  <c r="N75" i="1"/>
  <c r="N60" i="1"/>
  <c r="N124" i="1"/>
  <c r="N188" i="1"/>
  <c r="N252" i="1"/>
  <c r="N316" i="1"/>
  <c r="N380" i="1"/>
  <c r="H58" i="1"/>
  <c r="H122" i="1"/>
  <c r="H186" i="1"/>
  <c r="H250" i="1"/>
  <c r="H348" i="1"/>
  <c r="H317" i="1"/>
  <c r="N385" i="1"/>
  <c r="N250" i="1"/>
  <c r="N314" i="1"/>
  <c r="N378" i="1"/>
  <c r="N195" i="1"/>
  <c r="N259" i="1"/>
  <c r="N323" i="1"/>
  <c r="H298" i="1"/>
  <c r="H362" i="1"/>
  <c r="N37" i="1"/>
  <c r="N101" i="1"/>
  <c r="N165" i="1"/>
  <c r="N229" i="1"/>
  <c r="N293" i="1"/>
  <c r="N357" i="1"/>
  <c r="H35" i="1"/>
  <c r="H99" i="1"/>
  <c r="H163" i="1"/>
  <c r="H227" i="1"/>
  <c r="H291" i="1"/>
  <c r="H347" i="1"/>
  <c r="N62" i="1"/>
  <c r="N145" i="1"/>
  <c r="N260" i="1"/>
  <c r="N324" i="1"/>
  <c r="H2" i="1"/>
  <c r="H258" i="1"/>
  <c r="H356" i="1"/>
  <c r="H325" i="1"/>
  <c r="N345" i="1"/>
  <c r="N258" i="1"/>
  <c r="N322" i="1"/>
  <c r="N386" i="1"/>
  <c r="N203" i="1"/>
  <c r="N267" i="1"/>
  <c r="N331" i="1"/>
  <c r="H306" i="1"/>
  <c r="H370" i="1"/>
  <c r="N45" i="1"/>
  <c r="N109" i="1"/>
  <c r="N173" i="1"/>
  <c r="N237" i="1"/>
  <c r="N301" i="1"/>
  <c r="N365" i="1"/>
  <c r="H43" i="1"/>
  <c r="H107" i="1"/>
  <c r="H171" i="1"/>
  <c r="H235" i="1"/>
  <c r="H302" i="1"/>
  <c r="H355" i="1"/>
  <c r="N46" i="1"/>
  <c r="N238" i="1"/>
  <c r="H108" i="1"/>
  <c r="H300" i="1"/>
  <c r="N231" i="1"/>
  <c r="H37" i="1"/>
  <c r="H229" i="1"/>
  <c r="N192" i="1"/>
  <c r="N384" i="1"/>
  <c r="N257" i="1"/>
  <c r="N118" i="1"/>
  <c r="N310" i="1"/>
  <c r="H180" i="1"/>
  <c r="N47" i="1"/>
  <c r="N239" i="1"/>
  <c r="N367" i="1"/>
  <c r="H237" i="1"/>
  <c r="N136" i="1"/>
  <c r="N328" i="1"/>
  <c r="N201" i="1"/>
  <c r="N11" i="1"/>
  <c r="N190" i="1"/>
  <c r="N382" i="1"/>
  <c r="H188" i="1"/>
  <c r="N55" i="1"/>
  <c r="N247" i="1"/>
  <c r="H53" i="1"/>
  <c r="H245" i="1"/>
  <c r="N144" i="1"/>
  <c r="N336" i="1"/>
  <c r="N209" i="1"/>
  <c r="N58" i="1"/>
  <c r="N19" i="1"/>
  <c r="N68" i="1"/>
  <c r="H194" i="1"/>
  <c r="N6" i="1"/>
  <c r="N70" i="1"/>
  <c r="N134" i="1"/>
  <c r="N198" i="1"/>
  <c r="N262" i="1"/>
  <c r="N326" i="1"/>
  <c r="H4" i="1"/>
  <c r="H68" i="1"/>
  <c r="H132" i="1"/>
  <c r="H196" i="1"/>
  <c r="H260" i="1"/>
  <c r="H324" i="1"/>
  <c r="N63" i="1"/>
  <c r="N127" i="1"/>
  <c r="N191" i="1"/>
  <c r="N255" i="1"/>
  <c r="N319" i="1"/>
  <c r="N383" i="1"/>
  <c r="H61" i="1"/>
  <c r="H125" i="1"/>
  <c r="H189" i="1"/>
  <c r="H253" i="1"/>
  <c r="N24" i="1"/>
  <c r="N88" i="1"/>
  <c r="N152" i="1"/>
  <c r="N216" i="1"/>
  <c r="N280" i="1"/>
  <c r="N344" i="1"/>
  <c r="N25" i="1"/>
  <c r="N89" i="1"/>
  <c r="N153" i="1"/>
  <c r="N217" i="1"/>
  <c r="N281" i="1"/>
  <c r="N2" i="1"/>
  <c r="N66" i="1"/>
  <c r="N130" i="1"/>
  <c r="N194" i="1"/>
  <c r="N27" i="1"/>
  <c r="N91" i="1"/>
  <c r="N12" i="1"/>
  <c r="N76" i="1"/>
  <c r="N140" i="1"/>
  <c r="N204" i="1"/>
  <c r="N268" i="1"/>
  <c r="N332" i="1"/>
  <c r="H10" i="1"/>
  <c r="H74" i="1"/>
  <c r="H138" i="1"/>
  <c r="H202" i="1"/>
  <c r="H266" i="1"/>
  <c r="H364" i="1"/>
  <c r="H333" i="1"/>
  <c r="N353" i="1"/>
  <c r="N266" i="1"/>
  <c r="N330" i="1"/>
  <c r="N147" i="1"/>
  <c r="N211" i="1"/>
  <c r="N275" i="1"/>
  <c r="N339" i="1"/>
  <c r="H314" i="1"/>
  <c r="H378" i="1"/>
  <c r="N53" i="1"/>
  <c r="N117" i="1"/>
  <c r="N181" i="1"/>
  <c r="N245" i="1"/>
  <c r="N309" i="1"/>
  <c r="N373" i="1"/>
  <c r="H51" i="1"/>
  <c r="H115" i="1"/>
  <c r="H179" i="1"/>
  <c r="H243" i="1"/>
  <c r="H358" i="1"/>
  <c r="H363" i="1"/>
  <c r="N174" i="1"/>
  <c r="N366" i="1"/>
  <c r="H236" i="1"/>
  <c r="N167" i="1"/>
  <c r="N359" i="1"/>
  <c r="H165" i="1"/>
  <c r="N128" i="1"/>
  <c r="N320" i="1"/>
  <c r="N129" i="1"/>
  <c r="N106" i="1"/>
  <c r="N54" i="1"/>
  <c r="N246" i="1"/>
  <c r="H116" i="1"/>
  <c r="H308" i="1"/>
  <c r="N175" i="1"/>
  <c r="H45" i="1"/>
  <c r="N8" i="1"/>
  <c r="N200" i="1"/>
  <c r="N9" i="1"/>
  <c r="N265" i="1"/>
  <c r="N178" i="1"/>
  <c r="N254" i="1"/>
  <c r="H60" i="1"/>
  <c r="H252" i="1"/>
  <c r="N119" i="1"/>
  <c r="N311" i="1"/>
  <c r="H117" i="1"/>
  <c r="N16" i="1"/>
  <c r="N208" i="1"/>
  <c r="N17" i="1"/>
  <c r="N273" i="1"/>
  <c r="N122" i="1"/>
  <c r="N83" i="1"/>
  <c r="N196" i="1"/>
  <c r="H66" i="1"/>
  <c r="N14" i="1"/>
  <c r="N78" i="1"/>
  <c r="N142" i="1"/>
  <c r="N206" i="1"/>
  <c r="N270" i="1"/>
  <c r="N334" i="1"/>
  <c r="H12" i="1"/>
  <c r="H76" i="1"/>
  <c r="H140" i="1"/>
  <c r="H204" i="1"/>
  <c r="H268" i="1"/>
  <c r="N7" i="1"/>
  <c r="N71" i="1"/>
  <c r="N135" i="1"/>
  <c r="N199" i="1"/>
  <c r="N263" i="1"/>
  <c r="N327" i="1"/>
  <c r="H5" i="1"/>
  <c r="H69" i="1"/>
  <c r="H133" i="1"/>
  <c r="H197" i="1"/>
  <c r="H261" i="1"/>
  <c r="N32" i="1"/>
  <c r="N96" i="1"/>
  <c r="N160" i="1"/>
  <c r="N224" i="1"/>
  <c r="N288" i="1"/>
  <c r="N352" i="1"/>
  <c r="N33" i="1"/>
  <c r="N97" i="1"/>
  <c r="N161" i="1"/>
  <c r="N225" i="1"/>
  <c r="N289" i="1"/>
  <c r="N10" i="1"/>
  <c r="N74" i="1"/>
  <c r="N138" i="1"/>
  <c r="N202" i="1"/>
  <c r="N35" i="1"/>
  <c r="N99" i="1"/>
  <c r="N20" i="1"/>
  <c r="N84" i="1"/>
  <c r="N148" i="1"/>
  <c r="N212" i="1"/>
  <c r="N276" i="1"/>
  <c r="N340" i="1"/>
  <c r="H18" i="1"/>
  <c r="H82" i="1"/>
  <c r="H146" i="1"/>
  <c r="H210" i="1"/>
  <c r="H274" i="1"/>
  <c r="H372" i="1"/>
  <c r="H341" i="1"/>
  <c r="N361" i="1"/>
  <c r="N274" i="1"/>
  <c r="N338" i="1"/>
  <c r="N155" i="1"/>
  <c r="N219" i="1"/>
  <c r="N283" i="1"/>
  <c r="N347" i="1"/>
  <c r="H322" i="1"/>
  <c r="H386" i="1"/>
  <c r="N61" i="1"/>
  <c r="N125" i="1"/>
  <c r="N189" i="1"/>
  <c r="N253" i="1"/>
  <c r="N317" i="1"/>
  <c r="N381" i="1"/>
  <c r="H59" i="1"/>
  <c r="H123" i="1"/>
  <c r="H187" i="1"/>
  <c r="H251" i="1"/>
  <c r="H307" i="1"/>
  <c r="H371" i="1"/>
  <c r="N110" i="1"/>
  <c r="N302" i="1"/>
  <c r="H172" i="1"/>
  <c r="N103" i="1"/>
  <c r="N295" i="1"/>
  <c r="H101" i="1"/>
  <c r="H293" i="1"/>
  <c r="N256" i="1"/>
  <c r="N65" i="1"/>
  <c r="N321" i="1"/>
  <c r="N182" i="1"/>
  <c r="N374" i="1"/>
  <c r="H244" i="1"/>
  <c r="N111" i="1"/>
  <c r="N303" i="1"/>
  <c r="H173" i="1"/>
  <c r="N72" i="1"/>
  <c r="N264" i="1"/>
  <c r="N137" i="1"/>
  <c r="N329" i="1"/>
  <c r="N50" i="1"/>
  <c r="N139" i="1"/>
  <c r="N126" i="1"/>
  <c r="N318" i="1"/>
  <c r="H124" i="1"/>
  <c r="H316" i="1"/>
  <c r="N183" i="1"/>
  <c r="N375" i="1"/>
  <c r="H181" i="1"/>
  <c r="N80" i="1"/>
  <c r="N272" i="1"/>
  <c r="N81" i="1"/>
  <c r="N337" i="1"/>
  <c r="N186" i="1"/>
  <c r="N4" i="1"/>
  <c r="N132" i="1"/>
  <c r="H130" i="1"/>
  <c r="N22" i="1"/>
  <c r="N86" i="1"/>
  <c r="N150" i="1"/>
  <c r="N214" i="1"/>
  <c r="N278" i="1"/>
  <c r="N342" i="1"/>
  <c r="H20" i="1"/>
  <c r="H84" i="1"/>
  <c r="H148" i="1"/>
  <c r="H212" i="1"/>
  <c r="H276" i="1"/>
  <c r="N15" i="1"/>
  <c r="N79" i="1"/>
  <c r="N143" i="1"/>
  <c r="N207" i="1"/>
  <c r="N271" i="1"/>
  <c r="N335" i="1"/>
  <c r="H13" i="1"/>
  <c r="H77" i="1"/>
  <c r="H141" i="1"/>
  <c r="H205" i="1"/>
  <c r="H269" i="1"/>
  <c r="N40" i="1"/>
  <c r="N104" i="1"/>
  <c r="N168" i="1"/>
  <c r="N232" i="1"/>
  <c r="N296" i="1"/>
  <c r="N360" i="1"/>
  <c r="N41" i="1"/>
  <c r="N105" i="1"/>
  <c r="N169" i="1"/>
  <c r="N233" i="1"/>
  <c r="N297" i="1"/>
  <c r="N18" i="1"/>
  <c r="N82" i="1"/>
  <c r="N146" i="1"/>
  <c r="N210" i="1"/>
  <c r="N43" i="1"/>
  <c r="N107" i="1"/>
  <c r="N28" i="1"/>
  <c r="N92" i="1"/>
  <c r="N156" i="1"/>
  <c r="N220" i="1"/>
  <c r="N284" i="1"/>
  <c r="N348" i="1"/>
  <c r="H26" i="1"/>
  <c r="H90" i="1"/>
  <c r="H154" i="1"/>
  <c r="H218" i="1"/>
  <c r="H282" i="1"/>
  <c r="H380" i="1"/>
  <c r="H349" i="1"/>
  <c r="N369" i="1"/>
  <c r="N282" i="1"/>
  <c r="N346" i="1"/>
  <c r="N163" i="1"/>
  <c r="N227" i="1"/>
  <c r="N291" i="1"/>
  <c r="N355" i="1"/>
  <c r="H330" i="1"/>
  <c r="N5" i="1"/>
  <c r="N69" i="1"/>
  <c r="N133" i="1"/>
  <c r="N197" i="1"/>
  <c r="N261" i="1"/>
  <c r="N325" i="1"/>
  <c r="H3" i="1"/>
  <c r="H67" i="1"/>
  <c r="H131" i="1"/>
  <c r="H195" i="1"/>
  <c r="H259" i="1"/>
  <c r="H315" i="1"/>
  <c r="H379" i="1"/>
  <c r="D37" i="10"/>
  <c r="C37" i="10"/>
  <c r="B37" i="10"/>
  <c r="D15" i="10"/>
  <c r="B15" i="10"/>
  <c r="C15" i="10"/>
  <c r="B38" i="10" a="1"/>
  <c r="C38" i="10" a="1"/>
  <c r="D38" i="10" a="1"/>
  <c r="D38" i="10" l="1"/>
  <c r="C38" i="10"/>
  <c r="B38" i="10"/>
  <c r="I7" i="8"/>
  <c r="G7" i="8"/>
  <c r="J7" i="8"/>
  <c r="B39" i="10" a="1"/>
  <c r="C39" i="10" a="1"/>
  <c r="D39" i="10" a="1"/>
  <c r="D39" i="10" l="1"/>
  <c r="C39" i="10"/>
  <c r="B39" i="10"/>
  <c r="B40" i="10" a="1"/>
  <c r="C40" i="10" a="1"/>
  <c r="D40" i="10" a="1"/>
  <c r="D40" i="10" l="1"/>
  <c r="C40" i="10"/>
  <c r="B40" i="10"/>
  <c r="B41" i="10" a="1"/>
  <c r="C41" i="10" a="1"/>
  <c r="D41" i="10" a="1"/>
  <c r="D41" i="10" l="1"/>
  <c r="C41" i="10"/>
  <c r="B41" i="10"/>
  <c r="B42" i="10" a="1"/>
  <c r="C42" i="10" a="1"/>
  <c r="D42" i="10" a="1"/>
  <c r="D42" i="10" l="1"/>
  <c r="C42" i="10"/>
  <c r="B42" i="10"/>
  <c r="B43" i="10" a="1"/>
  <c r="C43" i="10" a="1"/>
  <c r="D43" i="10" a="1"/>
  <c r="D43" i="10" l="1"/>
  <c r="C43" i="10"/>
  <c r="B43" i="10"/>
  <c r="I5" i="8"/>
  <c r="G5" i="8"/>
  <c r="B44" i="10" a="1"/>
  <c r="C44" i="10" a="1"/>
  <c r="D44" i="10" a="1"/>
  <c r="D44" i="10" l="1"/>
  <c r="C44" i="10"/>
  <c r="B44" i="10"/>
  <c r="J5" i="8"/>
  <c r="B45" i="10" a="1"/>
  <c r="C45" i="10" a="1"/>
  <c r="D45" i="10" a="1"/>
  <c r="D45" i="10" l="1"/>
  <c r="C45" i="10"/>
  <c r="B45" i="10"/>
  <c r="B46" i="10" a="1"/>
  <c r="C46" i="10" a="1"/>
  <c r="D46" i="10" a="1"/>
  <c r="D46" i="10" l="1"/>
  <c r="C46" i="10"/>
  <c r="B46" i="10"/>
  <c r="B47" i="10" a="1"/>
  <c r="C47" i="10" a="1"/>
  <c r="D47" i="10" a="1"/>
  <c r="D47" i="10" l="1"/>
  <c r="C47" i="10"/>
  <c r="B47" i="10"/>
  <c r="B48" i="10" a="1"/>
  <c r="C48" i="10" a="1"/>
  <c r="D48" i="10" a="1"/>
  <c r="D48" i="10" l="1"/>
  <c r="C48" i="10"/>
  <c r="B48" i="10"/>
  <c r="B49" i="10" a="1"/>
  <c r="C49" i="10" a="1"/>
  <c r="D49" i="10" a="1"/>
  <c r="D49" i="10" l="1"/>
  <c r="C49" i="10"/>
  <c r="B49" i="10"/>
  <c r="B50" i="10" a="1"/>
  <c r="C50" i="10" a="1"/>
  <c r="D50" i="10" a="1"/>
  <c r="D50" i="10" l="1"/>
  <c r="C50" i="10"/>
  <c r="B50" i="10"/>
  <c r="B51" i="10" a="1"/>
  <c r="C51" i="10" a="1"/>
  <c r="D51" i="10" a="1"/>
  <c r="D51" i="10" l="1"/>
  <c r="C51" i="10"/>
  <c r="B51" i="10"/>
  <c r="B52" i="10" a="1"/>
  <c r="C52" i="10" a="1"/>
  <c r="D52" i="10" a="1"/>
  <c r="D52" i="10" l="1"/>
  <c r="C52" i="10"/>
  <c r="B52" i="10"/>
  <c r="B53" i="10" a="1"/>
  <c r="C53" i="10" a="1"/>
  <c r="D53" i="10" a="1"/>
  <c r="D53" i="10" l="1"/>
  <c r="C53" i="10"/>
  <c r="B53" i="10"/>
  <c r="B54" i="10" a="1"/>
  <c r="C54" i="10" a="1"/>
  <c r="D54" i="10" a="1"/>
  <c r="D54" i="10" l="1"/>
  <c r="C54" i="10"/>
  <c r="B54" i="10"/>
  <c r="B55" i="10" a="1"/>
  <c r="C55" i="10" a="1"/>
  <c r="D55" i="10" a="1"/>
  <c r="D55" i="10" l="1"/>
  <c r="C55" i="10"/>
  <c r="B55" i="10"/>
  <c r="B56" i="10" a="1"/>
  <c r="C56" i="10" a="1"/>
  <c r="D56" i="10" a="1"/>
  <c r="D56" i="10" l="1"/>
  <c r="C56" i="10"/>
  <c r="B56" i="10"/>
  <c r="B57" i="10" a="1"/>
  <c r="C57" i="10" a="1"/>
  <c r="D57" i="10" a="1"/>
  <c r="D57" i="10" l="1"/>
  <c r="C57" i="10"/>
  <c r="B57" i="10"/>
  <c r="B58" i="10" a="1"/>
  <c r="C58" i="10" a="1"/>
  <c r="D58" i="10" a="1"/>
  <c r="D58" i="10" l="1"/>
  <c r="C58" i="10"/>
  <c r="B58" i="10"/>
  <c r="B59" i="10" a="1"/>
  <c r="C59" i="10" a="1"/>
  <c r="D59" i="10" a="1"/>
  <c r="D59" i="10" l="1"/>
  <c r="C59" i="10"/>
  <c r="B59" i="10"/>
  <c r="B60" i="10" a="1"/>
  <c r="C60" i="10" a="1"/>
  <c r="D60" i="10" a="1"/>
  <c r="D60" i="10" l="1"/>
  <c r="C60" i="10"/>
  <c r="B60" i="10"/>
  <c r="B61" i="10" a="1"/>
  <c r="C61" i="10" a="1"/>
  <c r="D61" i="10" a="1"/>
  <c r="D61" i="10" l="1"/>
  <c r="C61" i="10"/>
  <c r="B61" i="10"/>
  <c r="I34" i="8"/>
  <c r="G34" i="8"/>
  <c r="B62" i="10" a="1"/>
  <c r="C62" i="10" a="1"/>
  <c r="D62" i="10" a="1"/>
  <c r="D62" i="10" l="1"/>
  <c r="C62" i="10"/>
  <c r="B62" i="10"/>
  <c r="J34" i="8"/>
  <c r="B63" i="10" a="1"/>
  <c r="C63" i="10" a="1"/>
  <c r="D63" i="10" a="1"/>
  <c r="D63" i="10" l="1"/>
  <c r="C63" i="10"/>
  <c r="B63" i="10"/>
  <c r="B64" i="10" a="1"/>
  <c r="C64" i="10" a="1"/>
  <c r="D64" i="10" a="1"/>
  <c r="D64" i="10" l="1"/>
  <c r="C64" i="10"/>
  <c r="B64" i="10"/>
  <c r="B65" i="10" a="1"/>
  <c r="C65" i="10" a="1"/>
  <c r="D65" i="10" a="1"/>
  <c r="D65" i="10" l="1"/>
  <c r="C65" i="10"/>
  <c r="B65" i="10"/>
  <c r="B66" i="10" a="1"/>
  <c r="C66" i="10" a="1"/>
  <c r="D66" i="10" a="1"/>
  <c r="D66" i="10" l="1"/>
  <c r="C66" i="10"/>
  <c r="B66" i="10"/>
  <c r="B67" i="10" a="1"/>
  <c r="C67" i="10" a="1"/>
  <c r="D67" i="10" a="1"/>
  <c r="D67" i="10" l="1"/>
  <c r="C67" i="10"/>
  <c r="B67" i="10"/>
  <c r="I120" i="8"/>
  <c r="G120" i="8"/>
  <c r="B68" i="10" a="1"/>
  <c r="C68" i="10" a="1"/>
  <c r="D68" i="10" a="1"/>
  <c r="D68" i="10" l="1"/>
  <c r="C68" i="10"/>
  <c r="B68" i="10"/>
  <c r="J120" i="8"/>
  <c r="B69" i="10" a="1"/>
  <c r="C69" i="10" a="1"/>
  <c r="D69" i="10" a="1"/>
  <c r="D69" i="10" l="1"/>
  <c r="C69" i="10"/>
  <c r="B69" i="10"/>
  <c r="B70" i="10" a="1"/>
  <c r="C70" i="10" a="1"/>
  <c r="D70" i="10" a="1"/>
  <c r="D70" i="10" l="1"/>
  <c r="C70" i="10"/>
  <c r="B70" i="10"/>
  <c r="I56" i="8"/>
  <c r="G56" i="8"/>
  <c r="B71" i="10" a="1"/>
  <c r="C71" i="10" a="1"/>
  <c r="D71" i="10" a="1"/>
  <c r="D71" i="10" l="1"/>
  <c r="C71" i="10"/>
  <c r="B71" i="10"/>
  <c r="J56" i="8"/>
  <c r="B72" i="10" a="1"/>
  <c r="C72" i="10" a="1"/>
  <c r="D72" i="10" a="1"/>
  <c r="D72" i="10" l="1"/>
  <c r="C72" i="10"/>
  <c r="B72" i="10"/>
  <c r="B73" i="10" a="1"/>
  <c r="C73" i="10" a="1"/>
  <c r="D73" i="10" a="1"/>
  <c r="D73" i="10" l="1"/>
  <c r="C73" i="10"/>
  <c r="B73" i="10"/>
  <c r="B74" i="10" a="1"/>
  <c r="C74" i="10" a="1"/>
  <c r="D74" i="10" a="1"/>
  <c r="D74" i="10" l="1"/>
  <c r="C74" i="10"/>
  <c r="B74" i="10"/>
  <c r="I64" i="8"/>
  <c r="G64" i="8"/>
  <c r="B75" i="10" a="1"/>
  <c r="C75" i="10" a="1"/>
  <c r="D75" i="10" a="1"/>
  <c r="D75" i="10" l="1"/>
  <c r="C75" i="10"/>
  <c r="B75" i="10"/>
  <c r="I135" i="8"/>
  <c r="G135" i="8"/>
  <c r="B76" i="10" a="1"/>
  <c r="C76" i="10" a="1"/>
  <c r="D76" i="10" a="1"/>
  <c r="D76" i="10" l="1"/>
  <c r="C76" i="10"/>
  <c r="B76" i="10"/>
  <c r="J64" i="8"/>
  <c r="J135" i="8"/>
  <c r="I31" i="8"/>
  <c r="G31" i="8"/>
  <c r="B77" i="10" a="1"/>
  <c r="C77" i="10" a="1"/>
  <c r="D77" i="10" a="1"/>
  <c r="D77" i="10" l="1"/>
  <c r="C77" i="10"/>
  <c r="B77" i="10"/>
  <c r="J31" i="8"/>
  <c r="I32" i="8"/>
  <c r="G32" i="8"/>
  <c r="B78" i="10" a="1"/>
  <c r="C78" i="10" a="1"/>
  <c r="D78" i="10" a="1"/>
  <c r="D78" i="10" l="1"/>
  <c r="C78" i="10"/>
  <c r="B78" i="10"/>
  <c r="J32" i="8"/>
  <c r="I142" i="8"/>
  <c r="G142" i="8"/>
  <c r="B79" i="10" a="1"/>
  <c r="C79" i="10" a="1"/>
  <c r="D79" i="10" a="1"/>
  <c r="D79" i="10" l="1"/>
  <c r="C79" i="10"/>
  <c r="B79" i="10"/>
  <c r="J142" i="8"/>
  <c r="I10" i="8"/>
  <c r="G10" i="8"/>
  <c r="B80" i="10" a="1"/>
  <c r="C80" i="10" a="1"/>
  <c r="D80" i="10" a="1"/>
  <c r="D80" i="10" l="1"/>
  <c r="C80" i="10"/>
  <c r="B80" i="10"/>
  <c r="J10" i="8"/>
  <c r="I15" i="8"/>
  <c r="G15" i="8"/>
  <c r="B81" i="10" a="1"/>
  <c r="C81" i="10" a="1"/>
  <c r="D81" i="10" a="1"/>
  <c r="D81" i="10" l="1"/>
  <c r="C81" i="10"/>
  <c r="B81" i="10"/>
  <c r="I44" i="8"/>
  <c r="G44" i="8"/>
  <c r="B82" i="10" a="1"/>
  <c r="C82" i="10" a="1"/>
  <c r="D82" i="10" a="1"/>
  <c r="D82" i="10" l="1"/>
  <c r="C82" i="10"/>
  <c r="B82" i="10"/>
  <c r="J15" i="8"/>
  <c r="J44" i="8"/>
  <c r="I121" i="8"/>
  <c r="G121" i="8"/>
  <c r="B83" i="10" a="1"/>
  <c r="C83" i="10" a="1"/>
  <c r="D83" i="10" a="1"/>
  <c r="D83" i="10" l="1"/>
  <c r="C83" i="10"/>
  <c r="B83" i="10"/>
  <c r="J121" i="8"/>
  <c r="I22" i="8"/>
  <c r="G22" i="8"/>
  <c r="B84" i="10" a="1"/>
  <c r="C84" i="10" a="1"/>
  <c r="D84" i="10" a="1"/>
  <c r="D84" i="10" l="1"/>
  <c r="C84" i="10"/>
  <c r="B84" i="10"/>
  <c r="J22" i="8"/>
  <c r="G93" i="8"/>
  <c r="B85" i="10" a="1"/>
  <c r="C85" i="10" a="1"/>
  <c r="D85" i="10" a="1"/>
  <c r="D85" i="10" l="1"/>
  <c r="C85" i="10"/>
  <c r="B85" i="10"/>
  <c r="I93" i="8"/>
  <c r="I40" i="8"/>
  <c r="G40" i="8"/>
  <c r="B86" i="10" a="1"/>
  <c r="C86" i="10" a="1"/>
  <c r="D86" i="10" a="1"/>
  <c r="D86" i="10" l="1"/>
  <c r="C86" i="10"/>
  <c r="B86" i="10"/>
  <c r="J93" i="8"/>
  <c r="J40" i="8"/>
  <c r="I85" i="8"/>
  <c r="G85" i="8"/>
  <c r="B87" i="10" a="1"/>
  <c r="C87" i="10" a="1"/>
  <c r="D87" i="10" a="1"/>
  <c r="D87" i="10" l="1"/>
  <c r="C87" i="10"/>
  <c r="B87" i="10"/>
  <c r="J85" i="8"/>
  <c r="I65" i="8"/>
  <c r="G65" i="8"/>
  <c r="B88" i="10" a="1"/>
  <c r="C88" i="10" a="1"/>
  <c r="D88" i="10" a="1"/>
  <c r="D88" i="10" l="1"/>
  <c r="C88" i="10"/>
  <c r="B88" i="10"/>
  <c r="J65" i="8"/>
  <c r="I131" i="8"/>
  <c r="G131" i="8"/>
  <c r="B89" i="10" a="1"/>
  <c r="C89" i="10" a="1"/>
  <c r="D89" i="10" a="1"/>
  <c r="D89" i="10" l="1"/>
  <c r="C89" i="10"/>
  <c r="B89" i="10"/>
  <c r="J131" i="8"/>
  <c r="I107" i="8"/>
  <c r="G107" i="8"/>
  <c r="B90" i="10" a="1"/>
  <c r="C90" i="10" a="1"/>
  <c r="D90" i="10" a="1"/>
  <c r="D90" i="10" l="1"/>
  <c r="C90" i="10"/>
  <c r="B90" i="10"/>
  <c r="J107" i="8"/>
  <c r="B91" i="10" a="1"/>
  <c r="C91" i="10" a="1"/>
  <c r="D91" i="10" a="1"/>
  <c r="D91" i="10" l="1"/>
  <c r="C91" i="10"/>
  <c r="B91" i="10"/>
  <c r="I53" i="8"/>
  <c r="G53" i="8"/>
  <c r="B92" i="10" a="1"/>
  <c r="C92" i="10" a="1"/>
  <c r="D92" i="10" a="1"/>
  <c r="D92" i="10" l="1"/>
  <c r="C92" i="10"/>
  <c r="B92" i="10"/>
  <c r="B93" i="10" a="1"/>
  <c r="C93" i="10" a="1"/>
  <c r="D93" i="10" a="1"/>
  <c r="D93" i="10" l="1"/>
  <c r="C93" i="10"/>
  <c r="B93" i="10"/>
  <c r="J53" i="8"/>
  <c r="I63" i="8"/>
  <c r="G63" i="8"/>
  <c r="B94" i="10" a="1"/>
  <c r="C94" i="10" a="1"/>
  <c r="D94" i="10" a="1"/>
  <c r="D94" i="10" l="1"/>
  <c r="C94" i="10"/>
  <c r="B94" i="10"/>
  <c r="J63" i="8"/>
  <c r="I8" i="8"/>
  <c r="G8" i="8"/>
  <c r="B95" i="10" a="1"/>
  <c r="C95" i="10" a="1"/>
  <c r="D95" i="10" a="1"/>
  <c r="D95" i="10" l="1"/>
  <c r="C95" i="10"/>
  <c r="B95" i="10"/>
  <c r="J8" i="8"/>
  <c r="I16" i="8"/>
  <c r="G16" i="8"/>
  <c r="B96" i="10" a="1"/>
  <c r="C96" i="10" a="1"/>
  <c r="D96" i="10" a="1"/>
  <c r="D96" i="10" l="1"/>
  <c r="C96" i="10"/>
  <c r="B96" i="10"/>
  <c r="J16" i="8"/>
  <c r="G47" i="8"/>
  <c r="B97" i="10" a="1"/>
  <c r="C97" i="10" a="1"/>
  <c r="D97" i="10" a="1"/>
  <c r="D97" i="10" l="1"/>
  <c r="C97" i="10"/>
  <c r="B97" i="10"/>
  <c r="I47" i="8"/>
  <c r="I12" i="8"/>
  <c r="G12" i="8"/>
  <c r="B98" i="10" a="1"/>
  <c r="C98" i="10" a="1"/>
  <c r="D98" i="10" a="1"/>
  <c r="D98" i="10" l="1"/>
  <c r="C98" i="10"/>
  <c r="B98" i="10"/>
  <c r="J47" i="8"/>
  <c r="I52" i="8"/>
  <c r="J12" i="8"/>
  <c r="G52" i="8"/>
  <c r="B99" i="10" a="1"/>
  <c r="C99" i="10" a="1"/>
  <c r="D99" i="10" a="1"/>
  <c r="D99" i="10" l="1"/>
  <c r="C99" i="10"/>
  <c r="B99" i="10"/>
  <c r="I84" i="8"/>
  <c r="G84" i="8"/>
  <c r="B100" i="10" a="1"/>
  <c r="C100" i="10" a="1"/>
  <c r="D100" i="10" a="1"/>
  <c r="D100" i="10" l="1"/>
  <c r="C100" i="10"/>
  <c r="B100" i="10"/>
  <c r="J52" i="8"/>
  <c r="J84" i="8"/>
  <c r="B101" i="10" a="1"/>
  <c r="C101" i="10" a="1"/>
  <c r="D101" i="10" a="1"/>
  <c r="D101" i="10" l="1"/>
  <c r="C101" i="10"/>
  <c r="B101" i="10"/>
  <c r="B102" i="10" a="1"/>
  <c r="C102" i="10" a="1"/>
  <c r="D102" i="10" a="1"/>
  <c r="D102" i="10" l="1"/>
  <c r="C102" i="10"/>
  <c r="B102" i="10"/>
  <c r="I108" i="8"/>
  <c r="G108" i="8"/>
  <c r="J108" i="8" l="1"/>
  <c r="I100" i="8"/>
  <c r="G100" i="8"/>
  <c r="J100" i="8" l="1"/>
  <c r="I38" i="8"/>
  <c r="G38" i="8"/>
  <c r="J38" i="8" l="1"/>
  <c r="I20" i="8"/>
  <c r="G20" i="8"/>
  <c r="J20" i="8" l="1"/>
  <c r="I92" i="8"/>
  <c r="G92" i="8"/>
  <c r="I82" i="8" l="1"/>
  <c r="G82" i="8"/>
  <c r="J92" i="8" l="1"/>
  <c r="I133" i="8"/>
  <c r="G133" i="8"/>
  <c r="I59" i="8" l="1"/>
  <c r="J82" i="8"/>
  <c r="G59" i="8"/>
  <c r="J133" i="8" l="1"/>
  <c r="I144" i="8"/>
  <c r="G144" i="8"/>
  <c r="J59" i="8" l="1"/>
  <c r="J144" i="8"/>
  <c r="I54" i="8"/>
  <c r="G54" i="8"/>
  <c r="J54" i="8" l="1"/>
  <c r="I134" i="8"/>
  <c r="G134" i="8"/>
  <c r="J134" i="8" l="1"/>
  <c r="I125" i="8"/>
  <c r="G125" i="8"/>
  <c r="J125" i="8" l="1"/>
  <c r="I76" i="8"/>
  <c r="G76" i="8"/>
  <c r="J76" i="8" l="1"/>
  <c r="I75" i="8"/>
  <c r="G75" i="8"/>
  <c r="J75" i="8" l="1"/>
  <c r="I66" i="8"/>
  <c r="G66" i="8"/>
  <c r="J66" i="8" l="1"/>
  <c r="I88" i="8"/>
  <c r="G88" i="8"/>
  <c r="I55" i="8" l="1"/>
  <c r="J88" i="8"/>
  <c r="G55" i="8"/>
  <c r="I90" i="8" l="1"/>
  <c r="G90" i="8"/>
  <c r="J55" i="8" l="1"/>
  <c r="I127" i="8"/>
  <c r="G127" i="8"/>
  <c r="J90" i="8" l="1"/>
  <c r="I37" i="8"/>
  <c r="G37" i="8"/>
  <c r="J127" i="8" l="1"/>
  <c r="J37" i="8"/>
  <c r="G70" i="8"/>
  <c r="I70" i="8" l="1"/>
  <c r="I123" i="8"/>
  <c r="G123" i="8"/>
  <c r="J123" i="8" l="1"/>
  <c r="J70" i="8"/>
  <c r="I95" i="8"/>
  <c r="G95" i="8"/>
  <c r="J95" i="8" l="1"/>
  <c r="I19" i="8"/>
  <c r="G19" i="8"/>
  <c r="J19" i="8" l="1"/>
  <c r="I78" i="8"/>
  <c r="G78" i="8"/>
  <c r="J78" i="8" l="1"/>
  <c r="I126" i="8"/>
  <c r="G126" i="8"/>
  <c r="J126" i="8" l="1"/>
  <c r="I77" i="8"/>
  <c r="G77" i="8"/>
  <c r="J77" i="8" l="1"/>
  <c r="I80" i="8"/>
  <c r="G80" i="8"/>
  <c r="J80" i="8" l="1"/>
  <c r="I112" i="8"/>
  <c r="G112" i="8"/>
  <c r="J112" i="8" l="1"/>
  <c r="I117" i="8"/>
  <c r="G117" i="8"/>
  <c r="I136" i="8" l="1"/>
  <c r="G136" i="8"/>
  <c r="J117" i="8" l="1"/>
  <c r="J136" i="8"/>
  <c r="I145" i="8"/>
  <c r="G145" i="8"/>
  <c r="J145" i="8" l="1"/>
  <c r="I115" i="8"/>
  <c r="G115" i="8"/>
  <c r="J115" i="8" l="1"/>
  <c r="I87" i="8"/>
  <c r="G87" i="8"/>
  <c r="J87" i="8" l="1"/>
  <c r="I105" i="8"/>
  <c r="G105" i="8"/>
  <c r="J105" i="8" l="1"/>
  <c r="I86" i="8"/>
  <c r="G86" i="8"/>
  <c r="J86" i="8" l="1"/>
  <c r="I23" i="8"/>
  <c r="G23" i="8"/>
  <c r="J23" i="8" l="1"/>
  <c r="I33" i="8"/>
  <c r="G33" i="8"/>
  <c r="J33" i="8" l="1"/>
  <c r="I119" i="8"/>
  <c r="G119" i="8"/>
  <c r="I98" i="8" l="1"/>
  <c r="G98" i="8"/>
  <c r="I43" i="8" l="1"/>
  <c r="J119" i="8"/>
  <c r="J98" i="8"/>
  <c r="G43" i="8"/>
  <c r="I96" i="8" l="1"/>
  <c r="G96" i="8"/>
  <c r="J96" i="8" l="1"/>
  <c r="J43" i="8"/>
  <c r="I71" i="8"/>
  <c r="G71" i="8"/>
  <c r="J71" i="8" l="1"/>
  <c r="I60" i="8"/>
  <c r="G60" i="8"/>
  <c r="J60" i="8" l="1"/>
  <c r="I128" i="8"/>
  <c r="G128" i="8"/>
  <c r="J128" i="8" l="1"/>
  <c r="I50" i="8"/>
  <c r="G50" i="8"/>
  <c r="J50" i="8" l="1"/>
  <c r="I58" i="8"/>
  <c r="G58" i="8"/>
  <c r="J58" i="8" l="1"/>
  <c r="G61" i="8"/>
  <c r="I61" i="8" l="1"/>
  <c r="G62" i="8"/>
  <c r="I62" i="8" l="1"/>
  <c r="J61" i="8"/>
  <c r="G51" i="8"/>
  <c r="I51" i="8" l="1"/>
  <c r="J62" i="8"/>
  <c r="I129" i="8"/>
  <c r="G129" i="8"/>
  <c r="J51" i="8" l="1"/>
  <c r="J129" i="8"/>
  <c r="I29" i="8"/>
  <c r="G29" i="8"/>
  <c r="J29" i="8" l="1"/>
  <c r="I94" i="8"/>
  <c r="G94" i="8"/>
  <c r="J94" i="8" l="1"/>
  <c r="G49" i="8"/>
  <c r="I49" i="8" l="1"/>
  <c r="I139" i="8"/>
  <c r="G139" i="8"/>
  <c r="J49" i="8" l="1"/>
  <c r="I35" i="8"/>
  <c r="J139" i="8"/>
  <c r="G35" i="8"/>
  <c r="G28" i="8" l="1"/>
  <c r="I28" i="8" l="1"/>
  <c r="J35" i="8"/>
  <c r="I72" i="8"/>
  <c r="G72" i="8"/>
  <c r="J28" i="8" l="1"/>
  <c r="J72" i="8"/>
  <c r="I17" i="8"/>
  <c r="G17" i="8"/>
  <c r="J17" i="8" l="1"/>
  <c r="I81" i="8"/>
  <c r="G81" i="8"/>
  <c r="J81" i="8" l="1"/>
  <c r="I48" i="8"/>
  <c r="G48" i="8"/>
  <c r="J48" i="8" l="1"/>
  <c r="I30" i="8"/>
  <c r="G30" i="8"/>
  <c r="J30" i="8" l="1"/>
  <c r="I118" i="8"/>
  <c r="G118" i="8"/>
  <c r="J118" i="8" l="1"/>
  <c r="I68" i="8"/>
  <c r="G68" i="8"/>
  <c r="G146" i="8" l="1"/>
  <c r="J68" i="8" l="1"/>
  <c r="I146" i="8"/>
  <c r="I114" i="8"/>
  <c r="G114" i="8"/>
  <c r="I140" i="8" l="1"/>
  <c r="J146" i="8"/>
  <c r="G140" i="8"/>
  <c r="J114" i="8" l="1"/>
  <c r="I91" i="8"/>
  <c r="G91" i="8"/>
  <c r="J140" i="8" l="1"/>
  <c r="J91" i="8"/>
  <c r="I97" i="8"/>
  <c r="G97" i="8"/>
  <c r="J97" i="8" l="1"/>
  <c r="I25" i="8"/>
  <c r="G25" i="8"/>
  <c r="J25" i="8" l="1"/>
  <c r="I74" i="8"/>
  <c r="G74" i="8"/>
  <c r="I99" i="8" l="1"/>
  <c r="J74" i="8"/>
  <c r="G99" i="8"/>
  <c r="I137" i="8" l="1"/>
  <c r="G137" i="8"/>
  <c r="J99" i="8" l="1"/>
  <c r="J137" i="8"/>
  <c r="I110" i="8"/>
  <c r="G110" i="8"/>
  <c r="J110" i="8" l="1"/>
  <c r="I18" i="8"/>
  <c r="G18" i="8"/>
  <c r="J18" i="8" l="1"/>
  <c r="G21" i="8" l="1"/>
  <c r="I21" i="8" l="1"/>
  <c r="I45" i="8"/>
  <c r="G45" i="8"/>
  <c r="J21" i="8" l="1"/>
  <c r="I83" i="8"/>
  <c r="J45" i="8"/>
  <c r="G83" i="8"/>
  <c r="G73" i="8" l="1"/>
  <c r="I73" i="8" l="1"/>
  <c r="J83" i="8"/>
  <c r="I57" i="8"/>
  <c r="G57" i="8"/>
  <c r="J73" i="8" l="1"/>
  <c r="J57" i="8"/>
  <c r="I36" i="8"/>
  <c r="G36" i="8"/>
  <c r="I79" i="8" l="1"/>
  <c r="J36" i="8"/>
  <c r="G79" i="8"/>
  <c r="J79" i="8" l="1"/>
  <c r="I67" i="8" l="1"/>
  <c r="G67" i="8"/>
  <c r="I138" i="8" l="1"/>
  <c r="G138" i="8"/>
  <c r="J67" i="8" l="1"/>
  <c r="J138" i="8"/>
  <c r="G14" i="8"/>
  <c r="I14" i="8" l="1"/>
  <c r="G103" i="8"/>
  <c r="I103" i="8" l="1"/>
  <c r="J14" i="8"/>
  <c r="J103" i="8" l="1"/>
  <c r="I113" i="8" l="1"/>
  <c r="G113" i="8"/>
  <c r="I69" i="8" l="1"/>
  <c r="G69" i="8"/>
  <c r="J69" i="8" l="1"/>
  <c r="J113" i="8"/>
  <c r="I106" i="8"/>
  <c r="G106" i="8"/>
  <c r="I109" i="8" l="1"/>
  <c r="G109" i="8"/>
  <c r="I9" i="8" l="1"/>
  <c r="J106" i="8"/>
  <c r="J109" i="8"/>
  <c r="G9" i="8"/>
  <c r="I101" i="8" l="1"/>
  <c r="G101" i="8"/>
  <c r="J101" i="8" l="1"/>
  <c r="J9" i="8"/>
  <c r="I24" i="8"/>
  <c r="G24" i="8"/>
  <c r="J24" i="8" l="1"/>
  <c r="I27" i="8"/>
  <c r="G27" i="8"/>
  <c r="J27" i="8" l="1"/>
  <c r="I26" i="8" l="1"/>
  <c r="G26" i="8"/>
  <c r="I39" i="8" l="1"/>
  <c r="G39" i="8"/>
  <c r="J26" i="8" l="1"/>
  <c r="J39" i="8"/>
  <c r="I46" i="8"/>
  <c r="G46" i="8"/>
  <c r="J46" i="8" l="1"/>
  <c r="I143" i="8"/>
  <c r="G143" i="8"/>
  <c r="I89" i="8" l="1"/>
  <c r="J143" i="8"/>
  <c r="G89" i="8"/>
  <c r="J89" i="8" l="1"/>
  <c r="I6" i="8" l="1"/>
  <c r="G6" i="8" l="1"/>
  <c r="J6" i="8" l="1"/>
  <c r="G111" i="8" l="1"/>
  <c r="I111" i="8" l="1"/>
  <c r="I104" i="8"/>
  <c r="G104" i="8"/>
  <c r="J104" i="8" l="1"/>
  <c r="J111" i="8"/>
  <c r="I132" i="8"/>
  <c r="G132" i="8"/>
  <c r="J132" i="8" l="1"/>
  <c r="I41" i="8" l="1"/>
  <c r="G41" i="8"/>
  <c r="J41" i="8" l="1"/>
  <c r="G116" i="8" l="1"/>
  <c r="I116" i="8" l="1"/>
  <c r="G122" i="8"/>
  <c r="J116" i="8" l="1"/>
  <c r="I122" i="8"/>
  <c r="I147" i="8"/>
  <c r="G147" i="8"/>
  <c r="J122" i="8" l="1"/>
  <c r="I102" i="8"/>
  <c r="G102" i="8"/>
  <c r="J147" i="8" l="1"/>
  <c r="I13" i="8"/>
  <c r="G13" i="8"/>
  <c r="J102" i="8" l="1"/>
  <c r="J13" i="8"/>
  <c r="I141" i="8" l="1"/>
  <c r="G141" i="8"/>
  <c r="J141" i="8" l="1"/>
  <c r="G130" i="8"/>
  <c r="I130" i="8" l="1"/>
  <c r="I42" i="8"/>
  <c r="G42" i="8"/>
  <c r="J130" i="8" l="1"/>
  <c r="J42" i="8"/>
  <c r="I124" i="8" l="1"/>
  <c r="G124" i="8"/>
  <c r="G11" i="8" l="1"/>
  <c r="J124" i="8"/>
  <c r="I11" i="8" l="1"/>
  <c r="J11" i="8" l="1"/>
  <c r="M19" i="8" l="1"/>
  <c r="M18" i="8"/>
  <c r="M39" i="8"/>
  <c r="M15" i="8"/>
  <c r="M27" i="8"/>
  <c r="M25" i="8"/>
  <c r="M33" i="8"/>
  <c r="M40" i="8"/>
  <c r="M56" i="8"/>
  <c r="M53" i="8"/>
  <c r="M69" i="8"/>
  <c r="M60" i="8"/>
  <c r="M76" i="8"/>
  <c r="M92" i="8"/>
  <c r="M81" i="8"/>
  <c r="M97" i="8"/>
  <c r="M113" i="8"/>
  <c r="M112" i="8"/>
  <c r="M128" i="8"/>
  <c r="M125" i="8"/>
  <c r="M139" i="8"/>
  <c r="M147" i="8"/>
  <c r="M14" i="8"/>
  <c r="M44" i="8"/>
  <c r="M64" i="8"/>
  <c r="M117" i="8"/>
  <c r="M100" i="8"/>
  <c r="M141" i="8"/>
  <c r="M86" i="8"/>
  <c r="M135" i="8"/>
  <c r="M24" i="8"/>
  <c r="M109" i="8"/>
  <c r="M137" i="8"/>
  <c r="M31" i="8"/>
  <c r="M67" i="8"/>
  <c r="M79" i="8"/>
  <c r="M35" i="8"/>
  <c r="M26" i="8"/>
  <c r="M42" i="8"/>
  <c r="M55" i="8"/>
  <c r="M71" i="8"/>
  <c r="M62" i="8"/>
  <c r="M78" i="8"/>
  <c r="M94" i="8"/>
  <c r="M83" i="8"/>
  <c r="M99" i="8"/>
  <c r="M115" i="8"/>
  <c r="M98" i="8"/>
  <c r="M114" i="8"/>
  <c r="M130" i="8"/>
  <c r="M127" i="8"/>
  <c r="M140" i="8"/>
  <c r="M13" i="8"/>
  <c r="M17" i="8"/>
  <c r="M29" i="8"/>
  <c r="M28" i="8"/>
  <c r="M73" i="8"/>
  <c r="M96" i="8"/>
  <c r="M101" i="8"/>
  <c r="M132" i="8"/>
  <c r="M12" i="8"/>
  <c r="M119" i="8"/>
  <c r="M36" i="8"/>
  <c r="M49" i="8"/>
  <c r="M108" i="8"/>
  <c r="M145" i="8"/>
  <c r="M58" i="8"/>
  <c r="M37" i="8"/>
  <c r="M57" i="8"/>
  <c r="M80" i="8"/>
  <c r="M85" i="8"/>
  <c r="M116" i="8"/>
  <c r="M129" i="8"/>
  <c r="M11" i="8"/>
  <c r="M91" i="8"/>
  <c r="M106" i="8"/>
  <c r="M8" i="8"/>
  <c r="M45" i="8"/>
  <c r="M93" i="8"/>
  <c r="M121" i="8"/>
  <c r="M111" i="8"/>
  <c r="M146" i="8"/>
  <c r="M30" i="8"/>
  <c r="M46" i="8"/>
  <c r="M59" i="8"/>
  <c r="M75" i="8"/>
  <c r="M66" i="8"/>
  <c r="M82" i="8"/>
  <c r="M87" i="8"/>
  <c r="M103" i="8"/>
  <c r="M102" i="8"/>
  <c r="M118" i="8"/>
  <c r="M134" i="8"/>
  <c r="M131" i="8"/>
  <c r="M142" i="8"/>
  <c r="M9" i="8"/>
  <c r="M133" i="8"/>
  <c r="M138" i="8"/>
  <c r="M21" i="8"/>
  <c r="M20" i="8"/>
  <c r="M41" i="8"/>
  <c r="M32" i="8"/>
  <c r="M48" i="8"/>
  <c r="M61" i="8"/>
  <c r="M77" i="8"/>
  <c r="M68" i="8"/>
  <c r="M84" i="8"/>
  <c r="M89" i="8"/>
  <c r="M105" i="8"/>
  <c r="M104" i="8"/>
  <c r="M120" i="8"/>
  <c r="M136" i="8"/>
  <c r="M143" i="8"/>
  <c r="M10" i="8"/>
  <c r="M88" i="8"/>
  <c r="M38" i="8"/>
  <c r="M90" i="8"/>
  <c r="M7" i="8"/>
  <c r="M22" i="8"/>
  <c r="M43" i="8"/>
  <c r="M34" i="8"/>
  <c r="M50" i="8"/>
  <c r="M47" i="8"/>
  <c r="M63" i="8"/>
  <c r="M70" i="8"/>
  <c r="M107" i="8"/>
  <c r="M122" i="8"/>
  <c r="M144" i="8"/>
  <c r="M65" i="8"/>
  <c r="M16" i="8"/>
  <c r="M23" i="8"/>
  <c r="M126" i="8"/>
  <c r="M52" i="8"/>
  <c r="M72" i="8"/>
  <c r="M124" i="8"/>
  <c r="M54" i="8"/>
  <c r="M123" i="8"/>
  <c r="M51" i="8"/>
  <c r="M74" i="8"/>
  <c r="M95" i="8"/>
  <c r="M110" i="8"/>
  <c r="S47" i="1" l="1"/>
  <c r="Y47" i="1" s="1"/>
  <c r="T47" i="1"/>
  <c r="Z47" i="1" s="1"/>
  <c r="O120" i="8"/>
  <c r="S302" i="1"/>
  <c r="Y302" i="1" s="1"/>
  <c r="T302" i="1"/>
  <c r="Z302" i="1" s="1"/>
  <c r="T262" i="1"/>
  <c r="Z262" i="1" s="1"/>
  <c r="S262" i="1"/>
  <c r="Y262" i="1" s="1"/>
  <c r="T222" i="1"/>
  <c r="Z222" i="1" s="1"/>
  <c r="S222" i="1"/>
  <c r="Y222" i="1" s="1"/>
  <c r="T358" i="1"/>
  <c r="Z358" i="1" s="1"/>
  <c r="S358" i="1"/>
  <c r="Y358" i="1" s="1"/>
  <c r="S309" i="1"/>
  <c r="Y309" i="1" s="1"/>
  <c r="T309" i="1"/>
  <c r="Z309" i="1" s="1"/>
  <c r="O134" i="8"/>
  <c r="S237" i="1"/>
  <c r="Y237" i="1" s="1"/>
  <c r="T237" i="1"/>
  <c r="Z237" i="1" s="1"/>
  <c r="O103" i="8"/>
  <c r="T149" i="1"/>
  <c r="Z149" i="1" s="1"/>
  <c r="S149" i="1"/>
  <c r="Y149" i="1" s="1"/>
  <c r="S368" i="1"/>
  <c r="Y368" i="1" s="1"/>
  <c r="T368" i="1"/>
  <c r="Z368" i="1" s="1"/>
  <c r="O121" i="8"/>
  <c r="T152" i="1"/>
  <c r="Z152" i="1" s="1"/>
  <c r="S152" i="1"/>
  <c r="Y152" i="1" s="1"/>
  <c r="S167" i="1"/>
  <c r="Y167" i="1" s="1"/>
  <c r="T167" i="1"/>
  <c r="Z167" i="1" s="1"/>
  <c r="S300" i="1"/>
  <c r="Y300" i="1" s="1"/>
  <c r="O116" i="8"/>
  <c r="T300" i="1"/>
  <c r="Z300" i="1" s="1"/>
  <c r="S336" i="1"/>
  <c r="Y336" i="1" s="1"/>
  <c r="T336" i="1"/>
  <c r="Z336" i="1" s="1"/>
  <c r="T339" i="1"/>
  <c r="Z339" i="1" s="1"/>
  <c r="S339" i="1"/>
  <c r="Y339" i="1" s="1"/>
  <c r="S307" i="1"/>
  <c r="Y307" i="1" s="1"/>
  <c r="T307" i="1"/>
  <c r="Z307" i="1" s="1"/>
  <c r="O130" i="8"/>
  <c r="S376" i="1"/>
  <c r="Y376" i="1" s="1"/>
  <c r="O137" i="8"/>
  <c r="T376" i="1"/>
  <c r="Z376" i="1" s="1"/>
  <c r="T200" i="1"/>
  <c r="Z200" i="1" s="1"/>
  <c r="S200" i="1"/>
  <c r="Y200" i="1" s="1"/>
  <c r="T56" i="1"/>
  <c r="Z56" i="1" s="1"/>
  <c r="S56" i="1"/>
  <c r="Y56" i="1" s="1"/>
  <c r="S244" i="1"/>
  <c r="Y244" i="1" s="1"/>
  <c r="T244" i="1"/>
  <c r="Z244" i="1" s="1"/>
  <c r="O117" i="8"/>
  <c r="O128" i="8"/>
  <c r="S306" i="1"/>
  <c r="Y306" i="1" s="1"/>
  <c r="T306" i="1"/>
  <c r="Z306" i="1" s="1"/>
  <c r="T274" i="1"/>
  <c r="Z274" i="1" s="1"/>
  <c r="S274" i="1"/>
  <c r="Y274" i="1" s="1"/>
  <c r="S51" i="1"/>
  <c r="Y51" i="1" s="1"/>
  <c r="T51" i="1"/>
  <c r="Z51" i="1" s="1"/>
  <c r="T383" i="1"/>
  <c r="Z383" i="1" s="1"/>
  <c r="O144" i="8"/>
  <c r="S383" i="1"/>
  <c r="Y383" i="1" s="1"/>
  <c r="S239" i="1"/>
  <c r="Y239" i="1" s="1"/>
  <c r="O107" i="8"/>
  <c r="T239" i="1"/>
  <c r="Z239" i="1" s="1"/>
  <c r="O54" i="8"/>
  <c r="S105" i="1"/>
  <c r="Y105" i="1" s="1"/>
  <c r="T105" i="1"/>
  <c r="Z105" i="1" s="1"/>
  <c r="S40" i="1"/>
  <c r="Y40" i="1" s="1"/>
  <c r="T40" i="1"/>
  <c r="Z40" i="1" s="1"/>
  <c r="S334" i="1"/>
  <c r="Y334" i="1" s="1"/>
  <c r="T334" i="1"/>
  <c r="Z334" i="1" s="1"/>
  <c r="T166" i="1"/>
  <c r="Z166" i="1" s="1"/>
  <c r="S166" i="1"/>
  <c r="Y166" i="1" s="1"/>
  <c r="S70" i="1"/>
  <c r="Y70" i="1" s="1"/>
  <c r="T70" i="1"/>
  <c r="Z70" i="1" s="1"/>
  <c r="S269" i="1"/>
  <c r="Y269" i="1" s="1"/>
  <c r="T269" i="1"/>
  <c r="Z269" i="1" s="1"/>
  <c r="T327" i="1"/>
  <c r="Z327" i="1" s="1"/>
  <c r="S327" i="1"/>
  <c r="Y327" i="1" s="1"/>
  <c r="T156" i="1"/>
  <c r="Z156" i="1" s="1"/>
  <c r="S156" i="1"/>
  <c r="Y156" i="1" s="1"/>
  <c r="S329" i="1"/>
  <c r="Y329" i="1" s="1"/>
  <c r="T329" i="1"/>
  <c r="Z329" i="1" s="1"/>
  <c r="T260" i="1"/>
  <c r="Z260" i="1" s="1"/>
  <c r="S260" i="1"/>
  <c r="Y260" i="1" s="1"/>
  <c r="S140" i="1"/>
  <c r="Y140" i="1" s="1"/>
  <c r="T140" i="1"/>
  <c r="Z140" i="1" s="1"/>
  <c r="O73" i="8"/>
  <c r="T379" i="1"/>
  <c r="Z379" i="1" s="1"/>
  <c r="O140" i="8"/>
  <c r="S379" i="1"/>
  <c r="Y379" i="1" s="1"/>
  <c r="S267" i="1"/>
  <c r="Y267" i="1" s="1"/>
  <c r="T267" i="1"/>
  <c r="Z267" i="1" s="1"/>
  <c r="S171" i="1"/>
  <c r="Y171" i="1" s="1"/>
  <c r="T171" i="1"/>
  <c r="Z171" i="1" s="1"/>
  <c r="O62" i="8"/>
  <c r="O147" i="8"/>
  <c r="S386" i="1"/>
  <c r="Y386" i="1" s="1"/>
  <c r="T386" i="1"/>
  <c r="Z386" i="1" s="1"/>
  <c r="T226" i="1"/>
  <c r="Z226" i="1" s="1"/>
  <c r="O81" i="8"/>
  <c r="S226" i="1"/>
  <c r="Y226" i="1" s="1"/>
  <c r="T194" i="1"/>
  <c r="Z194" i="1" s="1"/>
  <c r="S194" i="1"/>
  <c r="Y194" i="1" s="1"/>
  <c r="S154" i="1"/>
  <c r="Y154" i="1" s="1"/>
  <c r="T154" i="1"/>
  <c r="Z154" i="1" s="1"/>
  <c r="S320" i="1"/>
  <c r="Y320" i="1" s="1"/>
  <c r="T320" i="1"/>
  <c r="Z320" i="1" s="1"/>
  <c r="S296" i="1"/>
  <c r="Y296" i="1" s="1"/>
  <c r="T296" i="1"/>
  <c r="Z296" i="1" s="1"/>
  <c r="O108" i="8"/>
  <c r="S96" i="1"/>
  <c r="Y96" i="1" s="1"/>
  <c r="O36" i="8"/>
  <c r="T96" i="1"/>
  <c r="Z96" i="1" s="1"/>
  <c r="S364" i="1"/>
  <c r="Y364" i="1" s="1"/>
  <c r="T364" i="1"/>
  <c r="Z364" i="1" s="1"/>
  <c r="T331" i="1"/>
  <c r="Z331" i="1" s="1"/>
  <c r="S331" i="1"/>
  <c r="Y331" i="1" s="1"/>
  <c r="O114" i="8"/>
  <c r="S299" i="1"/>
  <c r="Y299" i="1" s="1"/>
  <c r="T299" i="1"/>
  <c r="Z299" i="1" s="1"/>
  <c r="T203" i="1"/>
  <c r="Z203" i="1" s="1"/>
  <c r="S203" i="1"/>
  <c r="Y203" i="1" s="1"/>
  <c r="S328" i="1"/>
  <c r="Y328" i="1" s="1"/>
  <c r="T328" i="1"/>
  <c r="Z328" i="1" s="1"/>
  <c r="T160" i="1"/>
  <c r="Z160" i="1" s="1"/>
  <c r="S160" i="1"/>
  <c r="Y160" i="1" s="1"/>
  <c r="S220" i="1"/>
  <c r="Y220" i="1" s="1"/>
  <c r="T220" i="1"/>
  <c r="Z220" i="1" s="1"/>
  <c r="O112" i="8"/>
  <c r="S298" i="1"/>
  <c r="Y298" i="1" s="1"/>
  <c r="T298" i="1"/>
  <c r="Z298" i="1" s="1"/>
  <c r="T294" i="1"/>
  <c r="Z294" i="1" s="1"/>
  <c r="S294" i="1"/>
  <c r="Y294" i="1" s="1"/>
  <c r="O104" i="8"/>
  <c r="T254" i="1"/>
  <c r="Z254" i="1" s="1"/>
  <c r="S254" i="1"/>
  <c r="Y254" i="1" s="1"/>
  <c r="S214" i="1"/>
  <c r="Y214" i="1" s="1"/>
  <c r="T214" i="1"/>
  <c r="Z214" i="1" s="1"/>
  <c r="T30" i="1"/>
  <c r="Z30" i="1" s="1"/>
  <c r="O20" i="8"/>
  <c r="S30" i="1"/>
  <c r="Y30" i="1" s="1"/>
  <c r="S344" i="1"/>
  <c r="Y344" i="1" s="1"/>
  <c r="T344" i="1"/>
  <c r="Z344" i="1" s="1"/>
  <c r="S301" i="1"/>
  <c r="Y301" i="1" s="1"/>
  <c r="O118" i="8"/>
  <c r="T301" i="1"/>
  <c r="Z301" i="1" s="1"/>
  <c r="T229" i="1"/>
  <c r="Z229" i="1" s="1"/>
  <c r="S229" i="1"/>
  <c r="Y229" i="1" s="1"/>
  <c r="O87" i="8"/>
  <c r="T10" i="1"/>
  <c r="Z10" i="1" s="1"/>
  <c r="S10" i="1"/>
  <c r="Y10" i="1" s="1"/>
  <c r="T24" i="1"/>
  <c r="Z24" i="1" s="1"/>
  <c r="S24" i="1"/>
  <c r="Y24" i="1" s="1"/>
  <c r="S312" i="1"/>
  <c r="Y312" i="1" s="1"/>
  <c r="T312" i="1"/>
  <c r="Z312" i="1" s="1"/>
  <c r="S326" i="1"/>
  <c r="Y326" i="1" s="1"/>
  <c r="T326" i="1"/>
  <c r="Z326" i="1" s="1"/>
  <c r="T181" i="1"/>
  <c r="Z181" i="1" s="1"/>
  <c r="S181" i="1"/>
  <c r="Y181" i="1" s="1"/>
  <c r="O82" i="8"/>
  <c r="T385" i="1"/>
  <c r="Z385" i="1" s="1"/>
  <c r="S385" i="1"/>
  <c r="Y385" i="1" s="1"/>
  <c r="O146" i="8"/>
  <c r="O106" i="8"/>
  <c r="T295" i="1"/>
  <c r="Z295" i="1" s="1"/>
  <c r="S295" i="1"/>
  <c r="Y295" i="1" s="1"/>
  <c r="S372" i="1"/>
  <c r="Y372" i="1" s="1"/>
  <c r="O129" i="8"/>
  <c r="T372" i="1"/>
  <c r="Z372" i="1" s="1"/>
  <c r="S252" i="1"/>
  <c r="Y252" i="1" s="1"/>
  <c r="T252" i="1"/>
  <c r="Z252" i="1" s="1"/>
  <c r="S132" i="1"/>
  <c r="Y132" i="1" s="1"/>
  <c r="O57" i="8"/>
  <c r="T132" i="1"/>
  <c r="Z132" i="1" s="1"/>
  <c r="S247" i="1"/>
  <c r="Y247" i="1" s="1"/>
  <c r="T247" i="1"/>
  <c r="Z247" i="1" s="1"/>
  <c r="T236" i="1"/>
  <c r="Z236" i="1" s="1"/>
  <c r="O101" i="8"/>
  <c r="S236" i="1"/>
  <c r="Y236" i="1" s="1"/>
  <c r="T371" i="1"/>
  <c r="Z371" i="1" s="1"/>
  <c r="O127" i="8"/>
  <c r="S371" i="1"/>
  <c r="Y371" i="1" s="1"/>
  <c r="S321" i="1"/>
  <c r="Y321" i="1" s="1"/>
  <c r="T321" i="1"/>
  <c r="Z321" i="1" s="1"/>
  <c r="S16" i="1"/>
  <c r="Y16" i="1" s="1"/>
  <c r="T16" i="1"/>
  <c r="Z16" i="1" s="1"/>
  <c r="T316" i="1"/>
  <c r="Z316" i="1" s="1"/>
  <c r="S316" i="1"/>
  <c r="Y316" i="1" s="1"/>
  <c r="S76" i="1"/>
  <c r="Y76" i="1" s="1"/>
  <c r="T76" i="1"/>
  <c r="Z76" i="1" s="1"/>
  <c r="S378" i="1"/>
  <c r="Y378" i="1" s="1"/>
  <c r="T378" i="1"/>
  <c r="Z378" i="1" s="1"/>
  <c r="O139" i="8"/>
  <c r="S258" i="1"/>
  <c r="Y258" i="1" s="1"/>
  <c r="T258" i="1"/>
  <c r="Z258" i="1" s="1"/>
  <c r="S218" i="1"/>
  <c r="Y218" i="1" s="1"/>
  <c r="T218" i="1"/>
  <c r="Z218" i="1" s="1"/>
  <c r="O92" i="8"/>
  <c r="S186" i="1"/>
  <c r="Y186" i="1" s="1"/>
  <c r="T186" i="1"/>
  <c r="Z186" i="1" s="1"/>
  <c r="T112" i="1"/>
  <c r="Z112" i="1" s="1"/>
  <c r="S112" i="1"/>
  <c r="Y112" i="1" s="1"/>
  <c r="S323" i="1"/>
  <c r="Y323" i="1" s="1"/>
  <c r="T323" i="1"/>
  <c r="Z323" i="1" s="1"/>
  <c r="S291" i="1"/>
  <c r="Y291" i="1" s="1"/>
  <c r="T291" i="1"/>
  <c r="Z291" i="1" s="1"/>
  <c r="O98" i="8"/>
  <c r="S195" i="1"/>
  <c r="Y195" i="1" s="1"/>
  <c r="T195" i="1"/>
  <c r="Z195" i="1" s="1"/>
  <c r="S288" i="1"/>
  <c r="Y288" i="1" s="1"/>
  <c r="T288" i="1"/>
  <c r="Z288" i="1" s="1"/>
  <c r="S120" i="1"/>
  <c r="Y120" i="1" s="1"/>
  <c r="T120" i="1"/>
  <c r="Z120" i="1" s="1"/>
  <c r="T290" i="1"/>
  <c r="Z290" i="1" s="1"/>
  <c r="S290" i="1"/>
  <c r="Y290" i="1" s="1"/>
  <c r="T351" i="1"/>
  <c r="Z351" i="1" s="1"/>
  <c r="S351" i="1"/>
  <c r="Y351" i="1" s="1"/>
  <c r="T119" i="1"/>
  <c r="Z119" i="1" s="1"/>
  <c r="S119" i="1"/>
  <c r="Y119" i="1" s="1"/>
  <c r="S71" i="1"/>
  <c r="Y71" i="1" s="1"/>
  <c r="T71" i="1"/>
  <c r="Z71" i="1" s="1"/>
  <c r="T382" i="1"/>
  <c r="Z382" i="1" s="1"/>
  <c r="S382" i="1"/>
  <c r="Y382" i="1" s="1"/>
  <c r="O143" i="8"/>
  <c r="T246" i="1"/>
  <c r="Z246" i="1" s="1"/>
  <c r="S246" i="1"/>
  <c r="Y246" i="1" s="1"/>
  <c r="T381" i="1"/>
  <c r="Z381" i="1" s="1"/>
  <c r="S381" i="1"/>
  <c r="Y381" i="1" s="1"/>
  <c r="O142" i="8"/>
  <c r="O102" i="8"/>
  <c r="T293" i="1"/>
  <c r="Z293" i="1" s="1"/>
  <c r="S293" i="1"/>
  <c r="Y293" i="1" s="1"/>
  <c r="T278" i="1"/>
  <c r="Z278" i="1" s="1"/>
  <c r="S278" i="1"/>
  <c r="Y278" i="1" s="1"/>
  <c r="T150" i="1"/>
  <c r="Z150" i="1" s="1"/>
  <c r="S150" i="1"/>
  <c r="Y150" i="1" s="1"/>
  <c r="T94" i="1"/>
  <c r="Z94" i="1" s="1"/>
  <c r="O32" i="8"/>
  <c r="S94" i="1"/>
  <c r="Y94" i="1" s="1"/>
  <c r="T54" i="1"/>
  <c r="Z54" i="1" s="1"/>
  <c r="S54" i="1"/>
  <c r="Y54" i="1" s="1"/>
  <c r="S377" i="1"/>
  <c r="Y377" i="1" s="1"/>
  <c r="O138" i="8"/>
  <c r="T377" i="1"/>
  <c r="Z377" i="1" s="1"/>
  <c r="T325" i="1"/>
  <c r="Z325" i="1" s="1"/>
  <c r="S325" i="1"/>
  <c r="Y325" i="1" s="1"/>
  <c r="S253" i="1"/>
  <c r="Y253" i="1" s="1"/>
  <c r="T253" i="1"/>
  <c r="Z253" i="1" s="1"/>
  <c r="S213" i="1"/>
  <c r="Y213" i="1" s="1"/>
  <c r="T213" i="1"/>
  <c r="Z213" i="1" s="1"/>
  <c r="S117" i="1"/>
  <c r="Y117" i="1" s="1"/>
  <c r="T117" i="1"/>
  <c r="Z117" i="1" s="1"/>
  <c r="T337" i="1"/>
  <c r="Z337" i="1" s="1"/>
  <c r="S337" i="1"/>
  <c r="Y337" i="1" s="1"/>
  <c r="T348" i="1"/>
  <c r="Z348" i="1" s="1"/>
  <c r="S348" i="1"/>
  <c r="Y348" i="1" s="1"/>
  <c r="S147" i="1"/>
  <c r="Y147" i="1" s="1"/>
  <c r="T147" i="1"/>
  <c r="Z147" i="1" s="1"/>
  <c r="T375" i="1"/>
  <c r="Z375" i="1" s="1"/>
  <c r="S375" i="1"/>
  <c r="Y375" i="1" s="1"/>
  <c r="O135" i="8"/>
  <c r="O100" i="8"/>
  <c r="S292" i="1"/>
  <c r="Y292" i="1" s="1"/>
  <c r="T292" i="1"/>
  <c r="Z292" i="1" s="1"/>
  <c r="S172" i="1"/>
  <c r="Y172" i="1" s="1"/>
  <c r="O64" i="8"/>
  <c r="T172" i="1"/>
  <c r="Z172" i="1" s="1"/>
  <c r="S370" i="1"/>
  <c r="Y370" i="1" s="1"/>
  <c r="T370" i="1"/>
  <c r="Z370" i="1" s="1"/>
  <c r="O125" i="8"/>
  <c r="S322" i="1"/>
  <c r="Y322" i="1" s="1"/>
  <c r="T322" i="1"/>
  <c r="Z322" i="1" s="1"/>
  <c r="S210" i="1"/>
  <c r="Y210" i="1" s="1"/>
  <c r="T210" i="1"/>
  <c r="Z210" i="1" s="1"/>
  <c r="S74" i="1"/>
  <c r="Y74" i="1" s="1"/>
  <c r="T74" i="1"/>
  <c r="Z74" i="1" s="1"/>
  <c r="T26" i="1"/>
  <c r="Z26" i="1" s="1"/>
  <c r="S26" i="1"/>
  <c r="Y26" i="1" s="1"/>
  <c r="T176" i="1"/>
  <c r="Z176" i="1" s="1"/>
  <c r="S176" i="1"/>
  <c r="Y176" i="1" s="1"/>
  <c r="O72" i="8"/>
  <c r="T217" i="1"/>
  <c r="Z217" i="1" s="1"/>
  <c r="S217" i="1"/>
  <c r="Y217" i="1" s="1"/>
  <c r="S207" i="1"/>
  <c r="Y207" i="1" s="1"/>
  <c r="T207" i="1"/>
  <c r="Z207" i="1" s="1"/>
  <c r="T158" i="1"/>
  <c r="Z158" i="1" s="1"/>
  <c r="S158" i="1"/>
  <c r="Y158" i="1" s="1"/>
  <c r="S62" i="1"/>
  <c r="Y62" i="1" s="1"/>
  <c r="T62" i="1"/>
  <c r="Z62" i="1" s="1"/>
  <c r="T113" i="1"/>
  <c r="Z113" i="1" s="1"/>
  <c r="S113" i="1"/>
  <c r="Y113" i="1" s="1"/>
  <c r="O58" i="8"/>
  <c r="T169" i="1"/>
  <c r="Z169" i="1" s="1"/>
  <c r="S169" i="1"/>
  <c r="Y169" i="1" s="1"/>
  <c r="S248" i="1"/>
  <c r="Y248" i="1" s="1"/>
  <c r="T248" i="1"/>
  <c r="Z248" i="1" s="1"/>
  <c r="T64" i="1"/>
  <c r="Z64" i="1" s="1"/>
  <c r="S64" i="1"/>
  <c r="Y64" i="1" s="1"/>
  <c r="T340" i="1"/>
  <c r="Z340" i="1" s="1"/>
  <c r="S340" i="1"/>
  <c r="Y340" i="1" s="1"/>
  <c r="S361" i="1"/>
  <c r="Y361" i="1" s="1"/>
  <c r="T361" i="1"/>
  <c r="Z361" i="1" s="1"/>
  <c r="T65" i="1"/>
  <c r="Z65" i="1" s="1"/>
  <c r="S65" i="1"/>
  <c r="Y65" i="1" s="1"/>
  <c r="T273" i="1"/>
  <c r="Z273" i="1" s="1"/>
  <c r="S273" i="1"/>
  <c r="Y273" i="1" s="1"/>
  <c r="T304" i="1"/>
  <c r="Z304" i="1" s="1"/>
  <c r="O124" i="8"/>
  <c r="S304" i="1"/>
  <c r="Y304" i="1" s="1"/>
  <c r="S121" i="1"/>
  <c r="Y121" i="1" s="1"/>
  <c r="T121" i="1"/>
  <c r="Z121" i="1" s="1"/>
  <c r="O65" i="8"/>
  <c r="S136" i="1"/>
  <c r="Y136" i="1" s="1"/>
  <c r="T136" i="1"/>
  <c r="Z136" i="1" s="1"/>
  <c r="T271" i="1"/>
  <c r="Z271" i="1" s="1"/>
  <c r="S271" i="1"/>
  <c r="Y271" i="1" s="1"/>
  <c r="S55" i="1"/>
  <c r="Y55" i="1" s="1"/>
  <c r="T55" i="1"/>
  <c r="Z55" i="1" s="1"/>
  <c r="T345" i="1"/>
  <c r="Z345" i="1" s="1"/>
  <c r="S345" i="1"/>
  <c r="Y345" i="1" s="1"/>
  <c r="S366" i="1"/>
  <c r="Y366" i="1" s="1"/>
  <c r="T366" i="1"/>
  <c r="Z366" i="1" s="1"/>
  <c r="O136" i="8"/>
  <c r="S310" i="1"/>
  <c r="Y310" i="1" s="1"/>
  <c r="T310" i="1"/>
  <c r="Z310" i="1" s="1"/>
  <c r="O133" i="8"/>
  <c r="S374" i="1"/>
  <c r="Y374" i="1" s="1"/>
  <c r="T374" i="1"/>
  <c r="Z374" i="1" s="1"/>
  <c r="S373" i="1"/>
  <c r="Y373" i="1" s="1"/>
  <c r="T373" i="1"/>
  <c r="Z373" i="1" s="1"/>
  <c r="O131" i="8"/>
  <c r="S192" i="1"/>
  <c r="Y192" i="1" s="1"/>
  <c r="T192" i="1"/>
  <c r="Z192" i="1" s="1"/>
  <c r="S384" i="1"/>
  <c r="Y384" i="1" s="1"/>
  <c r="O145" i="8"/>
  <c r="T384" i="1"/>
  <c r="Z384" i="1" s="1"/>
  <c r="T208" i="1"/>
  <c r="Z208" i="1" s="1"/>
  <c r="S208" i="1"/>
  <c r="Y208" i="1" s="1"/>
  <c r="T367" i="1"/>
  <c r="Z367" i="1" s="1"/>
  <c r="O119" i="8"/>
  <c r="S367" i="1"/>
  <c r="Y367" i="1" s="1"/>
  <c r="T191" i="1"/>
  <c r="Z191" i="1" s="1"/>
  <c r="S191" i="1"/>
  <c r="Y191" i="1" s="1"/>
  <c r="O132" i="8"/>
  <c r="S308" i="1"/>
  <c r="Y308" i="1" s="1"/>
  <c r="T308" i="1"/>
  <c r="Z308" i="1" s="1"/>
  <c r="O96" i="8"/>
  <c r="S188" i="1"/>
  <c r="Y188" i="1" s="1"/>
  <c r="T188" i="1"/>
  <c r="Z188" i="1" s="1"/>
  <c r="T315" i="1"/>
  <c r="Z315" i="1" s="1"/>
  <c r="S315" i="1"/>
  <c r="Y315" i="1" s="1"/>
  <c r="S283" i="1"/>
  <c r="Y283" i="1" s="1"/>
  <c r="T283" i="1"/>
  <c r="Z283" i="1" s="1"/>
  <c r="S83" i="1"/>
  <c r="Y83" i="1" s="1"/>
  <c r="T83" i="1"/>
  <c r="Z83" i="1" s="1"/>
  <c r="O109" i="8"/>
  <c r="S240" i="1"/>
  <c r="Y240" i="1" s="1"/>
  <c r="T240" i="1"/>
  <c r="Z240" i="1" s="1"/>
  <c r="S88" i="1"/>
  <c r="Y88" i="1" s="1"/>
  <c r="T88" i="1"/>
  <c r="Z88" i="1" s="1"/>
  <c r="S282" i="1"/>
  <c r="Y282" i="1" s="1"/>
  <c r="T282" i="1"/>
  <c r="Z282" i="1" s="1"/>
  <c r="S242" i="1"/>
  <c r="Y242" i="1" s="1"/>
  <c r="T242" i="1"/>
  <c r="Z242" i="1" s="1"/>
  <c r="O113" i="8"/>
  <c r="S261" i="1"/>
  <c r="Y261" i="1" s="1"/>
  <c r="T261" i="1"/>
  <c r="Z261" i="1" s="1"/>
  <c r="T297" i="1"/>
  <c r="Z297" i="1" s="1"/>
  <c r="O110" i="8"/>
  <c r="S297" i="1"/>
  <c r="Y297" i="1" s="1"/>
  <c r="S369" i="1"/>
  <c r="Y369" i="1" s="1"/>
  <c r="T369" i="1"/>
  <c r="Z369" i="1" s="1"/>
  <c r="O123" i="8"/>
  <c r="T144" i="1"/>
  <c r="Z144" i="1" s="1"/>
  <c r="S144" i="1"/>
  <c r="Y144" i="1" s="1"/>
  <c r="S161" i="1"/>
  <c r="Y161" i="1" s="1"/>
  <c r="T161" i="1"/>
  <c r="Z161" i="1" s="1"/>
  <c r="T303" i="1"/>
  <c r="Z303" i="1" s="1"/>
  <c r="S303" i="1"/>
  <c r="Y303" i="1" s="1"/>
  <c r="O122" i="8"/>
  <c r="T175" i="1"/>
  <c r="Z175" i="1" s="1"/>
  <c r="O70" i="8"/>
  <c r="S175" i="1"/>
  <c r="Y175" i="1" s="1"/>
  <c r="S63" i="1"/>
  <c r="Y63" i="1" s="1"/>
  <c r="T63" i="1"/>
  <c r="Z63" i="1" s="1"/>
  <c r="S72" i="1"/>
  <c r="Y72" i="1" s="1"/>
  <c r="T72" i="1"/>
  <c r="Z72" i="1" s="1"/>
  <c r="O126" i="8"/>
  <c r="T305" i="1"/>
  <c r="Z305" i="1" s="1"/>
  <c r="S305" i="1"/>
  <c r="Y305" i="1" s="1"/>
  <c r="T135" i="1"/>
  <c r="Z135" i="1" s="1"/>
  <c r="S135" i="1"/>
  <c r="Y135" i="1" s="1"/>
  <c r="O63" i="8"/>
  <c r="S87" i="1"/>
  <c r="Y87" i="1" s="1"/>
  <c r="T87" i="1"/>
  <c r="Z87" i="1" s="1"/>
  <c r="S46" i="1"/>
  <c r="Y46" i="1" s="1"/>
  <c r="T46" i="1"/>
  <c r="Z46" i="1" s="1"/>
  <c r="S281" i="1"/>
  <c r="Y281" i="1" s="1"/>
  <c r="T281" i="1"/>
  <c r="Z281" i="1" s="1"/>
  <c r="T277" i="1"/>
  <c r="Z277" i="1" s="1"/>
  <c r="S277" i="1"/>
  <c r="Y277" i="1" s="1"/>
  <c r="T205" i="1"/>
  <c r="Z205" i="1" s="1"/>
  <c r="S205" i="1"/>
  <c r="Y205" i="1" s="1"/>
  <c r="S109" i="1"/>
  <c r="Y109" i="1" s="1"/>
  <c r="T109" i="1"/>
  <c r="Z109" i="1" s="1"/>
  <c r="S313" i="1"/>
  <c r="Y313" i="1" s="1"/>
  <c r="T313" i="1"/>
  <c r="Z313" i="1" s="1"/>
  <c r="S359" i="1"/>
  <c r="Y359" i="1" s="1"/>
  <c r="T359" i="1"/>
  <c r="Z359" i="1" s="1"/>
  <c r="S180" i="1"/>
  <c r="Y180" i="1" s="1"/>
  <c r="T180" i="1"/>
  <c r="Z180" i="1" s="1"/>
  <c r="O80" i="8"/>
  <c r="T179" i="1"/>
  <c r="Z179" i="1" s="1"/>
  <c r="O78" i="8"/>
  <c r="S179" i="1"/>
  <c r="Y179" i="1" s="1"/>
  <c r="T343" i="1"/>
  <c r="Z343" i="1" s="1"/>
  <c r="S343" i="1"/>
  <c r="Y343" i="1" s="1"/>
  <c r="O141" i="8"/>
  <c r="S380" i="1"/>
  <c r="Y380" i="1" s="1"/>
  <c r="T380" i="1"/>
  <c r="Z380" i="1" s="1"/>
  <c r="S148" i="1"/>
  <c r="Y148" i="1" s="1"/>
  <c r="T148" i="1"/>
  <c r="Z148" i="1" s="1"/>
  <c r="S362" i="1"/>
  <c r="Y362" i="1" s="1"/>
  <c r="T362" i="1"/>
  <c r="Z362" i="1" s="1"/>
  <c r="T202" i="1"/>
  <c r="Z202" i="1" s="1"/>
  <c r="S202" i="1"/>
  <c r="Y202" i="1" s="1"/>
  <c r="T162" i="1"/>
  <c r="Z162" i="1" s="1"/>
  <c r="S162" i="1"/>
  <c r="Y162" i="1" s="1"/>
  <c r="S114" i="1"/>
  <c r="Y114" i="1" s="1"/>
  <c r="T114" i="1"/>
  <c r="Z114" i="1" s="1"/>
  <c r="S66" i="1"/>
  <c r="Y66" i="1" s="1"/>
  <c r="T66" i="1"/>
  <c r="Z66" i="1" s="1"/>
  <c r="S98" i="1"/>
  <c r="Y98" i="1" s="1"/>
  <c r="O40" i="8"/>
  <c r="T98" i="1"/>
  <c r="Z98" i="1" s="1"/>
  <c r="E130" i="8"/>
  <c r="F73" i="8"/>
  <c r="F62" i="8"/>
  <c r="F82" i="8"/>
  <c r="E106" i="8"/>
  <c r="F57" i="8"/>
  <c r="E127" i="8"/>
  <c r="F98" i="8"/>
  <c r="F143" i="8"/>
  <c r="E58" i="8"/>
  <c r="E145" i="8"/>
  <c r="F109" i="8"/>
  <c r="E126" i="8"/>
  <c r="E32" i="8"/>
  <c r="E100" i="8"/>
  <c r="F72" i="8"/>
  <c r="E133" i="8"/>
  <c r="E78" i="8"/>
  <c r="E132" i="8"/>
  <c r="E116" i="8"/>
  <c r="F130" i="8"/>
  <c r="F107" i="8"/>
  <c r="E36" i="8"/>
  <c r="E114" i="8"/>
  <c r="E82" i="8"/>
  <c r="E129" i="8"/>
  <c r="E139" i="8"/>
  <c r="E92" i="8"/>
  <c r="E143" i="8"/>
  <c r="F102" i="8"/>
  <c r="E70" i="8"/>
  <c r="F122" i="8"/>
  <c r="E123" i="8"/>
  <c r="F80" i="8"/>
  <c r="E120" i="8"/>
  <c r="E134" i="8"/>
  <c r="E121" i="8"/>
  <c r="E117" i="8"/>
  <c r="F140" i="8"/>
  <c r="F114" i="8"/>
  <c r="E118" i="8"/>
  <c r="F139" i="8"/>
  <c r="F92" i="8"/>
  <c r="E102" i="8"/>
  <c r="F100" i="8"/>
  <c r="E72" i="8"/>
  <c r="F133" i="8"/>
  <c r="F145" i="8"/>
  <c r="F110" i="8"/>
  <c r="E63" i="8"/>
  <c r="E64" i="8"/>
  <c r="E40" i="8"/>
  <c r="F131" i="8"/>
  <c r="E80" i="8"/>
  <c r="F64" i="8"/>
  <c r="F124" i="8"/>
  <c r="F120" i="8"/>
  <c r="F134" i="8"/>
  <c r="F121" i="8"/>
  <c r="F116" i="8"/>
  <c r="E137" i="8"/>
  <c r="F117" i="8"/>
  <c r="E54" i="8"/>
  <c r="E147" i="8"/>
  <c r="F36" i="8"/>
  <c r="F146" i="8"/>
  <c r="F129" i="8"/>
  <c r="F101" i="8"/>
  <c r="E65" i="8"/>
  <c r="F40" i="8"/>
  <c r="F144" i="8"/>
  <c r="F54" i="8"/>
  <c r="E140" i="8"/>
  <c r="F147" i="8"/>
  <c r="E112" i="8"/>
  <c r="F118" i="8"/>
  <c r="E146" i="8"/>
  <c r="E138" i="8"/>
  <c r="E103" i="8"/>
  <c r="F137" i="8"/>
  <c r="F81" i="8"/>
  <c r="F112" i="8"/>
  <c r="F20" i="8"/>
  <c r="F87" i="8"/>
  <c r="E101" i="8"/>
  <c r="F142" i="8"/>
  <c r="F135" i="8"/>
  <c r="E113" i="8"/>
  <c r="E141" i="8"/>
  <c r="F103" i="8"/>
  <c r="E128" i="8"/>
  <c r="E144" i="8"/>
  <c r="E108" i="8"/>
  <c r="F104" i="8"/>
  <c r="E87" i="8"/>
  <c r="E57" i="8"/>
  <c r="F127" i="8"/>
  <c r="E142" i="8"/>
  <c r="F138" i="8"/>
  <c r="E135" i="8"/>
  <c r="E125" i="8"/>
  <c r="E136" i="8"/>
  <c r="E96" i="8"/>
  <c r="F113" i="8"/>
  <c r="F123" i="8"/>
  <c r="F141" i="8"/>
  <c r="F63" i="8"/>
  <c r="E131" i="8"/>
  <c r="F132" i="8"/>
  <c r="E110" i="8"/>
  <c r="F119" i="8"/>
  <c r="E122" i="8"/>
  <c r="F128" i="8"/>
  <c r="E107" i="8"/>
  <c r="E73" i="8"/>
  <c r="E62" i="8"/>
  <c r="E81" i="8"/>
  <c r="F108" i="8"/>
  <c r="E104" i="8"/>
  <c r="E20" i="8"/>
  <c r="F106" i="8"/>
  <c r="E98" i="8"/>
  <c r="F32" i="8"/>
  <c r="F125" i="8"/>
  <c r="F58" i="8"/>
  <c r="E124" i="8"/>
  <c r="F136" i="8"/>
  <c r="E119" i="8"/>
  <c r="F96" i="8"/>
  <c r="E109" i="8"/>
  <c r="F70" i="8"/>
  <c r="F126" i="8"/>
  <c r="F78" i="8"/>
  <c r="F65" i="8"/>
  <c r="P109" i="8" l="1"/>
  <c r="P119" i="8"/>
  <c r="P124" i="8"/>
  <c r="P98" i="8"/>
  <c r="P20" i="8"/>
  <c r="P104" i="8"/>
  <c r="P81" i="8"/>
  <c r="P62" i="8"/>
  <c r="P73" i="8"/>
  <c r="P107" i="8"/>
  <c r="P122" i="8"/>
  <c r="P110" i="8"/>
  <c r="P131" i="8"/>
  <c r="P96" i="8"/>
  <c r="P136" i="8"/>
  <c r="P125" i="8"/>
  <c r="P135" i="8"/>
  <c r="P142" i="8"/>
  <c r="P57" i="8"/>
  <c r="P87" i="8"/>
  <c r="P108" i="8"/>
  <c r="P144" i="8"/>
  <c r="P128" i="8"/>
  <c r="P141" i="8"/>
  <c r="P113" i="8"/>
  <c r="P101" i="8"/>
  <c r="P103" i="8"/>
  <c r="P138" i="8"/>
  <c r="P146" i="8"/>
  <c r="P112" i="8"/>
  <c r="P140" i="8"/>
  <c r="P65" i="8"/>
  <c r="P147" i="8"/>
  <c r="P54" i="8"/>
  <c r="P137" i="8"/>
  <c r="P80" i="8"/>
  <c r="P40" i="8"/>
  <c r="P64" i="8"/>
  <c r="P63" i="8"/>
  <c r="P72" i="8"/>
  <c r="P102" i="8"/>
  <c r="P118" i="8"/>
  <c r="P117" i="8"/>
  <c r="P121" i="8"/>
  <c r="P134" i="8"/>
  <c r="P120" i="8"/>
  <c r="P123" i="8"/>
  <c r="P70" i="8"/>
  <c r="P143" i="8"/>
  <c r="P92" i="8"/>
  <c r="P139" i="8"/>
  <c r="P129" i="8"/>
  <c r="P82" i="8"/>
  <c r="P114" i="8"/>
  <c r="P36" i="8"/>
  <c r="P116" i="8"/>
  <c r="P132" i="8"/>
  <c r="P78" i="8"/>
  <c r="P133" i="8"/>
  <c r="P100" i="8"/>
  <c r="P32" i="8"/>
  <c r="P126" i="8"/>
  <c r="P145" i="8"/>
  <c r="P58" i="8"/>
  <c r="P127" i="8"/>
  <c r="P106" i="8"/>
  <c r="P130" i="8"/>
  <c r="R141" i="8"/>
  <c r="R80" i="8"/>
  <c r="R126" i="8"/>
  <c r="R122" i="8"/>
  <c r="R109" i="8"/>
  <c r="R119" i="8"/>
  <c r="R124" i="8"/>
  <c r="R58" i="8"/>
  <c r="R106" i="8"/>
  <c r="R20" i="8"/>
  <c r="R81" i="8"/>
  <c r="R96" i="8"/>
  <c r="R146" i="8"/>
  <c r="R144" i="8"/>
  <c r="R128" i="8"/>
  <c r="R131" i="8"/>
  <c r="R117" i="8"/>
  <c r="R137" i="8"/>
  <c r="R121" i="8"/>
  <c r="R134" i="8"/>
  <c r="R118" i="8"/>
  <c r="R112" i="8"/>
  <c r="R140" i="8"/>
  <c r="R136" i="8"/>
  <c r="R132" i="8"/>
  <c r="R147" i="8"/>
  <c r="R130" i="8"/>
  <c r="R116" i="8"/>
  <c r="R40" i="8"/>
  <c r="R64" i="8"/>
  <c r="R63" i="8"/>
  <c r="R72" i="8"/>
  <c r="R129" i="8"/>
  <c r="R82" i="8"/>
  <c r="R36" i="8"/>
  <c r="R54" i="8"/>
  <c r="R145" i="8"/>
  <c r="R98" i="8"/>
  <c r="R62" i="8"/>
  <c r="R73" i="8"/>
  <c r="R120" i="8"/>
  <c r="R110" i="8"/>
  <c r="R65" i="8"/>
  <c r="R78" i="8"/>
  <c r="R70" i="8"/>
  <c r="R125" i="8"/>
  <c r="R100" i="8"/>
  <c r="R32" i="8"/>
  <c r="R102" i="8"/>
  <c r="R92" i="8"/>
  <c r="R104" i="8"/>
  <c r="R114" i="8"/>
  <c r="R108" i="8"/>
  <c r="R107" i="8"/>
  <c r="R138" i="8"/>
  <c r="R101" i="8"/>
  <c r="R139" i="8"/>
  <c r="R143" i="8"/>
  <c r="R133" i="8"/>
  <c r="R123" i="8"/>
  <c r="R113" i="8"/>
  <c r="R135" i="8"/>
  <c r="R142" i="8"/>
  <c r="R127" i="8"/>
  <c r="R57" i="8"/>
  <c r="R87" i="8"/>
  <c r="R103" i="8"/>
  <c r="L141" i="8"/>
  <c r="O380" i="1"/>
  <c r="O277" i="1"/>
  <c r="L70" i="8"/>
  <c r="O175" i="1"/>
  <c r="O282" i="1"/>
  <c r="O191" i="1"/>
  <c r="O366" i="1"/>
  <c r="O65" i="1"/>
  <c r="O158" i="1"/>
  <c r="L125" i="8"/>
  <c r="O370" i="1"/>
  <c r="O213" i="1"/>
  <c r="L102" i="8"/>
  <c r="O293" i="1"/>
  <c r="O120" i="1"/>
  <c r="O258" i="1"/>
  <c r="O247" i="1"/>
  <c r="O312" i="1"/>
  <c r="O254" i="1"/>
  <c r="O331" i="1"/>
  <c r="L147" i="8"/>
  <c r="O386" i="1"/>
  <c r="O327" i="1"/>
  <c r="O383" i="1"/>
  <c r="L144" i="8"/>
  <c r="L130" i="8"/>
  <c r="O307" i="1"/>
  <c r="O237" i="1"/>
  <c r="L103" i="8"/>
  <c r="O98" i="1"/>
  <c r="L40" i="8"/>
  <c r="O343" i="1"/>
  <c r="O281" i="1"/>
  <c r="L122" i="8"/>
  <c r="O303" i="1"/>
  <c r="O88" i="1"/>
  <c r="L119" i="8"/>
  <c r="O367" i="1"/>
  <c r="O345" i="1"/>
  <c r="O361" i="1"/>
  <c r="O207" i="1"/>
  <c r="L64" i="8"/>
  <c r="O172" i="1"/>
  <c r="O253" i="1"/>
  <c r="L142" i="8"/>
  <c r="O381" i="1"/>
  <c r="O288" i="1"/>
  <c r="L139" i="8"/>
  <c r="O378" i="1"/>
  <c r="L57" i="8"/>
  <c r="O132" i="1"/>
  <c r="O24" i="1"/>
  <c r="L104" i="8"/>
  <c r="O294" i="1"/>
  <c r="O364" i="1"/>
  <c r="L62" i="8"/>
  <c r="O171" i="1"/>
  <c r="O269" i="1"/>
  <c r="O51" i="1"/>
  <c r="O339" i="1"/>
  <c r="L134" i="8"/>
  <c r="O309" i="1"/>
  <c r="O66" i="1"/>
  <c r="O179" i="1"/>
  <c r="L78" i="8"/>
  <c r="O46" i="1"/>
  <c r="O161" i="1"/>
  <c r="O240" i="1"/>
  <c r="L109" i="8"/>
  <c r="O208" i="1"/>
  <c r="O55" i="1"/>
  <c r="O340" i="1"/>
  <c r="O217" i="1"/>
  <c r="O292" i="1"/>
  <c r="L100" i="8"/>
  <c r="O325" i="1"/>
  <c r="O246" i="1"/>
  <c r="O195" i="1"/>
  <c r="O76" i="1"/>
  <c r="O252" i="1"/>
  <c r="O10" i="1"/>
  <c r="L112" i="8"/>
  <c r="O298" i="1"/>
  <c r="L36" i="8"/>
  <c r="O96" i="1"/>
  <c r="O267" i="1"/>
  <c r="O70" i="1"/>
  <c r="O274" i="1"/>
  <c r="O336" i="1"/>
  <c r="O358" i="1"/>
  <c r="O114" i="1"/>
  <c r="O180" i="1"/>
  <c r="L80" i="8"/>
  <c r="O87" i="1"/>
  <c r="O144" i="1"/>
  <c r="O83" i="1"/>
  <c r="L145" i="8"/>
  <c r="O384" i="1"/>
  <c r="O271" i="1"/>
  <c r="O64" i="1"/>
  <c r="O176" i="1"/>
  <c r="L72" i="8"/>
  <c r="O375" i="1"/>
  <c r="L135" i="8"/>
  <c r="L138" i="8"/>
  <c r="O377" i="1"/>
  <c r="L143" i="8"/>
  <c r="O382" i="1"/>
  <c r="L98" i="8"/>
  <c r="O291" i="1"/>
  <c r="O316" i="1"/>
  <c r="L129" i="8"/>
  <c r="O372" i="1"/>
  <c r="L87" i="8"/>
  <c r="O229" i="1"/>
  <c r="O220" i="1"/>
  <c r="L108" i="8"/>
  <c r="O296" i="1"/>
  <c r="O379" i="1"/>
  <c r="L140" i="8"/>
  <c r="O166" i="1"/>
  <c r="L128" i="8"/>
  <c r="O306" i="1"/>
  <c r="O300" i="1"/>
  <c r="L116" i="8"/>
  <c r="O222" i="1"/>
  <c r="O162" i="1"/>
  <c r="O359" i="1"/>
  <c r="O135" i="1"/>
  <c r="L63" i="8"/>
  <c r="L123" i="8"/>
  <c r="O369" i="1"/>
  <c r="O283" i="1"/>
  <c r="O192" i="1"/>
  <c r="L65" i="8"/>
  <c r="O136" i="1"/>
  <c r="O248" i="1"/>
  <c r="O26" i="1"/>
  <c r="O147" i="1"/>
  <c r="O54" i="1"/>
  <c r="O71" i="1"/>
  <c r="O323" i="1"/>
  <c r="O16" i="1"/>
  <c r="L106" i="8"/>
  <c r="O295" i="1"/>
  <c r="L118" i="8"/>
  <c r="O301" i="1"/>
  <c r="O160" i="1"/>
  <c r="O320" i="1"/>
  <c r="O140" i="1"/>
  <c r="L73" i="8"/>
  <c r="O334" i="1"/>
  <c r="O244" i="1"/>
  <c r="L117" i="8"/>
  <c r="O167" i="1"/>
  <c r="O262" i="1"/>
  <c r="O202" i="1"/>
  <c r="O313" i="1"/>
  <c r="O305" i="1"/>
  <c r="L126" i="8"/>
  <c r="O297" i="1"/>
  <c r="L110" i="8"/>
  <c r="O315" i="1"/>
  <c r="O373" i="1"/>
  <c r="L131" i="8"/>
  <c r="O121" i="1"/>
  <c r="L58" i="8"/>
  <c r="O169" i="1"/>
  <c r="O74" i="1"/>
  <c r="O348" i="1"/>
  <c r="O94" i="1"/>
  <c r="L32" i="8"/>
  <c r="O119" i="1"/>
  <c r="O112" i="1"/>
  <c r="O321" i="1"/>
  <c r="O385" i="1"/>
  <c r="L146" i="8"/>
  <c r="O344" i="1"/>
  <c r="O328" i="1"/>
  <c r="O154" i="1"/>
  <c r="O260" i="1"/>
  <c r="O40" i="1"/>
  <c r="O56" i="1"/>
  <c r="O152" i="1"/>
  <c r="L120" i="8"/>
  <c r="O302" i="1"/>
  <c r="O362" i="1"/>
  <c r="O109" i="1"/>
  <c r="O72" i="1"/>
  <c r="O261" i="1"/>
  <c r="O188" i="1"/>
  <c r="L96" i="8"/>
  <c r="O374" i="1"/>
  <c r="L133" i="8"/>
  <c r="L124" i="8"/>
  <c r="O304" i="1"/>
  <c r="O113" i="1"/>
  <c r="O210" i="1"/>
  <c r="O337" i="1"/>
  <c r="O150" i="1"/>
  <c r="O351" i="1"/>
  <c r="L92" i="8"/>
  <c r="O186" i="1"/>
  <c r="L127" i="8"/>
  <c r="O371" i="1"/>
  <c r="L82" i="8"/>
  <c r="O181" i="1"/>
  <c r="L20" i="8"/>
  <c r="O30" i="1"/>
  <c r="O203" i="1"/>
  <c r="O194" i="1"/>
  <c r="O329" i="1"/>
  <c r="L54" i="8"/>
  <c r="O105" i="1"/>
  <c r="O200" i="1"/>
  <c r="L121" i="8"/>
  <c r="O368" i="1"/>
  <c r="O47" i="1"/>
  <c r="O148" i="1"/>
  <c r="O205" i="1"/>
  <c r="O63" i="1"/>
  <c r="L113" i="8"/>
  <c r="O242" i="1"/>
  <c r="O308" i="1"/>
  <c r="L132" i="8"/>
  <c r="L136" i="8"/>
  <c r="O310" i="1"/>
  <c r="O273" i="1"/>
  <c r="O62" i="1"/>
  <c r="O322" i="1"/>
  <c r="O117" i="1"/>
  <c r="O278" i="1"/>
  <c r="O290" i="1"/>
  <c r="O218" i="1"/>
  <c r="L101" i="8"/>
  <c r="O236" i="1"/>
  <c r="O326" i="1"/>
  <c r="O214" i="1"/>
  <c r="L114" i="8"/>
  <c r="O299" i="1"/>
  <c r="O226" i="1"/>
  <c r="L81" i="8"/>
  <c r="O156" i="1"/>
  <c r="L107" i="8"/>
  <c r="O239" i="1"/>
  <c r="L137" i="8"/>
  <c r="O376" i="1"/>
  <c r="O149" i="1"/>
  <c r="T110" i="1"/>
  <c r="Z110" i="1" s="1"/>
  <c r="S110" i="1"/>
  <c r="Y110" i="1" s="1"/>
  <c r="P308" i="1" l="1"/>
  <c r="Q308" i="1"/>
  <c r="W308" i="1" s="1"/>
  <c r="Q385" i="1"/>
  <c r="W385" i="1" s="1"/>
  <c r="P385" i="1"/>
  <c r="Q384" i="1"/>
  <c r="W384" i="1" s="1"/>
  <c r="P384" i="1"/>
  <c r="P274" i="1"/>
  <c r="Q274" i="1"/>
  <c r="W274" i="1" s="1"/>
  <c r="Q76" i="1"/>
  <c r="W76" i="1" s="1"/>
  <c r="P76" i="1"/>
  <c r="Q46" i="1"/>
  <c r="W46" i="1" s="1"/>
  <c r="P46" i="1"/>
  <c r="Q51" i="1"/>
  <c r="W51" i="1" s="1"/>
  <c r="P51" i="1"/>
  <c r="Q361" i="1"/>
  <c r="W361" i="1" s="1"/>
  <c r="P361" i="1"/>
  <c r="P307" i="1"/>
  <c r="Q307" i="1"/>
  <c r="W307" i="1" s="1"/>
  <c r="P386" i="1"/>
  <c r="Q386" i="1"/>
  <c r="W386" i="1" s="1"/>
  <c r="Q214" i="1"/>
  <c r="W214" i="1" s="1"/>
  <c r="P214" i="1"/>
  <c r="Q218" i="1"/>
  <c r="W218" i="1" s="1"/>
  <c r="P218" i="1"/>
  <c r="P322" i="1"/>
  <c r="Q322" i="1"/>
  <c r="W322" i="1" s="1"/>
  <c r="P200" i="1"/>
  <c r="Q200" i="1"/>
  <c r="W200" i="1" s="1"/>
  <c r="P362" i="1"/>
  <c r="Q362" i="1"/>
  <c r="W362" i="1" s="1"/>
  <c r="Q283" i="1"/>
  <c r="W283" i="1" s="1"/>
  <c r="P283" i="1"/>
  <c r="Q359" i="1"/>
  <c r="W359" i="1" s="1"/>
  <c r="P359" i="1"/>
  <c r="P149" i="1"/>
  <c r="Q149" i="1"/>
  <c r="W149" i="1" s="1"/>
  <c r="Q156" i="1"/>
  <c r="W156" i="1" s="1"/>
  <c r="P156" i="1"/>
  <c r="Q205" i="1"/>
  <c r="W205" i="1" s="1"/>
  <c r="P205" i="1"/>
  <c r="Q203" i="1"/>
  <c r="W203" i="1" s="1"/>
  <c r="P203" i="1"/>
  <c r="Q371" i="1"/>
  <c r="W371" i="1" s="1"/>
  <c r="P371" i="1"/>
  <c r="Q150" i="1"/>
  <c r="W150" i="1" s="1"/>
  <c r="P150" i="1"/>
  <c r="Q304" i="1"/>
  <c r="W304" i="1" s="1"/>
  <c r="P304" i="1"/>
  <c r="Q188" i="1"/>
  <c r="W188" i="1" s="1"/>
  <c r="P188" i="1"/>
  <c r="Q152" i="1"/>
  <c r="W152" i="1" s="1"/>
  <c r="P152" i="1"/>
  <c r="P154" i="1"/>
  <c r="Q154" i="1"/>
  <c r="W154" i="1" s="1"/>
  <c r="P94" i="1"/>
  <c r="Q94" i="1"/>
  <c r="W94" i="1" s="1"/>
  <c r="Q202" i="1"/>
  <c r="W202" i="1" s="1"/>
  <c r="P202" i="1"/>
  <c r="Q167" i="1"/>
  <c r="W167" i="1" s="1"/>
  <c r="P167" i="1"/>
  <c r="P71" i="1"/>
  <c r="Q71" i="1"/>
  <c r="W71" i="1" s="1"/>
  <c r="Q248" i="1"/>
  <c r="W248" i="1" s="1"/>
  <c r="P248" i="1"/>
  <c r="Q176" i="1"/>
  <c r="W176" i="1" s="1"/>
  <c r="P176" i="1"/>
  <c r="Q298" i="1"/>
  <c r="W298" i="1" s="1"/>
  <c r="P298" i="1"/>
  <c r="P294" i="1"/>
  <c r="Q294" i="1"/>
  <c r="W294" i="1" s="1"/>
  <c r="P378" i="1"/>
  <c r="Q378" i="1"/>
  <c r="W378" i="1" s="1"/>
  <c r="Q253" i="1"/>
  <c r="W253" i="1" s="1"/>
  <c r="P253" i="1"/>
  <c r="Q303" i="1"/>
  <c r="W303" i="1" s="1"/>
  <c r="P303" i="1"/>
  <c r="Q98" i="1"/>
  <c r="W98" i="1" s="1"/>
  <c r="P98" i="1"/>
  <c r="Q247" i="1"/>
  <c r="W247" i="1" s="1"/>
  <c r="P247" i="1"/>
  <c r="P65" i="1"/>
  <c r="Q65" i="1"/>
  <c r="W65" i="1" s="1"/>
  <c r="P175" i="1"/>
  <c r="Q175" i="1"/>
  <c r="W175" i="1" s="1"/>
  <c r="Q290" i="1"/>
  <c r="W290" i="1" s="1"/>
  <c r="P290" i="1"/>
  <c r="Q105" i="1"/>
  <c r="W105" i="1" s="1"/>
  <c r="P105" i="1"/>
  <c r="Q140" i="1"/>
  <c r="W140" i="1" s="1"/>
  <c r="P140" i="1"/>
  <c r="P295" i="1"/>
  <c r="Q295" i="1"/>
  <c r="W295" i="1" s="1"/>
  <c r="Q369" i="1"/>
  <c r="W369" i="1" s="1"/>
  <c r="P369" i="1"/>
  <c r="P162" i="1"/>
  <c r="Q162" i="1"/>
  <c r="W162" i="1" s="1"/>
  <c r="Q222" i="1"/>
  <c r="W222" i="1" s="1"/>
  <c r="P222" i="1"/>
  <c r="Q166" i="1"/>
  <c r="W166" i="1" s="1"/>
  <c r="P166" i="1"/>
  <c r="P316" i="1"/>
  <c r="Q316" i="1"/>
  <c r="W316" i="1" s="1"/>
  <c r="Q377" i="1"/>
  <c r="W377" i="1" s="1"/>
  <c r="P377" i="1"/>
  <c r="Q83" i="1"/>
  <c r="W83" i="1" s="1"/>
  <c r="P83" i="1"/>
  <c r="Q180" i="1"/>
  <c r="W180" i="1" s="1"/>
  <c r="P180" i="1"/>
  <c r="Q70" i="1"/>
  <c r="W70" i="1" s="1"/>
  <c r="P70" i="1"/>
  <c r="Q195" i="1"/>
  <c r="W195" i="1" s="1"/>
  <c r="P195" i="1"/>
  <c r="Q292" i="1"/>
  <c r="W292" i="1" s="1"/>
  <c r="P292" i="1"/>
  <c r="Q208" i="1"/>
  <c r="W208" i="1" s="1"/>
  <c r="P208" i="1"/>
  <c r="P269" i="1"/>
  <c r="Q269" i="1"/>
  <c r="W269" i="1" s="1"/>
  <c r="P345" i="1"/>
  <c r="Q345" i="1"/>
  <c r="W345" i="1" s="1"/>
  <c r="Q213" i="1"/>
  <c r="W213" i="1" s="1"/>
  <c r="P213" i="1"/>
  <c r="Q30" i="1"/>
  <c r="W30" i="1" s="1"/>
  <c r="P30" i="1"/>
  <c r="Q136" i="1"/>
  <c r="W136" i="1" s="1"/>
  <c r="P136" i="1"/>
  <c r="P220" i="1"/>
  <c r="Q220" i="1"/>
  <c r="W220" i="1" s="1"/>
  <c r="Q114" i="1"/>
  <c r="W114" i="1" s="1"/>
  <c r="P114" i="1"/>
  <c r="Q217" i="1"/>
  <c r="W217" i="1" s="1"/>
  <c r="P217" i="1"/>
  <c r="P309" i="1"/>
  <c r="Q309" i="1"/>
  <c r="W309" i="1" s="1"/>
  <c r="Q172" i="1"/>
  <c r="W172" i="1" s="1"/>
  <c r="P172" i="1"/>
  <c r="P331" i="1"/>
  <c r="Q331" i="1"/>
  <c r="W331" i="1" s="1"/>
  <c r="Q258" i="1"/>
  <c r="W258" i="1" s="1"/>
  <c r="P258" i="1"/>
  <c r="Q366" i="1"/>
  <c r="W366" i="1" s="1"/>
  <c r="P366" i="1"/>
  <c r="O110" i="1"/>
  <c r="Q261" i="1"/>
  <c r="W261" i="1" s="1"/>
  <c r="P261" i="1"/>
  <c r="Q54" i="1"/>
  <c r="W54" i="1" s="1"/>
  <c r="P54" i="1"/>
  <c r="Q229" i="1"/>
  <c r="W229" i="1" s="1"/>
  <c r="P229" i="1"/>
  <c r="P291" i="1"/>
  <c r="Q291" i="1"/>
  <c r="W291" i="1" s="1"/>
  <c r="Q64" i="1"/>
  <c r="W64" i="1" s="1"/>
  <c r="P64" i="1"/>
  <c r="Q144" i="1"/>
  <c r="W144" i="1" s="1"/>
  <c r="P144" i="1"/>
  <c r="P358" i="1"/>
  <c r="Q358" i="1"/>
  <c r="W358" i="1" s="1"/>
  <c r="Q267" i="1"/>
  <c r="W267" i="1" s="1"/>
  <c r="P267" i="1"/>
  <c r="Q10" i="1"/>
  <c r="W10" i="1" s="1"/>
  <c r="P10" i="1"/>
  <c r="Q240" i="1"/>
  <c r="W240" i="1" s="1"/>
  <c r="P240" i="1"/>
  <c r="Q179" i="1"/>
  <c r="W179" i="1" s="1"/>
  <c r="P179" i="1"/>
  <c r="P171" i="1"/>
  <c r="Q171" i="1"/>
  <c r="W171" i="1" s="1"/>
  <c r="P24" i="1"/>
  <c r="Q24" i="1"/>
  <c r="W24" i="1" s="1"/>
  <c r="P288" i="1"/>
  <c r="Q288" i="1"/>
  <c r="W288" i="1" s="1"/>
  <c r="P367" i="1"/>
  <c r="Q367" i="1"/>
  <c r="W367" i="1" s="1"/>
  <c r="Q281" i="1"/>
  <c r="W281" i="1" s="1"/>
  <c r="P281" i="1"/>
  <c r="Q383" i="1"/>
  <c r="W383" i="1" s="1"/>
  <c r="P383" i="1"/>
  <c r="Q370" i="1"/>
  <c r="W370" i="1" s="1"/>
  <c r="P370" i="1"/>
  <c r="Q277" i="1"/>
  <c r="W277" i="1" s="1"/>
  <c r="P277" i="1"/>
  <c r="Q321" i="1"/>
  <c r="W321" i="1" s="1"/>
  <c r="P321" i="1"/>
  <c r="Q376" i="1"/>
  <c r="W376" i="1" s="1"/>
  <c r="P376" i="1"/>
  <c r="Q62" i="1"/>
  <c r="W62" i="1" s="1"/>
  <c r="P62" i="1"/>
  <c r="Q337" i="1"/>
  <c r="W337" i="1" s="1"/>
  <c r="P337" i="1"/>
  <c r="Q56" i="1"/>
  <c r="W56" i="1" s="1"/>
  <c r="P56" i="1"/>
  <c r="P348" i="1"/>
  <c r="Q348" i="1"/>
  <c r="W348" i="1" s="1"/>
  <c r="P121" i="1"/>
  <c r="Q121" i="1"/>
  <c r="W121" i="1" s="1"/>
  <c r="P297" i="1"/>
  <c r="Q297" i="1"/>
  <c r="W297" i="1" s="1"/>
  <c r="Q320" i="1"/>
  <c r="W320" i="1" s="1"/>
  <c r="P320" i="1"/>
  <c r="Q326" i="1"/>
  <c r="W326" i="1" s="1"/>
  <c r="P326" i="1"/>
  <c r="P273" i="1"/>
  <c r="Q273" i="1"/>
  <c r="W273" i="1" s="1"/>
  <c r="P72" i="1"/>
  <c r="Q72" i="1"/>
  <c r="W72" i="1" s="1"/>
  <c r="Q112" i="1"/>
  <c r="W112" i="1" s="1"/>
  <c r="P112" i="1"/>
  <c r="Q236" i="1"/>
  <c r="W236" i="1" s="1"/>
  <c r="P236" i="1"/>
  <c r="Q40" i="1"/>
  <c r="W40" i="1" s="1"/>
  <c r="P40" i="1"/>
  <c r="Q344" i="1"/>
  <c r="W344" i="1" s="1"/>
  <c r="P344" i="1"/>
  <c r="Q74" i="1"/>
  <c r="W74" i="1" s="1"/>
  <c r="P74" i="1"/>
  <c r="Q373" i="1"/>
  <c r="W373" i="1" s="1"/>
  <c r="P373" i="1"/>
  <c r="Q160" i="1"/>
  <c r="W160" i="1" s="1"/>
  <c r="P160" i="1"/>
  <c r="Q16" i="1"/>
  <c r="W16" i="1" s="1"/>
  <c r="P16" i="1"/>
  <c r="Q147" i="1"/>
  <c r="W147" i="1" s="1"/>
  <c r="P147" i="1"/>
  <c r="Q379" i="1"/>
  <c r="W379" i="1" s="1"/>
  <c r="P379" i="1"/>
  <c r="Q271" i="1"/>
  <c r="W271" i="1" s="1"/>
  <c r="P271" i="1"/>
  <c r="P246" i="1"/>
  <c r="Q246" i="1"/>
  <c r="W246" i="1" s="1"/>
  <c r="P340" i="1"/>
  <c r="Q340" i="1"/>
  <c r="W340" i="1" s="1"/>
  <c r="P66" i="1"/>
  <c r="Q66" i="1"/>
  <c r="W66" i="1" s="1"/>
  <c r="P254" i="1"/>
  <c r="Q254" i="1"/>
  <c r="W254" i="1" s="1"/>
  <c r="Q120" i="1"/>
  <c r="W120" i="1" s="1"/>
  <c r="P120" i="1"/>
  <c r="Q191" i="1"/>
  <c r="W191" i="1" s="1"/>
  <c r="P191" i="1"/>
  <c r="P310" i="1"/>
  <c r="Q310" i="1"/>
  <c r="W310" i="1" s="1"/>
  <c r="P181" i="1"/>
  <c r="Q181" i="1"/>
  <c r="W181" i="1" s="1"/>
  <c r="P192" i="1"/>
  <c r="Q192" i="1"/>
  <c r="W192" i="1" s="1"/>
  <c r="P300" i="1"/>
  <c r="Q300" i="1"/>
  <c r="W300" i="1" s="1"/>
  <c r="Q375" i="1"/>
  <c r="W375" i="1" s="1"/>
  <c r="P375" i="1"/>
  <c r="Q87" i="1"/>
  <c r="W87" i="1" s="1"/>
  <c r="P87" i="1"/>
  <c r="Q336" i="1"/>
  <c r="W336" i="1" s="1"/>
  <c r="P336" i="1"/>
  <c r="P252" i="1"/>
  <c r="Q252" i="1"/>
  <c r="W252" i="1" s="1"/>
  <c r="Q325" i="1"/>
  <c r="W325" i="1" s="1"/>
  <c r="P325" i="1"/>
  <c r="Q339" i="1"/>
  <c r="W339" i="1" s="1"/>
  <c r="P339" i="1"/>
  <c r="P207" i="1"/>
  <c r="Q207" i="1"/>
  <c r="W207" i="1" s="1"/>
  <c r="Q343" i="1"/>
  <c r="W343" i="1" s="1"/>
  <c r="P343" i="1"/>
  <c r="Q380" i="1"/>
  <c r="W380" i="1" s="1"/>
  <c r="P380" i="1"/>
  <c r="Q148" i="1"/>
  <c r="W148" i="1" s="1"/>
  <c r="P148" i="1"/>
  <c r="P47" i="1"/>
  <c r="Q47" i="1"/>
  <c r="W47" i="1" s="1"/>
  <c r="Q226" i="1"/>
  <c r="W226" i="1" s="1"/>
  <c r="P226" i="1"/>
  <c r="Q278" i="1"/>
  <c r="W278" i="1" s="1"/>
  <c r="P278" i="1"/>
  <c r="Q242" i="1"/>
  <c r="W242" i="1" s="1"/>
  <c r="P242" i="1"/>
  <c r="Q328" i="1"/>
  <c r="W328" i="1" s="1"/>
  <c r="P328" i="1"/>
  <c r="P244" i="1"/>
  <c r="Q244" i="1"/>
  <c r="W244" i="1" s="1"/>
  <c r="Q368" i="1"/>
  <c r="W368" i="1" s="1"/>
  <c r="P368" i="1"/>
  <c r="Q329" i="1"/>
  <c r="W329" i="1" s="1"/>
  <c r="P329" i="1"/>
  <c r="P186" i="1"/>
  <c r="Q186" i="1"/>
  <c r="W186" i="1" s="1"/>
  <c r="P210" i="1"/>
  <c r="Q210" i="1"/>
  <c r="W210" i="1" s="1"/>
  <c r="Q239" i="1"/>
  <c r="W239" i="1" s="1"/>
  <c r="P239" i="1"/>
  <c r="Q299" i="1"/>
  <c r="W299" i="1" s="1"/>
  <c r="P299" i="1"/>
  <c r="P374" i="1"/>
  <c r="Q374" i="1"/>
  <c r="W374" i="1" s="1"/>
  <c r="P305" i="1"/>
  <c r="Q305" i="1"/>
  <c r="W305" i="1" s="1"/>
  <c r="P334" i="1"/>
  <c r="Q334" i="1"/>
  <c r="W334" i="1" s="1"/>
  <c r="P117" i="1"/>
  <c r="Q117" i="1"/>
  <c r="W117" i="1" s="1"/>
  <c r="P63" i="1"/>
  <c r="Q63" i="1"/>
  <c r="W63" i="1" s="1"/>
  <c r="Q194" i="1"/>
  <c r="W194" i="1" s="1"/>
  <c r="P194" i="1"/>
  <c r="P351" i="1"/>
  <c r="Q351" i="1"/>
  <c r="W351" i="1" s="1"/>
  <c r="Q113" i="1"/>
  <c r="W113" i="1" s="1"/>
  <c r="P113" i="1"/>
  <c r="Q109" i="1"/>
  <c r="W109" i="1" s="1"/>
  <c r="P109" i="1"/>
  <c r="Q302" i="1"/>
  <c r="W302" i="1" s="1"/>
  <c r="P302" i="1"/>
  <c r="Q260" i="1"/>
  <c r="W260" i="1" s="1"/>
  <c r="P260" i="1"/>
  <c r="P119" i="1"/>
  <c r="Q119" i="1"/>
  <c r="W119" i="1" s="1"/>
  <c r="P169" i="1"/>
  <c r="Q169" i="1"/>
  <c r="W169" i="1" s="1"/>
  <c r="Q315" i="1"/>
  <c r="W315" i="1" s="1"/>
  <c r="P315" i="1"/>
  <c r="Q313" i="1"/>
  <c r="W313" i="1" s="1"/>
  <c r="P313" i="1"/>
  <c r="P262" i="1"/>
  <c r="Q262" i="1"/>
  <c r="W262" i="1" s="1"/>
  <c r="Q301" i="1"/>
  <c r="W301" i="1" s="1"/>
  <c r="P301" i="1"/>
  <c r="Q323" i="1"/>
  <c r="W323" i="1" s="1"/>
  <c r="P323" i="1"/>
  <c r="Q26" i="1"/>
  <c r="W26" i="1" s="1"/>
  <c r="P26" i="1"/>
  <c r="Q135" i="1"/>
  <c r="W135" i="1" s="1"/>
  <c r="P135" i="1"/>
  <c r="P306" i="1"/>
  <c r="Q306" i="1"/>
  <c r="W306" i="1" s="1"/>
  <c r="Q296" i="1"/>
  <c r="W296" i="1" s="1"/>
  <c r="P296" i="1"/>
  <c r="Q372" i="1"/>
  <c r="W372" i="1" s="1"/>
  <c r="P372" i="1"/>
  <c r="P382" i="1"/>
  <c r="Q382" i="1"/>
  <c r="W382" i="1" s="1"/>
  <c r="Q96" i="1"/>
  <c r="W96" i="1" s="1"/>
  <c r="P96" i="1"/>
  <c r="Q55" i="1"/>
  <c r="W55" i="1" s="1"/>
  <c r="P55" i="1"/>
  <c r="P161" i="1"/>
  <c r="Q161" i="1"/>
  <c r="W161" i="1" s="1"/>
  <c r="P364" i="1"/>
  <c r="Q364" i="1"/>
  <c r="W364" i="1" s="1"/>
  <c r="P132" i="1"/>
  <c r="Q132" i="1"/>
  <c r="W132" i="1" s="1"/>
  <c r="Q381" i="1"/>
  <c r="W381" i="1" s="1"/>
  <c r="P381" i="1"/>
  <c r="Q88" i="1"/>
  <c r="W88" i="1" s="1"/>
  <c r="P88" i="1"/>
  <c r="P237" i="1"/>
  <c r="Q237" i="1"/>
  <c r="W237" i="1" s="1"/>
  <c r="P327" i="1"/>
  <c r="Q327" i="1"/>
  <c r="W327" i="1" s="1"/>
  <c r="Q312" i="1"/>
  <c r="W312" i="1" s="1"/>
  <c r="P312" i="1"/>
  <c r="Q293" i="1"/>
  <c r="W293" i="1" s="1"/>
  <c r="P293" i="1"/>
  <c r="P158" i="1"/>
  <c r="Q158" i="1"/>
  <c r="W158" i="1" s="1"/>
  <c r="Q282" i="1"/>
  <c r="W282" i="1" s="1"/>
  <c r="P282" i="1"/>
  <c r="T126" i="1"/>
  <c r="Z126" i="1" s="1"/>
  <c r="S126" i="1"/>
  <c r="Y126" i="1" s="1"/>
  <c r="U135" i="1" l="1"/>
  <c r="AA135" i="1" s="1"/>
  <c r="R135" i="1"/>
  <c r="X135" i="1" s="1"/>
  <c r="U297" i="1"/>
  <c r="AA297" i="1" s="1"/>
  <c r="R297" i="1"/>
  <c r="X297" i="1" s="1"/>
  <c r="U71" i="1"/>
  <c r="AA71" i="1" s="1"/>
  <c r="R71" i="1"/>
  <c r="X71" i="1" s="1"/>
  <c r="U218" i="1"/>
  <c r="AA218" i="1" s="1"/>
  <c r="R218" i="1"/>
  <c r="X218" i="1" s="1"/>
  <c r="U158" i="1"/>
  <c r="AA158" i="1" s="1"/>
  <c r="R158" i="1"/>
  <c r="X158" i="1" s="1"/>
  <c r="U382" i="1"/>
  <c r="AA382" i="1" s="1"/>
  <c r="R382" i="1"/>
  <c r="X382" i="1" s="1"/>
  <c r="U119" i="1"/>
  <c r="AA119" i="1" s="1"/>
  <c r="R119" i="1"/>
  <c r="X119" i="1" s="1"/>
  <c r="U334" i="1"/>
  <c r="AA334" i="1" s="1"/>
  <c r="R334" i="1"/>
  <c r="X334" i="1" s="1"/>
  <c r="U47" i="1"/>
  <c r="AA47" i="1" s="1"/>
  <c r="R47" i="1"/>
  <c r="X47" i="1" s="1"/>
  <c r="U267" i="1"/>
  <c r="AA267" i="1" s="1"/>
  <c r="R267" i="1"/>
  <c r="X267" i="1" s="1"/>
  <c r="U309" i="1"/>
  <c r="AA309" i="1" s="1"/>
  <c r="R309" i="1"/>
  <c r="X309" i="1" s="1"/>
  <c r="U377" i="1"/>
  <c r="AA377" i="1" s="1"/>
  <c r="R377" i="1"/>
  <c r="X377" i="1" s="1"/>
  <c r="U253" i="1"/>
  <c r="AA253" i="1" s="1"/>
  <c r="R253" i="1"/>
  <c r="X253" i="1" s="1"/>
  <c r="U152" i="1"/>
  <c r="AA152" i="1" s="1"/>
  <c r="R152" i="1"/>
  <c r="X152" i="1" s="1"/>
  <c r="U293" i="1"/>
  <c r="AA293" i="1" s="1"/>
  <c r="R293" i="1"/>
  <c r="X293" i="1" s="1"/>
  <c r="U26" i="1"/>
  <c r="AA26" i="1" s="1"/>
  <c r="R26" i="1"/>
  <c r="X26" i="1" s="1"/>
  <c r="U113" i="1"/>
  <c r="AA113" i="1" s="1"/>
  <c r="R113" i="1"/>
  <c r="X113" i="1" s="1"/>
  <c r="U239" i="1"/>
  <c r="AA239" i="1" s="1"/>
  <c r="R239" i="1"/>
  <c r="X239" i="1" s="1"/>
  <c r="U368" i="1"/>
  <c r="AA368" i="1" s="1"/>
  <c r="R368" i="1"/>
  <c r="X368" i="1" s="1"/>
  <c r="U148" i="1"/>
  <c r="AA148" i="1" s="1"/>
  <c r="R148" i="1"/>
  <c r="X148" i="1" s="1"/>
  <c r="U207" i="1"/>
  <c r="AA207" i="1" s="1"/>
  <c r="R207" i="1"/>
  <c r="X207" i="1" s="1"/>
  <c r="U246" i="1"/>
  <c r="AA246" i="1" s="1"/>
  <c r="R246" i="1"/>
  <c r="X246" i="1" s="1"/>
  <c r="U147" i="1"/>
  <c r="AA147" i="1" s="1"/>
  <c r="R147" i="1"/>
  <c r="X147" i="1" s="1"/>
  <c r="U236" i="1"/>
  <c r="AA236" i="1" s="1"/>
  <c r="R236" i="1"/>
  <c r="X236" i="1" s="1"/>
  <c r="U273" i="1"/>
  <c r="AA273" i="1" s="1"/>
  <c r="R273" i="1"/>
  <c r="X273" i="1" s="1"/>
  <c r="U121" i="1"/>
  <c r="AA121" i="1" s="1"/>
  <c r="R121" i="1"/>
  <c r="X121" i="1" s="1"/>
  <c r="U62" i="1"/>
  <c r="AA62" i="1" s="1"/>
  <c r="R62" i="1"/>
  <c r="X62" i="1" s="1"/>
  <c r="U367" i="1"/>
  <c r="AA367" i="1" s="1"/>
  <c r="R367" i="1"/>
  <c r="X367" i="1" s="1"/>
  <c r="U291" i="1"/>
  <c r="AA291" i="1" s="1"/>
  <c r="R291" i="1"/>
  <c r="X291" i="1" s="1"/>
  <c r="U213" i="1"/>
  <c r="AA213" i="1" s="1"/>
  <c r="R213" i="1"/>
  <c r="X213" i="1" s="1"/>
  <c r="U269" i="1"/>
  <c r="AA269" i="1" s="1"/>
  <c r="R269" i="1"/>
  <c r="X269" i="1" s="1"/>
  <c r="U162" i="1"/>
  <c r="AA162" i="1" s="1"/>
  <c r="R162" i="1"/>
  <c r="X162" i="1" s="1"/>
  <c r="U176" i="1"/>
  <c r="AA176" i="1" s="1"/>
  <c r="R176" i="1"/>
  <c r="X176" i="1" s="1"/>
  <c r="U214" i="1"/>
  <c r="AA214" i="1" s="1"/>
  <c r="R214" i="1"/>
  <c r="X214" i="1" s="1"/>
  <c r="U361" i="1"/>
  <c r="AA361" i="1" s="1"/>
  <c r="R361" i="1"/>
  <c r="X361" i="1" s="1"/>
  <c r="U202" i="1"/>
  <c r="AA202" i="1" s="1"/>
  <c r="R202" i="1"/>
  <c r="X202" i="1" s="1"/>
  <c r="U188" i="1"/>
  <c r="AA188" i="1" s="1"/>
  <c r="R188" i="1"/>
  <c r="X188" i="1" s="1"/>
  <c r="U203" i="1"/>
  <c r="AA203" i="1" s="1"/>
  <c r="R203" i="1"/>
  <c r="X203" i="1" s="1"/>
  <c r="U149" i="1"/>
  <c r="AA149" i="1" s="1"/>
  <c r="R149" i="1"/>
  <c r="X149" i="1" s="1"/>
  <c r="U362" i="1"/>
  <c r="AA362" i="1" s="1"/>
  <c r="R362" i="1"/>
  <c r="X362" i="1" s="1"/>
  <c r="U76" i="1"/>
  <c r="AA76" i="1" s="1"/>
  <c r="R76" i="1"/>
  <c r="X76" i="1" s="1"/>
  <c r="U359" i="1"/>
  <c r="AA359" i="1" s="1"/>
  <c r="R359" i="1"/>
  <c r="X359" i="1" s="1"/>
  <c r="U299" i="1"/>
  <c r="AA299" i="1" s="1"/>
  <c r="R299" i="1"/>
  <c r="X299" i="1" s="1"/>
  <c r="U195" i="1"/>
  <c r="AA195" i="1" s="1"/>
  <c r="R195" i="1"/>
  <c r="X195" i="1" s="1"/>
  <c r="U307" i="1"/>
  <c r="AA307" i="1" s="1"/>
  <c r="R307" i="1"/>
  <c r="X307" i="1" s="1"/>
  <c r="U364" i="1"/>
  <c r="AA364" i="1" s="1"/>
  <c r="R364" i="1"/>
  <c r="X364" i="1" s="1"/>
  <c r="U373" i="1"/>
  <c r="AA373" i="1" s="1"/>
  <c r="R373" i="1"/>
  <c r="X373" i="1" s="1"/>
  <c r="U247" i="1"/>
  <c r="AA247" i="1" s="1"/>
  <c r="R247" i="1"/>
  <c r="X247" i="1" s="1"/>
  <c r="U371" i="1"/>
  <c r="AA371" i="1" s="1"/>
  <c r="R371" i="1"/>
  <c r="X371" i="1" s="1"/>
  <c r="U385" i="1"/>
  <c r="AA385" i="1" s="1"/>
  <c r="R385" i="1"/>
  <c r="X385" i="1" s="1"/>
  <c r="U313" i="1"/>
  <c r="AA313" i="1" s="1"/>
  <c r="R313" i="1"/>
  <c r="X313" i="1" s="1"/>
  <c r="U63" i="1"/>
  <c r="AA63" i="1" s="1"/>
  <c r="R63" i="1"/>
  <c r="X63" i="1" s="1"/>
  <c r="U305" i="1"/>
  <c r="AA305" i="1" s="1"/>
  <c r="R305" i="1"/>
  <c r="X305" i="1" s="1"/>
  <c r="U191" i="1"/>
  <c r="AA191" i="1" s="1"/>
  <c r="R191" i="1"/>
  <c r="X191" i="1" s="1"/>
  <c r="U271" i="1"/>
  <c r="AA271" i="1" s="1"/>
  <c r="R271" i="1"/>
  <c r="X271" i="1" s="1"/>
  <c r="U326" i="1"/>
  <c r="AA326" i="1" s="1"/>
  <c r="R326" i="1"/>
  <c r="X326" i="1" s="1"/>
  <c r="U370" i="1"/>
  <c r="AA370" i="1" s="1"/>
  <c r="R370" i="1"/>
  <c r="X370" i="1" s="1"/>
  <c r="U179" i="1"/>
  <c r="AA179" i="1" s="1"/>
  <c r="R179" i="1"/>
  <c r="X179" i="1" s="1"/>
  <c r="U229" i="1"/>
  <c r="AA229" i="1" s="1"/>
  <c r="R229" i="1"/>
  <c r="X229" i="1" s="1"/>
  <c r="U70" i="1"/>
  <c r="AA70" i="1" s="1"/>
  <c r="R70" i="1"/>
  <c r="X70" i="1" s="1"/>
  <c r="U55" i="1"/>
  <c r="AA55" i="1" s="1"/>
  <c r="R55" i="1"/>
  <c r="X55" i="1" s="1"/>
  <c r="U348" i="1"/>
  <c r="AA348" i="1" s="1"/>
  <c r="R348" i="1"/>
  <c r="X348" i="1" s="1"/>
  <c r="U358" i="1"/>
  <c r="AA358" i="1" s="1"/>
  <c r="R358" i="1"/>
  <c r="X358" i="1" s="1"/>
  <c r="U331" i="1"/>
  <c r="AA331" i="1" s="1"/>
  <c r="R331" i="1"/>
  <c r="X331" i="1" s="1"/>
  <c r="U383" i="1"/>
  <c r="AA383" i="1" s="1"/>
  <c r="R383" i="1"/>
  <c r="X383" i="1" s="1"/>
  <c r="U252" i="1"/>
  <c r="AA252" i="1" s="1"/>
  <c r="R252" i="1"/>
  <c r="X252" i="1" s="1"/>
  <c r="U65" i="1"/>
  <c r="AA65" i="1" s="1"/>
  <c r="R65" i="1"/>
  <c r="X65" i="1" s="1"/>
  <c r="U154" i="1"/>
  <c r="AA154" i="1" s="1"/>
  <c r="R154" i="1"/>
  <c r="X154" i="1" s="1"/>
  <c r="U237" i="1"/>
  <c r="AA237" i="1" s="1"/>
  <c r="R237" i="1"/>
  <c r="X237" i="1" s="1"/>
  <c r="U262" i="1"/>
  <c r="AA262" i="1" s="1"/>
  <c r="R262" i="1"/>
  <c r="X262" i="1" s="1"/>
  <c r="U242" i="1"/>
  <c r="AA242" i="1" s="1"/>
  <c r="R242" i="1"/>
  <c r="X242" i="1" s="1"/>
  <c r="U300" i="1"/>
  <c r="AA300" i="1" s="1"/>
  <c r="R300" i="1"/>
  <c r="X300" i="1" s="1"/>
  <c r="U171" i="1"/>
  <c r="AA171" i="1" s="1"/>
  <c r="R171" i="1"/>
  <c r="X171" i="1" s="1"/>
  <c r="U258" i="1"/>
  <c r="AA258" i="1" s="1"/>
  <c r="R258" i="1"/>
  <c r="X258" i="1" s="1"/>
  <c r="U105" i="1"/>
  <c r="AA105" i="1" s="1"/>
  <c r="R105" i="1"/>
  <c r="X105" i="1" s="1"/>
  <c r="U372" i="1"/>
  <c r="AA372" i="1" s="1"/>
  <c r="R372" i="1"/>
  <c r="X372" i="1" s="1"/>
  <c r="U260" i="1"/>
  <c r="AA260" i="1" s="1"/>
  <c r="R260" i="1"/>
  <c r="X260" i="1" s="1"/>
  <c r="U339" i="1"/>
  <c r="AA339" i="1" s="1"/>
  <c r="R339" i="1"/>
  <c r="X339" i="1" s="1"/>
  <c r="U192" i="1"/>
  <c r="AA192" i="1" s="1"/>
  <c r="R192" i="1"/>
  <c r="X192" i="1" s="1"/>
  <c r="U290" i="1"/>
  <c r="AA290" i="1" s="1"/>
  <c r="R290" i="1"/>
  <c r="X290" i="1" s="1"/>
  <c r="U381" i="1"/>
  <c r="AA381" i="1" s="1"/>
  <c r="R381" i="1"/>
  <c r="X381" i="1" s="1"/>
  <c r="U323" i="1"/>
  <c r="AA323" i="1" s="1"/>
  <c r="R323" i="1"/>
  <c r="X323" i="1" s="1"/>
  <c r="U315" i="1"/>
  <c r="AA315" i="1" s="1"/>
  <c r="R315" i="1"/>
  <c r="X315" i="1" s="1"/>
  <c r="U112" i="1"/>
  <c r="AA112" i="1" s="1"/>
  <c r="R112" i="1"/>
  <c r="X112" i="1" s="1"/>
  <c r="U316" i="1"/>
  <c r="AA316" i="1" s="1"/>
  <c r="R316" i="1"/>
  <c r="X316" i="1" s="1"/>
  <c r="U378" i="1"/>
  <c r="AA378" i="1" s="1"/>
  <c r="R378" i="1"/>
  <c r="X378" i="1" s="1"/>
  <c r="U351" i="1"/>
  <c r="AA351" i="1" s="1"/>
  <c r="R351" i="1"/>
  <c r="X351" i="1" s="1"/>
  <c r="U374" i="1"/>
  <c r="AA374" i="1" s="1"/>
  <c r="R374" i="1"/>
  <c r="X374" i="1" s="1"/>
  <c r="U210" i="1"/>
  <c r="AA210" i="1" s="1"/>
  <c r="R210" i="1"/>
  <c r="X210" i="1" s="1"/>
  <c r="U226" i="1"/>
  <c r="AA226" i="1" s="1"/>
  <c r="R226" i="1"/>
  <c r="X226" i="1" s="1"/>
  <c r="U375" i="1"/>
  <c r="AA375" i="1" s="1"/>
  <c r="R375" i="1"/>
  <c r="X375" i="1" s="1"/>
  <c r="U344" i="1"/>
  <c r="AA344" i="1" s="1"/>
  <c r="R344" i="1"/>
  <c r="X344" i="1" s="1"/>
  <c r="U320" i="1"/>
  <c r="AA320" i="1" s="1"/>
  <c r="R320" i="1"/>
  <c r="X320" i="1" s="1"/>
  <c r="U240" i="1"/>
  <c r="AA240" i="1" s="1"/>
  <c r="R240" i="1"/>
  <c r="X240" i="1" s="1"/>
  <c r="U144" i="1"/>
  <c r="AA144" i="1" s="1"/>
  <c r="R144" i="1"/>
  <c r="X144" i="1" s="1"/>
  <c r="U114" i="1"/>
  <c r="AA114" i="1" s="1"/>
  <c r="R114" i="1"/>
  <c r="X114" i="1" s="1"/>
  <c r="U180" i="1"/>
  <c r="AA180" i="1" s="1"/>
  <c r="R180" i="1"/>
  <c r="X180" i="1" s="1"/>
  <c r="U166" i="1"/>
  <c r="AA166" i="1" s="1"/>
  <c r="R166" i="1"/>
  <c r="X166" i="1" s="1"/>
  <c r="U98" i="1"/>
  <c r="AA98" i="1" s="1"/>
  <c r="R98" i="1"/>
  <c r="X98" i="1" s="1"/>
  <c r="U200" i="1"/>
  <c r="AA200" i="1" s="1"/>
  <c r="R200" i="1"/>
  <c r="X200" i="1" s="1"/>
  <c r="U308" i="1"/>
  <c r="AA308" i="1" s="1"/>
  <c r="R308" i="1"/>
  <c r="X308" i="1" s="1"/>
  <c r="U160" i="1"/>
  <c r="AA160" i="1" s="1"/>
  <c r="R160" i="1"/>
  <c r="X160" i="1" s="1"/>
  <c r="U329" i="1"/>
  <c r="AA329" i="1" s="1"/>
  <c r="R329" i="1"/>
  <c r="X329" i="1" s="1"/>
  <c r="U340" i="1"/>
  <c r="AA340" i="1" s="1"/>
  <c r="R340" i="1"/>
  <c r="X340" i="1" s="1"/>
  <c r="U54" i="1"/>
  <c r="AA54" i="1" s="1"/>
  <c r="R54" i="1"/>
  <c r="X54" i="1" s="1"/>
  <c r="U156" i="1"/>
  <c r="AA156" i="1" s="1"/>
  <c r="R156" i="1"/>
  <c r="X156" i="1" s="1"/>
  <c r="U46" i="1"/>
  <c r="AA46" i="1" s="1"/>
  <c r="R46" i="1"/>
  <c r="X46" i="1" s="1"/>
  <c r="U336" i="1"/>
  <c r="AA336" i="1" s="1"/>
  <c r="R336" i="1"/>
  <c r="X336" i="1" s="1"/>
  <c r="U254" i="1"/>
  <c r="AA254" i="1" s="1"/>
  <c r="R254" i="1"/>
  <c r="X254" i="1" s="1"/>
  <c r="U277" i="1"/>
  <c r="AA277" i="1" s="1"/>
  <c r="R277" i="1"/>
  <c r="X277" i="1" s="1"/>
  <c r="U220" i="1"/>
  <c r="AA220" i="1" s="1"/>
  <c r="R220" i="1"/>
  <c r="X220" i="1" s="1"/>
  <c r="U167" i="1"/>
  <c r="AA167" i="1" s="1"/>
  <c r="R167" i="1"/>
  <c r="X167" i="1" s="1"/>
  <c r="U384" i="1"/>
  <c r="AA384" i="1" s="1"/>
  <c r="R384" i="1"/>
  <c r="X384" i="1" s="1"/>
  <c r="U88" i="1"/>
  <c r="AA88" i="1" s="1"/>
  <c r="R88" i="1"/>
  <c r="X88" i="1" s="1"/>
  <c r="U161" i="1"/>
  <c r="AA161" i="1" s="1"/>
  <c r="R161" i="1"/>
  <c r="X161" i="1" s="1"/>
  <c r="U278" i="1"/>
  <c r="AA278" i="1" s="1"/>
  <c r="R278" i="1"/>
  <c r="X278" i="1" s="1"/>
  <c r="U87" i="1"/>
  <c r="AA87" i="1" s="1"/>
  <c r="R87" i="1"/>
  <c r="X87" i="1" s="1"/>
  <c r="U74" i="1"/>
  <c r="AA74" i="1" s="1"/>
  <c r="R74" i="1"/>
  <c r="X74" i="1" s="1"/>
  <c r="U261" i="1"/>
  <c r="AA261" i="1" s="1"/>
  <c r="R261" i="1"/>
  <c r="X261" i="1" s="1"/>
  <c r="U217" i="1"/>
  <c r="AA217" i="1" s="1"/>
  <c r="R217" i="1"/>
  <c r="X217" i="1" s="1"/>
  <c r="U136" i="1"/>
  <c r="AA136" i="1" s="1"/>
  <c r="R136" i="1"/>
  <c r="X136" i="1" s="1"/>
  <c r="U369" i="1"/>
  <c r="AA369" i="1" s="1"/>
  <c r="R369" i="1"/>
  <c r="X369" i="1" s="1"/>
  <c r="U312" i="1"/>
  <c r="AA312" i="1" s="1"/>
  <c r="R312" i="1"/>
  <c r="X312" i="1" s="1"/>
  <c r="U296" i="1"/>
  <c r="AA296" i="1" s="1"/>
  <c r="R296" i="1"/>
  <c r="X296" i="1" s="1"/>
  <c r="U16" i="1"/>
  <c r="AA16" i="1" s="1"/>
  <c r="R16" i="1"/>
  <c r="X16" i="1" s="1"/>
  <c r="U376" i="1"/>
  <c r="AA376" i="1" s="1"/>
  <c r="R376" i="1"/>
  <c r="X376" i="1" s="1"/>
  <c r="U208" i="1"/>
  <c r="AA208" i="1" s="1"/>
  <c r="R208" i="1"/>
  <c r="X208" i="1" s="1"/>
  <c r="U302" i="1"/>
  <c r="AA302" i="1" s="1"/>
  <c r="R302" i="1"/>
  <c r="X302" i="1" s="1"/>
  <c r="U117" i="1"/>
  <c r="AA117" i="1" s="1"/>
  <c r="R117" i="1"/>
  <c r="X117" i="1" s="1"/>
  <c r="U380" i="1"/>
  <c r="AA380" i="1" s="1"/>
  <c r="R380" i="1"/>
  <c r="X380" i="1" s="1"/>
  <c r="U325" i="1"/>
  <c r="AA325" i="1" s="1"/>
  <c r="R325" i="1"/>
  <c r="X325" i="1" s="1"/>
  <c r="U181" i="1"/>
  <c r="AA181" i="1" s="1"/>
  <c r="R181" i="1"/>
  <c r="X181" i="1" s="1"/>
  <c r="U56" i="1"/>
  <c r="AA56" i="1" s="1"/>
  <c r="R56" i="1"/>
  <c r="X56" i="1" s="1"/>
  <c r="U288" i="1"/>
  <c r="AA288" i="1" s="1"/>
  <c r="R288" i="1"/>
  <c r="X288" i="1" s="1"/>
  <c r="Q110" i="1"/>
  <c r="W110" i="1" s="1"/>
  <c r="P110" i="1"/>
  <c r="U248" i="1"/>
  <c r="AA248" i="1" s="1"/>
  <c r="R248" i="1"/>
  <c r="X248" i="1" s="1"/>
  <c r="U304" i="1"/>
  <c r="AA304" i="1" s="1"/>
  <c r="R304" i="1"/>
  <c r="X304" i="1" s="1"/>
  <c r="U205" i="1"/>
  <c r="AA205" i="1" s="1"/>
  <c r="R205" i="1"/>
  <c r="X205" i="1" s="1"/>
  <c r="U282" i="1"/>
  <c r="AA282" i="1" s="1"/>
  <c r="R282" i="1"/>
  <c r="X282" i="1" s="1"/>
  <c r="U96" i="1"/>
  <c r="AA96" i="1" s="1"/>
  <c r="R96" i="1"/>
  <c r="X96" i="1" s="1"/>
  <c r="U301" i="1"/>
  <c r="AA301" i="1" s="1"/>
  <c r="R301" i="1"/>
  <c r="X301" i="1" s="1"/>
  <c r="U244" i="1"/>
  <c r="AA244" i="1" s="1"/>
  <c r="R244" i="1"/>
  <c r="X244" i="1" s="1"/>
  <c r="U120" i="1"/>
  <c r="AA120" i="1" s="1"/>
  <c r="R120" i="1"/>
  <c r="X120" i="1" s="1"/>
  <c r="U66" i="1"/>
  <c r="AA66" i="1" s="1"/>
  <c r="R66" i="1"/>
  <c r="X66" i="1" s="1"/>
  <c r="U321" i="1"/>
  <c r="AA321" i="1" s="1"/>
  <c r="R321" i="1"/>
  <c r="X321" i="1" s="1"/>
  <c r="U172" i="1"/>
  <c r="AA172" i="1" s="1"/>
  <c r="R172" i="1"/>
  <c r="X172" i="1" s="1"/>
  <c r="U30" i="1"/>
  <c r="AA30" i="1" s="1"/>
  <c r="R30" i="1"/>
  <c r="X30" i="1" s="1"/>
  <c r="U345" i="1"/>
  <c r="AA345" i="1" s="1"/>
  <c r="R345" i="1"/>
  <c r="X345" i="1" s="1"/>
  <c r="U292" i="1"/>
  <c r="AA292" i="1" s="1"/>
  <c r="R292" i="1"/>
  <c r="X292" i="1" s="1"/>
  <c r="U295" i="1"/>
  <c r="AA295" i="1" s="1"/>
  <c r="R295" i="1"/>
  <c r="X295" i="1" s="1"/>
  <c r="U175" i="1"/>
  <c r="AA175" i="1" s="1"/>
  <c r="R175" i="1"/>
  <c r="X175" i="1" s="1"/>
  <c r="U294" i="1"/>
  <c r="AA294" i="1" s="1"/>
  <c r="R294" i="1"/>
  <c r="X294" i="1" s="1"/>
  <c r="U94" i="1"/>
  <c r="AA94" i="1" s="1"/>
  <c r="R94" i="1"/>
  <c r="X94" i="1" s="1"/>
  <c r="U283" i="1"/>
  <c r="AA283" i="1" s="1"/>
  <c r="R283" i="1"/>
  <c r="X283" i="1" s="1"/>
  <c r="U386" i="1"/>
  <c r="AA386" i="1" s="1"/>
  <c r="R386" i="1"/>
  <c r="X386" i="1" s="1"/>
  <c r="U51" i="1"/>
  <c r="AA51" i="1" s="1"/>
  <c r="R51" i="1"/>
  <c r="X51" i="1" s="1"/>
  <c r="O126" i="1"/>
  <c r="U327" i="1"/>
  <c r="AA327" i="1" s="1"/>
  <c r="R327" i="1"/>
  <c r="X327" i="1" s="1"/>
  <c r="U132" i="1"/>
  <c r="AA132" i="1" s="1"/>
  <c r="R132" i="1"/>
  <c r="X132" i="1" s="1"/>
  <c r="U306" i="1"/>
  <c r="AA306" i="1" s="1"/>
  <c r="R306" i="1"/>
  <c r="X306" i="1" s="1"/>
  <c r="U169" i="1"/>
  <c r="AA169" i="1" s="1"/>
  <c r="R169" i="1"/>
  <c r="X169" i="1" s="1"/>
  <c r="U109" i="1"/>
  <c r="AA109" i="1" s="1"/>
  <c r="R109" i="1"/>
  <c r="X109" i="1" s="1"/>
  <c r="U194" i="1"/>
  <c r="AA194" i="1" s="1"/>
  <c r="R194" i="1"/>
  <c r="X194" i="1" s="1"/>
  <c r="U186" i="1"/>
  <c r="AA186" i="1" s="1"/>
  <c r="R186" i="1"/>
  <c r="X186" i="1" s="1"/>
  <c r="U328" i="1"/>
  <c r="AA328" i="1" s="1"/>
  <c r="R328" i="1"/>
  <c r="X328" i="1" s="1"/>
  <c r="U343" i="1"/>
  <c r="AA343" i="1" s="1"/>
  <c r="R343" i="1"/>
  <c r="X343" i="1" s="1"/>
  <c r="U310" i="1"/>
  <c r="AA310" i="1" s="1"/>
  <c r="R310" i="1"/>
  <c r="X310" i="1" s="1"/>
  <c r="U379" i="1"/>
  <c r="AA379" i="1" s="1"/>
  <c r="R379" i="1"/>
  <c r="X379" i="1" s="1"/>
  <c r="U40" i="1"/>
  <c r="AA40" i="1" s="1"/>
  <c r="R40" i="1"/>
  <c r="X40" i="1" s="1"/>
  <c r="U72" i="1"/>
  <c r="AA72" i="1" s="1"/>
  <c r="R72" i="1"/>
  <c r="X72" i="1" s="1"/>
  <c r="U337" i="1"/>
  <c r="AA337" i="1" s="1"/>
  <c r="R337" i="1"/>
  <c r="X337" i="1" s="1"/>
  <c r="U281" i="1"/>
  <c r="AA281" i="1" s="1"/>
  <c r="R281" i="1"/>
  <c r="X281" i="1" s="1"/>
  <c r="U24" i="1"/>
  <c r="AA24" i="1" s="1"/>
  <c r="R24" i="1"/>
  <c r="X24" i="1" s="1"/>
  <c r="U10" i="1"/>
  <c r="AA10" i="1" s="1"/>
  <c r="R10" i="1"/>
  <c r="X10" i="1" s="1"/>
  <c r="U64" i="1"/>
  <c r="AA64" i="1" s="1"/>
  <c r="R64" i="1"/>
  <c r="X64" i="1" s="1"/>
  <c r="U366" i="1"/>
  <c r="AA366" i="1" s="1"/>
  <c r="R366" i="1"/>
  <c r="X366" i="1" s="1"/>
  <c r="U83" i="1"/>
  <c r="AA83" i="1" s="1"/>
  <c r="R83" i="1"/>
  <c r="X83" i="1" s="1"/>
  <c r="U222" i="1"/>
  <c r="AA222" i="1" s="1"/>
  <c r="R222" i="1"/>
  <c r="X222" i="1" s="1"/>
  <c r="U140" i="1"/>
  <c r="AA140" i="1" s="1"/>
  <c r="R140" i="1"/>
  <c r="X140" i="1" s="1"/>
  <c r="U303" i="1"/>
  <c r="AA303" i="1" s="1"/>
  <c r="R303" i="1"/>
  <c r="X303" i="1" s="1"/>
  <c r="U298" i="1"/>
  <c r="AA298" i="1" s="1"/>
  <c r="R298" i="1"/>
  <c r="X298" i="1" s="1"/>
  <c r="U150" i="1"/>
  <c r="AA150" i="1" s="1"/>
  <c r="R150" i="1"/>
  <c r="X150" i="1" s="1"/>
  <c r="U322" i="1"/>
  <c r="AA322" i="1" s="1"/>
  <c r="R322" i="1"/>
  <c r="X322" i="1" s="1"/>
  <c r="U274" i="1"/>
  <c r="AA274" i="1" s="1"/>
  <c r="R274" i="1"/>
  <c r="X274" i="1" s="1"/>
  <c r="T108" i="1"/>
  <c r="Z108" i="1" s="1"/>
  <c r="S108" i="1"/>
  <c r="Y108" i="1" s="1"/>
  <c r="D138" i="8"/>
  <c r="D101" i="8"/>
  <c r="D119" i="8"/>
  <c r="D116" i="8"/>
  <c r="D129" i="8"/>
  <c r="D133" i="8"/>
  <c r="D108" i="8"/>
  <c r="D120" i="8"/>
  <c r="D82" i="8"/>
  <c r="D36" i="8"/>
  <c r="D104" i="8"/>
  <c r="D128" i="8"/>
  <c r="D92" i="8"/>
  <c r="D140" i="8"/>
  <c r="D122" i="8"/>
  <c r="D127" i="8"/>
  <c r="D62" i="8"/>
  <c r="D124" i="8"/>
  <c r="D100" i="8"/>
  <c r="D58" i="8"/>
  <c r="D137" i="8"/>
  <c r="D117" i="8"/>
  <c r="D106" i="8"/>
  <c r="D73" i="8"/>
  <c r="D96" i="8"/>
  <c r="D126" i="8"/>
  <c r="D103" i="8"/>
  <c r="D132" i="8"/>
  <c r="D145" i="8"/>
  <c r="D112" i="8"/>
  <c r="D64" i="8"/>
  <c r="D136" i="8"/>
  <c r="D63" i="8"/>
  <c r="D98" i="8"/>
  <c r="D72" i="8"/>
  <c r="D130" i="8"/>
  <c r="D125" i="8"/>
  <c r="D144" i="8"/>
  <c r="D142" i="8"/>
  <c r="D80" i="8"/>
  <c r="D65" i="8"/>
  <c r="D118" i="8"/>
  <c r="D32" i="8"/>
  <c r="D123" i="8"/>
  <c r="D57" i="8"/>
  <c r="D110" i="8"/>
  <c r="D143" i="8"/>
  <c r="D107" i="8"/>
  <c r="D146" i="8"/>
  <c r="D78" i="8"/>
  <c r="D139" i="8"/>
  <c r="D81" i="8"/>
  <c r="D109" i="8"/>
  <c r="D141" i="8"/>
  <c r="D134" i="8"/>
  <c r="D102" i="8"/>
  <c r="D121" i="8"/>
  <c r="D114" i="8"/>
  <c r="D131" i="8"/>
  <c r="D87" i="8"/>
  <c r="D113" i="8"/>
  <c r="D54" i="8"/>
  <c r="D135" i="8"/>
  <c r="D40" i="8"/>
  <c r="D20" i="8"/>
  <c r="D70" i="8"/>
  <c r="D147" i="8"/>
  <c r="Q147" i="8" l="1"/>
  <c r="Q70" i="8"/>
  <c r="Q20" i="8"/>
  <c r="Q40" i="8"/>
  <c r="Q135" i="8"/>
  <c r="Q54" i="8"/>
  <c r="Q113" i="8"/>
  <c r="Q87" i="8"/>
  <c r="Q131" i="8"/>
  <c r="Q114" i="8"/>
  <c r="Q121" i="8"/>
  <c r="Q102" i="8"/>
  <c r="Q134" i="8"/>
  <c r="Q141" i="8"/>
  <c r="Q109" i="8"/>
  <c r="Q81" i="8"/>
  <c r="Q139" i="8"/>
  <c r="Q78" i="8"/>
  <c r="Q146" i="8"/>
  <c r="Q107" i="8"/>
  <c r="Q143" i="8"/>
  <c r="Q110" i="8"/>
  <c r="Q57" i="8"/>
  <c r="Q123" i="8"/>
  <c r="Q32" i="8"/>
  <c r="Q118" i="8"/>
  <c r="Q65" i="8"/>
  <c r="Q80" i="8"/>
  <c r="Q142" i="8"/>
  <c r="Q144" i="8"/>
  <c r="Q125" i="8"/>
  <c r="Q130" i="8"/>
  <c r="Q72" i="8"/>
  <c r="Q98" i="8"/>
  <c r="Q63" i="8"/>
  <c r="Q136" i="8"/>
  <c r="Q64" i="8"/>
  <c r="Q112" i="8"/>
  <c r="Q145" i="8"/>
  <c r="Q132" i="8"/>
  <c r="Q103" i="8"/>
  <c r="Q126" i="8"/>
  <c r="Q96" i="8"/>
  <c r="Q73" i="8"/>
  <c r="Q106" i="8"/>
  <c r="Q117" i="8"/>
  <c r="Q137" i="8"/>
  <c r="Q58" i="8"/>
  <c r="Q100" i="8"/>
  <c r="Q124" i="8"/>
  <c r="Q62" i="8"/>
  <c r="Q127" i="8"/>
  <c r="Q122" i="8"/>
  <c r="Q140" i="8"/>
  <c r="Q92" i="8"/>
  <c r="Q128" i="8"/>
  <c r="Q104" i="8"/>
  <c r="Q36" i="8"/>
  <c r="Q82" i="8"/>
  <c r="Q120" i="8"/>
  <c r="Q108" i="8"/>
  <c r="Q133" i="8"/>
  <c r="Q129" i="8"/>
  <c r="Q116" i="8"/>
  <c r="Q119" i="8"/>
  <c r="Q101" i="8"/>
  <c r="Q138" i="8"/>
  <c r="U110" i="1"/>
  <c r="AA110" i="1" s="1"/>
  <c r="R110" i="1"/>
  <c r="X110" i="1" s="1"/>
  <c r="Q126" i="1"/>
  <c r="W126" i="1" s="1"/>
  <c r="P126" i="1"/>
  <c r="O108" i="1"/>
  <c r="U126" i="1" l="1"/>
  <c r="AA126" i="1" s="1"/>
  <c r="R126" i="1"/>
  <c r="X126" i="1" s="1"/>
  <c r="Q108" i="1"/>
  <c r="W108" i="1" s="1"/>
  <c r="P108" i="1"/>
  <c r="U108" i="1" l="1"/>
  <c r="AA108" i="1" s="1"/>
  <c r="R108" i="1"/>
  <c r="X108" i="1" s="1"/>
  <c r="T356" i="1"/>
  <c r="Z356" i="1" s="1"/>
  <c r="S356" i="1"/>
  <c r="Y356" i="1" s="1"/>
  <c r="O356" i="1" l="1"/>
  <c r="Q356" i="1" l="1"/>
  <c r="W356" i="1" s="1"/>
  <c r="P356" i="1"/>
  <c r="T234" i="1"/>
  <c r="Z234" i="1" s="1"/>
  <c r="S234" i="1"/>
  <c r="Y234" i="1" s="1"/>
  <c r="O97" i="8"/>
  <c r="F97" i="8"/>
  <c r="E97" i="8"/>
  <c r="P97" i="8" l="1"/>
  <c r="R97" i="8"/>
  <c r="U356" i="1"/>
  <c r="AA356" i="1" s="1"/>
  <c r="R356" i="1"/>
  <c r="X356" i="1" s="1"/>
  <c r="O234" i="1"/>
  <c r="L97" i="8"/>
  <c r="T365" i="1"/>
  <c r="Z365" i="1" s="1"/>
  <c r="S365" i="1"/>
  <c r="Y365" i="1" s="1"/>
  <c r="Q234" i="1" l="1"/>
  <c r="W234" i="1" s="1"/>
  <c r="P234" i="1"/>
  <c r="O365" i="1"/>
  <c r="Q365" i="1" l="1"/>
  <c r="W365" i="1" s="1"/>
  <c r="P365" i="1"/>
  <c r="U234" i="1"/>
  <c r="AA234" i="1" s="1"/>
  <c r="R234" i="1"/>
  <c r="X234" i="1" s="1"/>
  <c r="T197" i="1"/>
  <c r="Z197" i="1" s="1"/>
  <c r="S197" i="1"/>
  <c r="Y197" i="1" s="1"/>
  <c r="D97" i="8"/>
  <c r="Q97" i="8" l="1"/>
  <c r="U365" i="1"/>
  <c r="AA365" i="1" s="1"/>
  <c r="R365" i="1"/>
  <c r="X365" i="1" s="1"/>
  <c r="O197" i="1"/>
  <c r="T243" i="1"/>
  <c r="Z243" i="1" s="1"/>
  <c r="O115" i="8"/>
  <c r="S243" i="1"/>
  <c r="Y243" i="1" s="1"/>
  <c r="E115" i="8"/>
  <c r="F115" i="8"/>
  <c r="P115" i="8" l="1"/>
  <c r="R115" i="8"/>
  <c r="Q197" i="1"/>
  <c r="W197" i="1" s="1"/>
  <c r="P197" i="1"/>
  <c r="O243" i="1"/>
  <c r="L115" i="8"/>
  <c r="T168" i="1"/>
  <c r="Z168" i="1" s="1"/>
  <c r="S168" i="1"/>
  <c r="Y168" i="1" s="1"/>
  <c r="Q243" i="1" l="1"/>
  <c r="W243" i="1" s="1"/>
  <c r="P243" i="1"/>
  <c r="U197" i="1"/>
  <c r="AA197" i="1" s="1"/>
  <c r="R197" i="1"/>
  <c r="X197" i="1" s="1"/>
  <c r="O168" i="1"/>
  <c r="S35" i="1"/>
  <c r="Y35" i="1" s="1"/>
  <c r="T35" i="1"/>
  <c r="Z35" i="1" s="1"/>
  <c r="Q168" i="1" l="1"/>
  <c r="W168" i="1" s="1"/>
  <c r="P168" i="1"/>
  <c r="U243" i="1"/>
  <c r="AA243" i="1" s="1"/>
  <c r="R243" i="1"/>
  <c r="X243" i="1" s="1"/>
  <c r="O35" i="1"/>
  <c r="D115" i="8"/>
  <c r="Q115" i="8" l="1"/>
  <c r="Q35" i="1"/>
  <c r="W35" i="1" s="1"/>
  <c r="P35" i="1"/>
  <c r="U168" i="1"/>
  <c r="AA168" i="1" s="1"/>
  <c r="R168" i="1"/>
  <c r="X168" i="1" s="1"/>
  <c r="U35" i="1" l="1"/>
  <c r="AA35" i="1" s="1"/>
  <c r="R35" i="1"/>
  <c r="X35" i="1" s="1"/>
  <c r="S355" i="1"/>
  <c r="Y355" i="1" s="1"/>
  <c r="T355" i="1"/>
  <c r="Z355" i="1" s="1"/>
  <c r="O355" i="1" l="1"/>
  <c r="T28" i="1"/>
  <c r="Z28" i="1" s="1"/>
  <c r="S28" i="1"/>
  <c r="Y28" i="1" s="1"/>
  <c r="Q355" i="1" l="1"/>
  <c r="W355" i="1" s="1"/>
  <c r="P355" i="1"/>
  <c r="O28" i="1"/>
  <c r="T233" i="1"/>
  <c r="Z233" i="1" s="1"/>
  <c r="O95" i="8"/>
  <c r="S233" i="1"/>
  <c r="Y233" i="1" s="1"/>
  <c r="F95" i="8"/>
  <c r="E95" i="8"/>
  <c r="P95" i="8" l="1"/>
  <c r="R95" i="8"/>
  <c r="Q28" i="1"/>
  <c r="W28" i="1" s="1"/>
  <c r="P28" i="1"/>
  <c r="U355" i="1"/>
  <c r="AA355" i="1" s="1"/>
  <c r="R355" i="1"/>
  <c r="X355" i="1" s="1"/>
  <c r="O233" i="1"/>
  <c r="L95" i="8"/>
  <c r="P233" i="1" l="1"/>
  <c r="Q233" i="1"/>
  <c r="W233" i="1" s="1"/>
  <c r="U28" i="1"/>
  <c r="AA28" i="1" s="1"/>
  <c r="R28" i="1"/>
  <c r="X28" i="1" s="1"/>
  <c r="U233" i="1" l="1"/>
  <c r="AA233" i="1" s="1"/>
  <c r="R233" i="1"/>
  <c r="X233" i="1" s="1"/>
  <c r="S89" i="1"/>
  <c r="Y89" i="1" s="1"/>
  <c r="T89" i="1"/>
  <c r="Z89" i="1" s="1"/>
  <c r="D95" i="8"/>
  <c r="Q95" i="8" l="1"/>
  <c r="O89" i="1"/>
  <c r="T159" i="1"/>
  <c r="Z159" i="1" s="1"/>
  <c r="S159" i="1"/>
  <c r="Y159" i="1" s="1"/>
  <c r="Q89" i="1" l="1"/>
  <c r="W89" i="1" s="1"/>
  <c r="P89" i="1"/>
  <c r="O159" i="1"/>
  <c r="T97" i="1"/>
  <c r="Z97" i="1" s="1"/>
  <c r="O38" i="8"/>
  <c r="S97" i="1"/>
  <c r="Y97" i="1" s="1"/>
  <c r="E38" i="8"/>
  <c r="F38" i="8"/>
  <c r="P38" i="8" l="1"/>
  <c r="R38" i="8"/>
  <c r="Q159" i="1"/>
  <c r="W159" i="1" s="1"/>
  <c r="P159" i="1"/>
  <c r="U89" i="1"/>
  <c r="AA89" i="1" s="1"/>
  <c r="R89" i="1"/>
  <c r="X89" i="1" s="1"/>
  <c r="O97" i="1"/>
  <c r="L38" i="8"/>
  <c r="S198" i="1"/>
  <c r="Y198" i="1" s="1"/>
  <c r="T198" i="1"/>
  <c r="Z198" i="1" s="1"/>
  <c r="U159" i="1" l="1"/>
  <c r="AA159" i="1" s="1"/>
  <c r="R159" i="1"/>
  <c r="X159" i="1" s="1"/>
  <c r="O198" i="1"/>
  <c r="Q97" i="1"/>
  <c r="W97" i="1" s="1"/>
  <c r="P97" i="1"/>
  <c r="T346" i="1"/>
  <c r="Z346" i="1" s="1"/>
  <c r="S346" i="1"/>
  <c r="Y346" i="1" s="1"/>
  <c r="U97" i="1" l="1"/>
  <c r="AA97" i="1" s="1"/>
  <c r="R97" i="1"/>
  <c r="X97" i="1" s="1"/>
  <c r="Q198" i="1"/>
  <c r="W198" i="1" s="1"/>
  <c r="P198" i="1"/>
  <c r="O346" i="1"/>
  <c r="D38" i="8"/>
  <c r="Q38" i="8" l="1"/>
  <c r="Q346" i="1"/>
  <c r="W346" i="1" s="1"/>
  <c r="P346" i="1"/>
  <c r="U198" i="1"/>
  <c r="AA198" i="1" s="1"/>
  <c r="R198" i="1"/>
  <c r="X198" i="1" s="1"/>
  <c r="S37" i="1"/>
  <c r="Y37" i="1" s="1"/>
  <c r="T37" i="1"/>
  <c r="Z37" i="1" s="1"/>
  <c r="U346" i="1" l="1"/>
  <c r="AA346" i="1" s="1"/>
  <c r="R346" i="1"/>
  <c r="X346" i="1" s="1"/>
  <c r="O37" i="1"/>
  <c r="Q37" i="1" l="1"/>
  <c r="W37" i="1" s="1"/>
  <c r="P37" i="1"/>
  <c r="T363" i="1"/>
  <c r="Z363" i="1" s="1"/>
  <c r="S363" i="1"/>
  <c r="Y363" i="1" s="1"/>
  <c r="U37" i="1" l="1"/>
  <c r="AA37" i="1" s="1"/>
  <c r="R37" i="1"/>
  <c r="X37" i="1" s="1"/>
  <c r="O363" i="1"/>
  <c r="Q363" i="1" l="1"/>
  <c r="W363" i="1" s="1"/>
  <c r="P363" i="1"/>
  <c r="T241" i="1"/>
  <c r="Z241" i="1" s="1"/>
  <c r="O111" i="8"/>
  <c r="S241" i="1"/>
  <c r="Y241" i="1" s="1"/>
  <c r="F111" i="8"/>
  <c r="E111" i="8"/>
  <c r="P111" i="8" l="1"/>
  <c r="R111" i="8"/>
  <c r="U363" i="1"/>
  <c r="AA363" i="1" s="1"/>
  <c r="R363" i="1"/>
  <c r="X363" i="1" s="1"/>
  <c r="O241" i="1"/>
  <c r="L111" i="8"/>
  <c r="Q241" i="1" l="1"/>
  <c r="W241" i="1" s="1"/>
  <c r="P241" i="1"/>
  <c r="S354" i="1"/>
  <c r="Y354" i="1" s="1"/>
  <c r="T354" i="1"/>
  <c r="Z354" i="1" s="1"/>
  <c r="U241" i="1" l="1"/>
  <c r="AA241" i="1" s="1"/>
  <c r="R241" i="1"/>
  <c r="X241" i="1" s="1"/>
  <c r="O354" i="1"/>
  <c r="T232" i="1"/>
  <c r="Z232" i="1" s="1"/>
  <c r="S232" i="1"/>
  <c r="Y232" i="1" s="1"/>
  <c r="O93" i="8"/>
  <c r="D111" i="8"/>
  <c r="F93" i="8"/>
  <c r="E93" i="8"/>
  <c r="P93" i="8" l="1"/>
  <c r="Q111" i="8"/>
  <c r="R93" i="8"/>
  <c r="Q354" i="1"/>
  <c r="W354" i="1" s="1"/>
  <c r="P354" i="1"/>
  <c r="O232" i="1"/>
  <c r="L93" i="8"/>
  <c r="S49" i="1"/>
  <c r="Y49" i="1" s="1"/>
  <c r="T49" i="1"/>
  <c r="Z49" i="1" s="1"/>
  <c r="P232" i="1" l="1"/>
  <c r="Q232" i="1"/>
  <c r="W232" i="1" s="1"/>
  <c r="U354" i="1"/>
  <c r="AA354" i="1" s="1"/>
  <c r="R354" i="1"/>
  <c r="X354" i="1" s="1"/>
  <c r="O49" i="1"/>
  <c r="S201" i="1"/>
  <c r="Y201" i="1" s="1"/>
  <c r="T201" i="1"/>
  <c r="Z201" i="1" s="1"/>
  <c r="Q49" i="1" l="1"/>
  <c r="W49" i="1" s="1"/>
  <c r="P49" i="1"/>
  <c r="U232" i="1"/>
  <c r="AA232" i="1" s="1"/>
  <c r="R232" i="1"/>
  <c r="X232" i="1" s="1"/>
  <c r="O201" i="1"/>
  <c r="T84" i="1"/>
  <c r="Z84" i="1" s="1"/>
  <c r="S84" i="1"/>
  <c r="Y84" i="1" s="1"/>
  <c r="D93" i="8"/>
  <c r="Q93" i="8" l="1"/>
  <c r="Q201" i="1"/>
  <c r="W201" i="1" s="1"/>
  <c r="P201" i="1"/>
  <c r="U49" i="1"/>
  <c r="AA49" i="1" s="1"/>
  <c r="R49" i="1"/>
  <c r="X49" i="1" s="1"/>
  <c r="O84" i="1"/>
  <c r="Q84" i="1" l="1"/>
  <c r="W84" i="1" s="1"/>
  <c r="P84" i="1"/>
  <c r="U201" i="1"/>
  <c r="AA201" i="1" s="1"/>
  <c r="R201" i="1"/>
  <c r="X201" i="1" s="1"/>
  <c r="U84" i="1" l="1"/>
  <c r="AA84" i="1" s="1"/>
  <c r="R84" i="1"/>
  <c r="X84" i="1" s="1"/>
  <c r="S224" i="1" l="1"/>
  <c r="Y224" i="1" s="1"/>
  <c r="T224" i="1"/>
  <c r="Z224" i="1" s="1"/>
  <c r="O224" i="1" l="1"/>
  <c r="S324" i="1"/>
  <c r="Y324" i="1" s="1"/>
  <c r="T324" i="1"/>
  <c r="Z324" i="1" s="1"/>
  <c r="Q224" i="1" l="1"/>
  <c r="W224" i="1" s="1"/>
  <c r="P224" i="1"/>
  <c r="O324" i="1"/>
  <c r="Q324" i="1" l="1"/>
  <c r="W324" i="1" s="1"/>
  <c r="P324" i="1"/>
  <c r="U224" i="1"/>
  <c r="AA224" i="1" s="1"/>
  <c r="R224" i="1"/>
  <c r="X224" i="1" s="1"/>
  <c r="T142" i="1"/>
  <c r="Z142" i="1" s="1"/>
  <c r="O77" i="8"/>
  <c r="S142" i="1"/>
  <c r="Y142" i="1" s="1"/>
  <c r="E77" i="8"/>
  <c r="F77" i="8"/>
  <c r="P77" i="8" l="1"/>
  <c r="R77" i="8"/>
  <c r="U324" i="1"/>
  <c r="AA324" i="1" s="1"/>
  <c r="R324" i="1"/>
  <c r="X324" i="1" s="1"/>
  <c r="O142" i="1"/>
  <c r="L77" i="8"/>
  <c r="T58" i="1"/>
  <c r="Z58" i="1" s="1"/>
  <c r="O33" i="8"/>
  <c r="S58" i="1"/>
  <c r="Y58" i="1" s="1"/>
  <c r="F33" i="8"/>
  <c r="E33" i="8"/>
  <c r="P33" i="8" l="1"/>
  <c r="R33" i="8"/>
  <c r="Q142" i="1"/>
  <c r="W142" i="1" s="1"/>
  <c r="P142" i="1"/>
  <c r="O58" i="1"/>
  <c r="L33" i="8"/>
  <c r="Q58" i="1" l="1"/>
  <c r="W58" i="1" s="1"/>
  <c r="P58" i="1"/>
  <c r="U142" i="1"/>
  <c r="AA142" i="1" s="1"/>
  <c r="R142" i="1"/>
  <c r="X142" i="1" s="1"/>
  <c r="D77" i="8"/>
  <c r="Q77" i="8" l="1"/>
  <c r="U58" i="1"/>
  <c r="AA58" i="1" s="1"/>
  <c r="R58" i="1"/>
  <c r="X58" i="1" s="1"/>
  <c r="S280" i="1"/>
  <c r="Y280" i="1" s="1"/>
  <c r="T280" i="1"/>
  <c r="Z280" i="1" s="1"/>
  <c r="D33" i="8"/>
  <c r="Q33" i="8" l="1"/>
  <c r="O280" i="1"/>
  <c r="S341" i="1"/>
  <c r="Y341" i="1" s="1"/>
  <c r="T341" i="1"/>
  <c r="Z341" i="1" s="1"/>
  <c r="Q280" i="1" l="1"/>
  <c r="W280" i="1" s="1"/>
  <c r="P280" i="1"/>
  <c r="O341" i="1"/>
  <c r="T178" i="1"/>
  <c r="Z178" i="1" s="1"/>
  <c r="O76" i="8"/>
  <c r="S178" i="1"/>
  <c r="Y178" i="1" s="1"/>
  <c r="E76" i="8"/>
  <c r="F76" i="8"/>
  <c r="P76" i="8" l="1"/>
  <c r="R76" i="8"/>
  <c r="Q341" i="1"/>
  <c r="W341" i="1" s="1"/>
  <c r="P341" i="1"/>
  <c r="U280" i="1"/>
  <c r="AA280" i="1" s="1"/>
  <c r="R280" i="1"/>
  <c r="X280" i="1" s="1"/>
  <c r="O178" i="1"/>
  <c r="L76" i="8"/>
  <c r="T68" i="1"/>
  <c r="Z68" i="1" s="1"/>
  <c r="S68" i="1"/>
  <c r="Y68" i="1" s="1"/>
  <c r="U341" i="1" l="1"/>
  <c r="AA341" i="1" s="1"/>
  <c r="R341" i="1"/>
  <c r="X341" i="1" s="1"/>
  <c r="O68" i="1"/>
  <c r="Q178" i="1"/>
  <c r="W178" i="1" s="1"/>
  <c r="P178" i="1"/>
  <c r="T333" i="1"/>
  <c r="Z333" i="1" s="1"/>
  <c r="S333" i="1"/>
  <c r="Y333" i="1" s="1"/>
  <c r="Q68" i="1" l="1"/>
  <c r="W68" i="1" s="1"/>
  <c r="P68" i="1"/>
  <c r="U178" i="1"/>
  <c r="AA178" i="1" s="1"/>
  <c r="R178" i="1"/>
  <c r="X178" i="1" s="1"/>
  <c r="O333" i="1"/>
  <c r="D76" i="8"/>
  <c r="Q76" i="8" l="1"/>
  <c r="Q333" i="1"/>
  <c r="W333" i="1" s="1"/>
  <c r="P333" i="1"/>
  <c r="U68" i="1"/>
  <c r="AA68" i="1" s="1"/>
  <c r="R68" i="1"/>
  <c r="X68" i="1" s="1"/>
  <c r="U333" i="1" l="1"/>
  <c r="AA333" i="1" s="1"/>
  <c r="R333" i="1"/>
  <c r="X333" i="1" s="1"/>
  <c r="T124" i="1"/>
  <c r="Z124" i="1" s="1"/>
  <c r="S124" i="1"/>
  <c r="Y124" i="1" s="1"/>
  <c r="O124" i="1" l="1"/>
  <c r="T82" i="1"/>
  <c r="Z82" i="1" s="1"/>
  <c r="S82" i="1"/>
  <c r="Y82" i="1" s="1"/>
  <c r="Q124" i="1" l="1"/>
  <c r="W124" i="1" s="1"/>
  <c r="P124" i="1"/>
  <c r="O82" i="1"/>
  <c r="Q82" i="1" l="1"/>
  <c r="W82" i="1" s="1"/>
  <c r="P82" i="1"/>
  <c r="U124" i="1"/>
  <c r="AA124" i="1" s="1"/>
  <c r="R124" i="1"/>
  <c r="X124" i="1" s="1"/>
  <c r="T4" i="1"/>
  <c r="Z4" i="1" s="1"/>
  <c r="O8" i="8"/>
  <c r="S4" i="1"/>
  <c r="Y4" i="1" s="1"/>
  <c r="F8" i="8"/>
  <c r="E8" i="8"/>
  <c r="P8" i="8" l="1"/>
  <c r="R8" i="8"/>
  <c r="U82" i="1"/>
  <c r="AA82" i="1" s="1"/>
  <c r="R82" i="1"/>
  <c r="X82" i="1" s="1"/>
  <c r="O4" i="1"/>
  <c r="L8" i="8"/>
  <c r="Q4" i="1" l="1"/>
  <c r="W4" i="1" s="1"/>
  <c r="P4" i="1"/>
  <c r="T219" i="1"/>
  <c r="Z219" i="1" s="1"/>
  <c r="S219" i="1"/>
  <c r="Y219" i="1" s="1"/>
  <c r="U4" i="1" l="1"/>
  <c r="AA4" i="1" s="1"/>
  <c r="R4" i="1"/>
  <c r="X4" i="1" s="1"/>
  <c r="O219" i="1"/>
  <c r="T137" i="1"/>
  <c r="Z137" i="1" s="1"/>
  <c r="S137" i="1"/>
  <c r="Y137" i="1" s="1"/>
  <c r="O67" i="8"/>
  <c r="D8" i="8"/>
  <c r="F67" i="8"/>
  <c r="E67" i="8"/>
  <c r="P67" i="8" l="1"/>
  <c r="Q8" i="8"/>
  <c r="R67" i="8"/>
  <c r="Q219" i="1"/>
  <c r="W219" i="1" s="1"/>
  <c r="P219" i="1"/>
  <c r="O137" i="1"/>
  <c r="L67" i="8"/>
  <c r="S111" i="1"/>
  <c r="Y111" i="1" s="1"/>
  <c r="T111" i="1"/>
  <c r="Z111" i="1" s="1"/>
  <c r="Q137" i="1" l="1"/>
  <c r="W137" i="1" s="1"/>
  <c r="P137" i="1"/>
  <c r="U219" i="1"/>
  <c r="AA219" i="1" s="1"/>
  <c r="R219" i="1"/>
  <c r="X219" i="1" s="1"/>
  <c r="O111" i="1"/>
  <c r="S67" i="1"/>
  <c r="Y67" i="1" s="1"/>
  <c r="T67" i="1"/>
  <c r="Z67" i="1" s="1"/>
  <c r="Q111" i="1" l="1"/>
  <c r="W111" i="1" s="1"/>
  <c r="P111" i="1"/>
  <c r="U137" i="1"/>
  <c r="AA137" i="1" s="1"/>
  <c r="R137" i="1"/>
  <c r="X137" i="1" s="1"/>
  <c r="O67" i="1"/>
  <c r="D67" i="8"/>
  <c r="Q67" i="8" l="1"/>
  <c r="Q67" i="1"/>
  <c r="W67" i="1" s="1"/>
  <c r="P67" i="1"/>
  <c r="U111" i="1"/>
  <c r="AA111" i="1" s="1"/>
  <c r="R111" i="1"/>
  <c r="X111" i="1" s="1"/>
  <c r="U67" i="1" l="1"/>
  <c r="AA67" i="1" s="1"/>
  <c r="R67" i="1"/>
  <c r="X67" i="1" s="1"/>
  <c r="T360" i="1"/>
  <c r="Z360" i="1" s="1"/>
  <c r="S360" i="1"/>
  <c r="Y360" i="1" s="1"/>
  <c r="O360" i="1" l="1"/>
  <c r="Q360" i="1" l="1"/>
  <c r="W360" i="1" s="1"/>
  <c r="P360" i="1"/>
  <c r="U360" i="1" l="1"/>
  <c r="AA360" i="1" s="1"/>
  <c r="R360" i="1"/>
  <c r="X360" i="1" s="1"/>
  <c r="T123" i="1"/>
  <c r="Z123" i="1" s="1"/>
  <c r="S123" i="1"/>
  <c r="Y123" i="1" s="1"/>
  <c r="O123" i="1" l="1"/>
  <c r="Q123" i="1" l="1"/>
  <c r="W123" i="1" s="1"/>
  <c r="P123" i="1"/>
  <c r="T238" i="1"/>
  <c r="Z238" i="1" s="1"/>
  <c r="O105" i="8"/>
  <c r="S238" i="1"/>
  <c r="Y238" i="1" s="1"/>
  <c r="F105" i="8"/>
  <c r="E105" i="8"/>
  <c r="P105" i="8" l="1"/>
  <c r="R105" i="8"/>
  <c r="U123" i="1"/>
  <c r="AA123" i="1" s="1"/>
  <c r="R123" i="1"/>
  <c r="X123" i="1" s="1"/>
  <c r="O238" i="1"/>
  <c r="L105" i="8"/>
  <c r="T77" i="1"/>
  <c r="Z77" i="1" s="1"/>
  <c r="O39" i="8"/>
  <c r="S77" i="1"/>
  <c r="Y77" i="1" s="1"/>
  <c r="F39" i="8"/>
  <c r="E39" i="8"/>
  <c r="P39" i="8" l="1"/>
  <c r="R39" i="8"/>
  <c r="Q238" i="1"/>
  <c r="W238" i="1" s="1"/>
  <c r="P238" i="1"/>
  <c r="O77" i="1"/>
  <c r="L39" i="8"/>
  <c r="S318" i="1"/>
  <c r="Y318" i="1" s="1"/>
  <c r="T318" i="1"/>
  <c r="Z318" i="1" s="1"/>
  <c r="Q77" i="1" l="1"/>
  <c r="W77" i="1" s="1"/>
  <c r="P77" i="1"/>
  <c r="U238" i="1"/>
  <c r="AA238" i="1" s="1"/>
  <c r="R238" i="1"/>
  <c r="X238" i="1" s="1"/>
  <c r="O318" i="1"/>
  <c r="D105" i="8"/>
  <c r="Q105" i="8" l="1"/>
  <c r="Q318" i="1"/>
  <c r="W318" i="1" s="1"/>
  <c r="P318" i="1"/>
  <c r="U77" i="1"/>
  <c r="AA77" i="1" s="1"/>
  <c r="R77" i="1"/>
  <c r="X77" i="1" s="1"/>
  <c r="D39" i="8"/>
  <c r="Q39" i="8" l="1"/>
  <c r="U318" i="1"/>
  <c r="AA318" i="1" s="1"/>
  <c r="R318" i="1"/>
  <c r="X318" i="1" s="1"/>
  <c r="T264" i="1"/>
  <c r="Z264" i="1" s="1"/>
  <c r="S264" i="1"/>
  <c r="Y264" i="1" s="1"/>
  <c r="O264" i="1" l="1"/>
  <c r="Q264" i="1" l="1"/>
  <c r="W264" i="1" s="1"/>
  <c r="P264" i="1"/>
  <c r="U264" i="1" l="1"/>
  <c r="AA264" i="1" s="1"/>
  <c r="R264" i="1"/>
  <c r="X264" i="1" s="1"/>
  <c r="T100" i="1"/>
  <c r="Z100" i="1" s="1"/>
  <c r="O44" i="8"/>
  <c r="S100" i="1"/>
  <c r="Y100" i="1" s="1"/>
  <c r="F44" i="8"/>
  <c r="E44" i="8"/>
  <c r="P44" i="8" l="1"/>
  <c r="R44" i="8"/>
  <c r="O100" i="1"/>
  <c r="L44" i="8"/>
  <c r="Q100" i="1" l="1"/>
  <c r="W100" i="1" s="1"/>
  <c r="P100" i="1"/>
  <c r="T75" i="1"/>
  <c r="Z75" i="1" s="1"/>
  <c r="S75" i="1"/>
  <c r="Y75" i="1" s="1"/>
  <c r="U100" i="1" l="1"/>
  <c r="AA100" i="1" s="1"/>
  <c r="R100" i="1"/>
  <c r="X100" i="1" s="1"/>
  <c r="O75" i="1"/>
  <c r="D44" i="8"/>
  <c r="Q44" i="8" l="1"/>
  <c r="Q75" i="1"/>
  <c r="W75" i="1" s="1"/>
  <c r="P75" i="1"/>
  <c r="U75" i="1" l="1"/>
  <c r="AA75" i="1" s="1"/>
  <c r="R75" i="1"/>
  <c r="X75" i="1" s="1"/>
  <c r="T59" i="1"/>
  <c r="Z59" i="1" s="1"/>
  <c r="O35" i="8"/>
  <c r="S59" i="1"/>
  <c r="Y59" i="1" s="1"/>
  <c r="F35" i="8"/>
  <c r="E35" i="8"/>
  <c r="P35" i="8" l="1"/>
  <c r="R35" i="8"/>
  <c r="O59" i="1"/>
  <c r="L35" i="8"/>
  <c r="Q59" i="1" l="1"/>
  <c r="W59" i="1" s="1"/>
  <c r="P59" i="1"/>
  <c r="S353" i="1"/>
  <c r="Y353" i="1" s="1"/>
  <c r="T353" i="1"/>
  <c r="Z353" i="1" s="1"/>
  <c r="U59" i="1" l="1"/>
  <c r="AA59" i="1" s="1"/>
  <c r="R59" i="1"/>
  <c r="X59" i="1" s="1"/>
  <c r="O353" i="1"/>
  <c r="T231" i="1"/>
  <c r="Z231" i="1" s="1"/>
  <c r="O91" i="8"/>
  <c r="S231" i="1"/>
  <c r="Y231" i="1" s="1"/>
  <c r="E91" i="8"/>
  <c r="D35" i="8"/>
  <c r="F91" i="8"/>
  <c r="Q35" i="8" l="1"/>
  <c r="P91" i="8"/>
  <c r="R91" i="8"/>
  <c r="Q353" i="1"/>
  <c r="W353" i="1" s="1"/>
  <c r="P353" i="1"/>
  <c r="O231" i="1"/>
  <c r="L91" i="8"/>
  <c r="S153" i="1"/>
  <c r="Y153" i="1" s="1"/>
  <c r="T153" i="1"/>
  <c r="Z153" i="1" s="1"/>
  <c r="Q231" i="1" l="1"/>
  <c r="W231" i="1" s="1"/>
  <c r="P231" i="1"/>
  <c r="U353" i="1"/>
  <c r="AA353" i="1" s="1"/>
  <c r="R353" i="1"/>
  <c r="X353" i="1" s="1"/>
  <c r="O153" i="1"/>
  <c r="T36" i="1"/>
  <c r="Z36" i="1" s="1"/>
  <c r="S36" i="1"/>
  <c r="Y36" i="1" s="1"/>
  <c r="Q153" i="1" l="1"/>
  <c r="W153" i="1" s="1"/>
  <c r="P153" i="1"/>
  <c r="U231" i="1"/>
  <c r="AA231" i="1" s="1"/>
  <c r="R231" i="1"/>
  <c r="X231" i="1" s="1"/>
  <c r="O36" i="1"/>
  <c r="S155" i="1"/>
  <c r="Y155" i="1" s="1"/>
  <c r="T155" i="1"/>
  <c r="Z155" i="1" s="1"/>
  <c r="D91" i="8"/>
  <c r="Q91" i="8" l="1"/>
  <c r="Q36" i="1"/>
  <c r="W36" i="1" s="1"/>
  <c r="P36" i="1"/>
  <c r="U153" i="1"/>
  <c r="AA153" i="1" s="1"/>
  <c r="R153" i="1"/>
  <c r="X153" i="1" s="1"/>
  <c r="O155" i="1"/>
  <c r="T190" i="1"/>
  <c r="Z190" i="1" s="1"/>
  <c r="S190" i="1"/>
  <c r="Y190" i="1" s="1"/>
  <c r="Q155" i="1" l="1"/>
  <c r="W155" i="1" s="1"/>
  <c r="P155" i="1"/>
  <c r="U36" i="1"/>
  <c r="AA36" i="1" s="1"/>
  <c r="R36" i="1"/>
  <c r="X36" i="1" s="1"/>
  <c r="O190" i="1"/>
  <c r="P190" i="1" l="1"/>
  <c r="Q190" i="1"/>
  <c r="W190" i="1" s="1"/>
  <c r="U155" i="1"/>
  <c r="AA155" i="1" s="1"/>
  <c r="R155" i="1"/>
  <c r="X155" i="1" s="1"/>
  <c r="U190" i="1" l="1"/>
  <c r="AA190" i="1" s="1"/>
  <c r="R190" i="1"/>
  <c r="X190" i="1" s="1"/>
  <c r="T199" i="1"/>
  <c r="Z199" i="1" s="1"/>
  <c r="S199" i="1"/>
  <c r="Y199" i="1" s="1"/>
  <c r="O199" i="1" l="1"/>
  <c r="Q199" i="1" l="1"/>
  <c r="W199" i="1" s="1"/>
  <c r="P199" i="1"/>
  <c r="U199" i="1" l="1"/>
  <c r="AA199" i="1" s="1"/>
  <c r="R199" i="1"/>
  <c r="X199" i="1" s="1"/>
  <c r="T349" i="1"/>
  <c r="Z349" i="1" s="1"/>
  <c r="S349" i="1"/>
  <c r="Y349" i="1" s="1"/>
  <c r="O349" i="1" l="1"/>
  <c r="T43" i="1"/>
  <c r="Z43" i="1" s="1"/>
  <c r="O27" i="8"/>
  <c r="S43" i="1"/>
  <c r="Y43" i="1" s="1"/>
  <c r="F27" i="8"/>
  <c r="E27" i="8"/>
  <c r="P27" i="8" l="1"/>
  <c r="R27" i="8"/>
  <c r="Q349" i="1"/>
  <c r="W349" i="1" s="1"/>
  <c r="P349" i="1"/>
  <c r="O43" i="1"/>
  <c r="L27" i="8"/>
  <c r="Q43" i="1" l="1"/>
  <c r="W43" i="1" s="1"/>
  <c r="P43" i="1"/>
  <c r="U349" i="1"/>
  <c r="AA349" i="1" s="1"/>
  <c r="R349" i="1"/>
  <c r="X349" i="1" s="1"/>
  <c r="U43" i="1" l="1"/>
  <c r="AA43" i="1" s="1"/>
  <c r="R43" i="1"/>
  <c r="X43" i="1" s="1"/>
  <c r="D27" i="8"/>
  <c r="Q27" i="8" l="1"/>
  <c r="T227" i="1"/>
  <c r="Z227" i="1" s="1"/>
  <c r="O83" i="8"/>
  <c r="S227" i="1"/>
  <c r="Y227" i="1" s="1"/>
  <c r="F83" i="8"/>
  <c r="E83" i="8"/>
  <c r="P83" i="8" l="1"/>
  <c r="R83" i="8"/>
  <c r="O227" i="1"/>
  <c r="L83" i="8"/>
  <c r="T211" i="1"/>
  <c r="Z211" i="1" s="1"/>
  <c r="S211" i="1"/>
  <c r="Y211" i="1" s="1"/>
  <c r="P227" i="1" l="1"/>
  <c r="Q227" i="1"/>
  <c r="W227" i="1" s="1"/>
  <c r="O211" i="1"/>
  <c r="Q211" i="1" l="1"/>
  <c r="W211" i="1" s="1"/>
  <c r="P211" i="1"/>
  <c r="U227" i="1"/>
  <c r="AA227" i="1" s="1"/>
  <c r="R227" i="1"/>
  <c r="X227" i="1" s="1"/>
  <c r="T129" i="1"/>
  <c r="Z129" i="1" s="1"/>
  <c r="O51" i="8"/>
  <c r="S129" i="1"/>
  <c r="Y129" i="1" s="1"/>
  <c r="E51" i="8"/>
  <c r="D83" i="8"/>
  <c r="F51" i="8"/>
  <c r="Q83" i="8" l="1"/>
  <c r="P51" i="8"/>
  <c r="R51" i="8"/>
  <c r="U211" i="1"/>
  <c r="AA211" i="1" s="1"/>
  <c r="R211" i="1"/>
  <c r="X211" i="1" s="1"/>
  <c r="O129" i="1"/>
  <c r="L51" i="8"/>
  <c r="T204" i="1"/>
  <c r="Z204" i="1" s="1"/>
  <c r="S204" i="1"/>
  <c r="Y204" i="1" s="1"/>
  <c r="P129" i="1" l="1"/>
  <c r="Q129" i="1"/>
  <c r="W129" i="1" s="1"/>
  <c r="O204" i="1"/>
  <c r="T163" i="1"/>
  <c r="Z163" i="1" s="1"/>
  <c r="S163" i="1"/>
  <c r="Y163" i="1" s="1"/>
  <c r="Q204" i="1" l="1"/>
  <c r="W204" i="1" s="1"/>
  <c r="P204" i="1"/>
  <c r="U129" i="1"/>
  <c r="AA129" i="1" s="1"/>
  <c r="R129" i="1"/>
  <c r="X129" i="1" s="1"/>
  <c r="O163" i="1"/>
  <c r="S27" i="1"/>
  <c r="Y27" i="1" s="1"/>
  <c r="T27" i="1"/>
  <c r="Z27" i="1" s="1"/>
  <c r="D51" i="8"/>
  <c r="Q51" i="8" l="1"/>
  <c r="Q163" i="1"/>
  <c r="W163" i="1" s="1"/>
  <c r="P163" i="1"/>
  <c r="U204" i="1"/>
  <c r="AA204" i="1" s="1"/>
  <c r="R204" i="1"/>
  <c r="X204" i="1" s="1"/>
  <c r="O27" i="1"/>
  <c r="S250" i="1"/>
  <c r="Y250" i="1" s="1"/>
  <c r="T250" i="1"/>
  <c r="Z250" i="1" s="1"/>
  <c r="U163" i="1" l="1"/>
  <c r="AA163" i="1" s="1"/>
  <c r="R163" i="1"/>
  <c r="X163" i="1" s="1"/>
  <c r="O250" i="1"/>
  <c r="Q27" i="1"/>
  <c r="W27" i="1" s="1"/>
  <c r="P27" i="1"/>
  <c r="S317" i="1"/>
  <c r="Y317" i="1" s="1"/>
  <c r="T317" i="1"/>
  <c r="Z317" i="1" s="1"/>
  <c r="U27" i="1" l="1"/>
  <c r="AA27" i="1" s="1"/>
  <c r="R27" i="1"/>
  <c r="X27" i="1" s="1"/>
  <c r="Q250" i="1"/>
  <c r="W250" i="1" s="1"/>
  <c r="P250" i="1"/>
  <c r="O317" i="1"/>
  <c r="S157" i="1"/>
  <c r="Y157" i="1" s="1"/>
  <c r="T157" i="1"/>
  <c r="Z157" i="1" s="1"/>
  <c r="Q317" i="1" l="1"/>
  <c r="W317" i="1" s="1"/>
  <c r="P317" i="1"/>
  <c r="U250" i="1"/>
  <c r="AA250" i="1" s="1"/>
  <c r="R250" i="1"/>
  <c r="X250" i="1" s="1"/>
  <c r="O157" i="1"/>
  <c r="Q157" i="1" l="1"/>
  <c r="W157" i="1" s="1"/>
  <c r="P157" i="1"/>
  <c r="U317" i="1"/>
  <c r="AA317" i="1" s="1"/>
  <c r="R317" i="1"/>
  <c r="X317" i="1" s="1"/>
  <c r="U157" i="1" l="1"/>
  <c r="AA157" i="1" s="1"/>
  <c r="R157" i="1"/>
  <c r="X157" i="1" s="1"/>
  <c r="S206" i="1"/>
  <c r="Y206" i="1" s="1"/>
  <c r="T206" i="1"/>
  <c r="Z206" i="1" s="1"/>
  <c r="O206" i="1" l="1"/>
  <c r="T78" i="1"/>
  <c r="Z78" i="1" s="1"/>
  <c r="O41" i="8"/>
  <c r="S78" i="1"/>
  <c r="Y78" i="1" s="1"/>
  <c r="F41" i="8"/>
  <c r="E41" i="8"/>
  <c r="P41" i="8" l="1"/>
  <c r="R41" i="8"/>
  <c r="Q206" i="1"/>
  <c r="W206" i="1" s="1"/>
  <c r="P206" i="1"/>
  <c r="O78" i="1"/>
  <c r="L41" i="8"/>
  <c r="Q78" i="1" l="1"/>
  <c r="W78" i="1" s="1"/>
  <c r="P78" i="1"/>
  <c r="U206" i="1"/>
  <c r="AA206" i="1" s="1"/>
  <c r="R206" i="1"/>
  <c r="X206" i="1" s="1"/>
  <c r="S118" i="1"/>
  <c r="Y118" i="1" s="1"/>
  <c r="T118" i="1"/>
  <c r="Z118" i="1" s="1"/>
  <c r="U78" i="1" l="1"/>
  <c r="AA78" i="1" s="1"/>
  <c r="R78" i="1"/>
  <c r="X78" i="1" s="1"/>
  <c r="O118" i="1"/>
  <c r="D41" i="8"/>
  <c r="Q41" i="8" l="1"/>
  <c r="Q118" i="1"/>
  <c r="W118" i="1" s="1"/>
  <c r="P118" i="1"/>
  <c r="T145" i="1"/>
  <c r="Z145" i="1" s="1"/>
  <c r="S145" i="1"/>
  <c r="Y145" i="1" s="1"/>
  <c r="U118" i="1" l="1"/>
  <c r="AA118" i="1" s="1"/>
  <c r="R118" i="1"/>
  <c r="X118" i="1" s="1"/>
  <c r="O145" i="1"/>
  <c r="S69" i="1"/>
  <c r="Y69" i="1" s="1"/>
  <c r="T69" i="1"/>
  <c r="Z69" i="1" s="1"/>
  <c r="Q145" i="1" l="1"/>
  <c r="W145" i="1" s="1"/>
  <c r="P145" i="1"/>
  <c r="O69" i="1"/>
  <c r="T44" i="1"/>
  <c r="Z44" i="1" s="1"/>
  <c r="O29" i="8"/>
  <c r="S44" i="1"/>
  <c r="Y44" i="1" s="1"/>
  <c r="F29" i="8"/>
  <c r="E29" i="8"/>
  <c r="P29" i="8" l="1"/>
  <c r="R29" i="8"/>
  <c r="Q69" i="1"/>
  <c r="W69" i="1" s="1"/>
  <c r="P69" i="1"/>
  <c r="U145" i="1"/>
  <c r="AA145" i="1" s="1"/>
  <c r="R145" i="1"/>
  <c r="X145" i="1" s="1"/>
  <c r="O44" i="1"/>
  <c r="L29" i="8"/>
  <c r="Q44" i="1" l="1"/>
  <c r="W44" i="1" s="1"/>
  <c r="P44" i="1"/>
  <c r="U69" i="1"/>
  <c r="AA69" i="1" s="1"/>
  <c r="R69" i="1"/>
  <c r="X69" i="1" s="1"/>
  <c r="U44" i="1" l="1"/>
  <c r="AA44" i="1" s="1"/>
  <c r="R44" i="1"/>
  <c r="X44" i="1" s="1"/>
  <c r="T52" i="1"/>
  <c r="Z52" i="1" s="1"/>
  <c r="S52" i="1"/>
  <c r="Y52" i="1" s="1"/>
  <c r="D29" i="8"/>
  <c r="Q29" i="8" l="1"/>
  <c r="O52" i="1"/>
  <c r="S255" i="1"/>
  <c r="Y255" i="1" s="1"/>
  <c r="T255" i="1"/>
  <c r="Z255" i="1" s="1"/>
  <c r="Q52" i="1" l="1"/>
  <c r="W52" i="1" s="1"/>
  <c r="P52" i="1"/>
  <c r="O255" i="1"/>
  <c r="T91" i="1"/>
  <c r="Z91" i="1" s="1"/>
  <c r="O26" i="8"/>
  <c r="S91" i="1"/>
  <c r="Y91" i="1" s="1"/>
  <c r="F26" i="8"/>
  <c r="E26" i="8"/>
  <c r="P26" i="8" l="1"/>
  <c r="R26" i="8"/>
  <c r="Q255" i="1"/>
  <c r="W255" i="1" s="1"/>
  <c r="P255" i="1"/>
  <c r="U52" i="1"/>
  <c r="AA52" i="1" s="1"/>
  <c r="R52" i="1"/>
  <c r="X52" i="1" s="1"/>
  <c r="O91" i="1"/>
  <c r="L26" i="8"/>
  <c r="P91" i="1" l="1"/>
  <c r="Q91" i="1"/>
  <c r="W91" i="1" s="1"/>
  <c r="U255" i="1"/>
  <c r="AA255" i="1" s="1"/>
  <c r="R255" i="1"/>
  <c r="X255" i="1" s="1"/>
  <c r="S38" i="1"/>
  <c r="Y38" i="1" s="1"/>
  <c r="T38" i="1"/>
  <c r="Z38" i="1" s="1"/>
  <c r="U91" i="1" l="1"/>
  <c r="AA91" i="1" s="1"/>
  <c r="R91" i="1"/>
  <c r="X91" i="1" s="1"/>
  <c r="O38" i="1"/>
  <c r="D26" i="8"/>
  <c r="Q26" i="8" l="1"/>
  <c r="Q38" i="1"/>
  <c r="W38" i="1" s="1"/>
  <c r="P38" i="1"/>
  <c r="T39" i="1"/>
  <c r="Z39" i="1" s="1"/>
  <c r="S39" i="1"/>
  <c r="Y39" i="1" s="1"/>
  <c r="U38" i="1" l="1"/>
  <c r="AA38" i="1" s="1"/>
  <c r="R38" i="1"/>
  <c r="X38" i="1" s="1"/>
  <c r="O39" i="1"/>
  <c r="T21" i="1"/>
  <c r="Z21" i="1" s="1"/>
  <c r="O19" i="8"/>
  <c r="S21" i="1"/>
  <c r="Y21" i="1" s="1"/>
  <c r="E19" i="8"/>
  <c r="F19" i="8"/>
  <c r="P19" i="8" l="1"/>
  <c r="R19" i="8"/>
  <c r="Q39" i="1"/>
  <c r="W39" i="1" s="1"/>
  <c r="P39" i="1"/>
  <c r="O21" i="1"/>
  <c r="L19" i="8"/>
  <c r="S18" i="1"/>
  <c r="Y18" i="1" s="1"/>
  <c r="T18" i="1"/>
  <c r="Z18" i="1" s="1"/>
  <c r="P21" i="1" l="1"/>
  <c r="Q21" i="1"/>
  <c r="W21" i="1" s="1"/>
  <c r="U39" i="1"/>
  <c r="AA39" i="1" s="1"/>
  <c r="R39" i="1"/>
  <c r="X39" i="1" s="1"/>
  <c r="O18" i="1"/>
  <c r="Q18" i="1" l="1"/>
  <c r="W18" i="1" s="1"/>
  <c r="P18" i="1"/>
  <c r="U21" i="1"/>
  <c r="AA21" i="1" s="1"/>
  <c r="R21" i="1"/>
  <c r="X21" i="1" s="1"/>
  <c r="D19" i="8"/>
  <c r="Q19" i="8" l="1"/>
  <c r="U18" i="1"/>
  <c r="AA18" i="1" s="1"/>
  <c r="R18" i="1"/>
  <c r="X18" i="1" s="1"/>
  <c r="T347" i="1"/>
  <c r="Z347" i="1" s="1"/>
  <c r="S347" i="1"/>
  <c r="Y347" i="1" s="1"/>
  <c r="O347" i="1" l="1"/>
  <c r="Q347" i="1" l="1"/>
  <c r="W347" i="1" s="1"/>
  <c r="P347" i="1"/>
  <c r="U347" i="1" l="1"/>
  <c r="AA347" i="1" s="1"/>
  <c r="R347" i="1"/>
  <c r="X347" i="1" s="1"/>
  <c r="T225" i="1"/>
  <c r="Z225" i="1" s="1"/>
  <c r="O79" i="8"/>
  <c r="S225" i="1"/>
  <c r="Y225" i="1" s="1"/>
  <c r="F79" i="8"/>
  <c r="E79" i="8"/>
  <c r="P79" i="8" l="1"/>
  <c r="R79" i="8"/>
  <c r="O225" i="1"/>
  <c r="L79" i="8"/>
  <c r="Q225" i="1" l="1"/>
  <c r="W225" i="1" s="1"/>
  <c r="P225" i="1"/>
  <c r="S53" i="1"/>
  <c r="Y53" i="1" s="1"/>
  <c r="T53" i="1"/>
  <c r="Z53" i="1" s="1"/>
  <c r="U225" i="1" l="1"/>
  <c r="AA225" i="1" s="1"/>
  <c r="R225" i="1"/>
  <c r="X225" i="1" s="1"/>
  <c r="O53" i="1"/>
  <c r="S357" i="1"/>
  <c r="Y357" i="1" s="1"/>
  <c r="T357" i="1"/>
  <c r="Z357" i="1" s="1"/>
  <c r="D79" i="8"/>
  <c r="Q79" i="8" l="1"/>
  <c r="Q53" i="1"/>
  <c r="W53" i="1" s="1"/>
  <c r="P53" i="1"/>
  <c r="O357" i="1"/>
  <c r="Q357" i="1" l="1"/>
  <c r="W357" i="1" s="1"/>
  <c r="P357" i="1"/>
  <c r="U53" i="1"/>
  <c r="AA53" i="1" s="1"/>
  <c r="R53" i="1"/>
  <c r="X53" i="1" s="1"/>
  <c r="T235" i="1"/>
  <c r="Z235" i="1" s="1"/>
  <c r="O99" i="8"/>
  <c r="S235" i="1"/>
  <c r="Y235" i="1" s="1"/>
  <c r="E99" i="8"/>
  <c r="F99" i="8"/>
  <c r="P99" i="8" l="1"/>
  <c r="R99" i="8"/>
  <c r="U357" i="1"/>
  <c r="AA357" i="1" s="1"/>
  <c r="R357" i="1"/>
  <c r="X357" i="1" s="1"/>
  <c r="O235" i="1"/>
  <c r="L99" i="8"/>
  <c r="S289" i="1"/>
  <c r="Y289" i="1" s="1"/>
  <c r="T289" i="1"/>
  <c r="Z289" i="1" s="1"/>
  <c r="Q235" i="1" l="1"/>
  <c r="W235" i="1" s="1"/>
  <c r="P235" i="1"/>
  <c r="O289" i="1"/>
  <c r="Q289" i="1" l="1"/>
  <c r="W289" i="1" s="1"/>
  <c r="P289" i="1"/>
  <c r="U235" i="1"/>
  <c r="AA235" i="1" s="1"/>
  <c r="R235" i="1"/>
  <c r="X235" i="1" s="1"/>
  <c r="T187" i="1"/>
  <c r="Z187" i="1" s="1"/>
  <c r="O94" i="8"/>
  <c r="S187" i="1"/>
  <c r="Y187" i="1" s="1"/>
  <c r="E94" i="8"/>
  <c r="D99" i="8"/>
  <c r="F94" i="8"/>
  <c r="Q99" i="8" l="1"/>
  <c r="P94" i="8"/>
  <c r="R94" i="8"/>
  <c r="U289" i="1"/>
  <c r="AA289" i="1" s="1"/>
  <c r="R289" i="1"/>
  <c r="X289" i="1" s="1"/>
  <c r="O187" i="1"/>
  <c r="L94" i="8"/>
  <c r="S48" i="1"/>
  <c r="Y48" i="1" s="1"/>
  <c r="T48" i="1"/>
  <c r="Z48" i="1" s="1"/>
  <c r="Q187" i="1" l="1"/>
  <c r="W187" i="1" s="1"/>
  <c r="P187" i="1"/>
  <c r="O48" i="1"/>
  <c r="Q48" i="1" l="1"/>
  <c r="W48" i="1" s="1"/>
  <c r="P48" i="1"/>
  <c r="U187" i="1"/>
  <c r="AA187" i="1" s="1"/>
  <c r="R187" i="1"/>
  <c r="X187" i="1" s="1"/>
  <c r="D94" i="8"/>
  <c r="Q94" i="8" l="1"/>
  <c r="U48" i="1"/>
  <c r="AA48" i="1" s="1"/>
  <c r="R48" i="1"/>
  <c r="X48" i="1" s="1"/>
  <c r="S215" i="1"/>
  <c r="Y215" i="1" s="1"/>
  <c r="T215" i="1"/>
  <c r="Z215" i="1" s="1"/>
  <c r="O215" i="1" l="1"/>
  <c r="S338" i="1"/>
  <c r="Y338" i="1" s="1"/>
  <c r="T338" i="1"/>
  <c r="Z338" i="1" s="1"/>
  <c r="Q215" i="1" l="1"/>
  <c r="W215" i="1" s="1"/>
  <c r="P215" i="1"/>
  <c r="O338" i="1"/>
  <c r="T133" i="1"/>
  <c r="Z133" i="1" s="1"/>
  <c r="O59" i="8"/>
  <c r="S133" i="1"/>
  <c r="Y133" i="1" s="1"/>
  <c r="F59" i="8"/>
  <c r="E59" i="8"/>
  <c r="P59" i="8" l="1"/>
  <c r="R59" i="8"/>
  <c r="Q338" i="1"/>
  <c r="W338" i="1" s="1"/>
  <c r="P338" i="1"/>
  <c r="U215" i="1"/>
  <c r="AA215" i="1" s="1"/>
  <c r="R215" i="1"/>
  <c r="X215" i="1" s="1"/>
  <c r="O133" i="1"/>
  <c r="L59" i="8"/>
  <c r="P133" i="1" l="1"/>
  <c r="Q133" i="1"/>
  <c r="W133" i="1" s="1"/>
  <c r="U338" i="1"/>
  <c r="AA338" i="1" s="1"/>
  <c r="R338" i="1"/>
  <c r="X338" i="1" s="1"/>
  <c r="U133" i="1" l="1"/>
  <c r="AA133" i="1" s="1"/>
  <c r="R133" i="1"/>
  <c r="X133" i="1" s="1"/>
  <c r="D59" i="8"/>
  <c r="Q59" i="8" l="1"/>
  <c r="T50" i="1"/>
  <c r="Z50" i="1" s="1"/>
  <c r="S50" i="1"/>
  <c r="Y50" i="1" s="1"/>
  <c r="O50" i="1" l="1"/>
  <c r="Q50" i="1" l="1"/>
  <c r="W50" i="1" s="1"/>
  <c r="P50" i="1"/>
  <c r="U50" i="1" l="1"/>
  <c r="AA50" i="1" s="1"/>
  <c r="R50" i="1"/>
  <c r="X50" i="1" s="1"/>
  <c r="T20" i="1" l="1"/>
  <c r="Z20" i="1" s="1"/>
  <c r="O17" i="8"/>
  <c r="S20" i="1"/>
  <c r="Y20" i="1" s="1"/>
  <c r="F17" i="8"/>
  <c r="E17" i="8"/>
  <c r="P17" i="8" l="1"/>
  <c r="R17" i="8"/>
  <c r="O20" i="1"/>
  <c r="L17" i="8"/>
  <c r="T251" i="1"/>
  <c r="Z251" i="1" s="1"/>
  <c r="S251" i="1"/>
  <c r="Y251" i="1" s="1"/>
  <c r="Q20" i="1" l="1"/>
  <c r="W20" i="1" s="1"/>
  <c r="P20" i="1"/>
  <c r="O251" i="1"/>
  <c r="Q251" i="1" l="1"/>
  <c r="W251" i="1" s="1"/>
  <c r="P251" i="1"/>
  <c r="U20" i="1"/>
  <c r="AA20" i="1" s="1"/>
  <c r="R20" i="1"/>
  <c r="X20" i="1" s="1"/>
  <c r="D17" i="8"/>
  <c r="Q17" i="8" l="1"/>
  <c r="U251" i="1"/>
  <c r="AA251" i="1" s="1"/>
  <c r="R251" i="1"/>
  <c r="X251" i="1" s="1"/>
  <c r="T284" i="1"/>
  <c r="Z284" i="1" s="1"/>
  <c r="S284" i="1"/>
  <c r="Y284" i="1" s="1"/>
  <c r="O284" i="1" l="1"/>
  <c r="Q284" i="1" l="1"/>
  <c r="W284" i="1" s="1"/>
  <c r="P284" i="1"/>
  <c r="U284" i="1" l="1"/>
  <c r="AA284" i="1" s="1"/>
  <c r="R284" i="1"/>
  <c r="X284" i="1" s="1"/>
  <c r="T182" i="1" l="1"/>
  <c r="Z182" i="1" s="1"/>
  <c r="O84" i="8"/>
  <c r="S182" i="1"/>
  <c r="Y182" i="1" s="1"/>
  <c r="F84" i="8"/>
  <c r="E84" i="8"/>
  <c r="P84" i="8" l="1"/>
  <c r="R84" i="8"/>
  <c r="O182" i="1"/>
  <c r="L84" i="8"/>
  <c r="T29" i="1"/>
  <c r="Z29" i="1" s="1"/>
  <c r="O18" i="8"/>
  <c r="S29" i="1"/>
  <c r="Y29" i="1" s="1"/>
  <c r="E18" i="8"/>
  <c r="F18" i="8"/>
  <c r="P18" i="8" l="1"/>
  <c r="R18" i="8"/>
  <c r="Q182" i="1"/>
  <c r="W182" i="1" s="1"/>
  <c r="P182" i="1"/>
  <c r="O29" i="1"/>
  <c r="L18" i="8"/>
  <c r="Q29" i="1" l="1"/>
  <c r="W29" i="1" s="1"/>
  <c r="P29" i="1"/>
  <c r="U182" i="1"/>
  <c r="AA182" i="1" s="1"/>
  <c r="R182" i="1"/>
  <c r="X182" i="1" s="1"/>
  <c r="T209" i="1"/>
  <c r="Z209" i="1" s="1"/>
  <c r="S209" i="1"/>
  <c r="Y209" i="1" s="1"/>
  <c r="D84" i="8"/>
  <c r="Q84" i="8" l="1"/>
  <c r="U29" i="1"/>
  <c r="AA29" i="1" s="1"/>
  <c r="R29" i="1"/>
  <c r="X29" i="1" s="1"/>
  <c r="O209" i="1"/>
  <c r="T127" i="1"/>
  <c r="Z127" i="1" s="1"/>
  <c r="O47" i="8"/>
  <c r="S127" i="1"/>
  <c r="Y127" i="1" s="1"/>
  <c r="E47" i="8"/>
  <c r="D18" i="8"/>
  <c r="F47" i="8"/>
  <c r="Q18" i="8" l="1"/>
  <c r="P47" i="8"/>
  <c r="R47" i="8"/>
  <c r="Q209" i="1"/>
  <c r="W209" i="1" s="1"/>
  <c r="P209" i="1"/>
  <c r="O127" i="1"/>
  <c r="L47" i="8"/>
  <c r="P127" i="1" l="1"/>
  <c r="Q127" i="1"/>
  <c r="W127" i="1" s="1"/>
  <c r="U209" i="1"/>
  <c r="AA209" i="1" s="1"/>
  <c r="R209" i="1"/>
  <c r="X209" i="1" s="1"/>
  <c r="U127" i="1" l="1"/>
  <c r="AA127" i="1" s="1"/>
  <c r="R127" i="1"/>
  <c r="X127" i="1" s="1"/>
  <c r="S272" i="1"/>
  <c r="Y272" i="1" s="1"/>
  <c r="T272" i="1"/>
  <c r="Z272" i="1" s="1"/>
  <c r="D47" i="8"/>
  <c r="Q47" i="8" l="1"/>
  <c r="O272" i="1"/>
  <c r="Q272" i="1" l="1"/>
  <c r="W272" i="1" s="1"/>
  <c r="P272" i="1"/>
  <c r="U272" i="1" l="1"/>
  <c r="AA272" i="1" s="1"/>
  <c r="R272" i="1"/>
  <c r="X272" i="1" s="1"/>
  <c r="T212" i="1"/>
  <c r="Z212" i="1" s="1"/>
  <c r="S212" i="1"/>
  <c r="Y212" i="1" s="1"/>
  <c r="O212" i="1" l="1"/>
  <c r="Q212" i="1" l="1"/>
  <c r="W212" i="1" s="1"/>
  <c r="P212" i="1"/>
  <c r="U212" i="1" l="1"/>
  <c r="AA212" i="1" s="1"/>
  <c r="R212" i="1"/>
  <c r="X212" i="1" s="1"/>
  <c r="T130" i="1" l="1"/>
  <c r="Z130" i="1" s="1"/>
  <c r="O53" i="8"/>
  <c r="S130" i="1"/>
  <c r="Y130" i="1" s="1"/>
  <c r="F53" i="8"/>
  <c r="E53" i="8"/>
  <c r="P53" i="8" l="1"/>
  <c r="R53" i="8"/>
  <c r="O130" i="1"/>
  <c r="L53" i="8"/>
  <c r="T170" i="1"/>
  <c r="Z170" i="1" s="1"/>
  <c r="O60" i="8"/>
  <c r="S170" i="1"/>
  <c r="Y170" i="1" s="1"/>
  <c r="E60" i="8"/>
  <c r="F60" i="8"/>
  <c r="P60" i="8" l="1"/>
  <c r="R60" i="8"/>
  <c r="Q130" i="1"/>
  <c r="W130" i="1" s="1"/>
  <c r="P130" i="1"/>
  <c r="O170" i="1"/>
  <c r="L60" i="8"/>
  <c r="Q170" i="1" l="1"/>
  <c r="W170" i="1" s="1"/>
  <c r="P170" i="1"/>
  <c r="U130" i="1"/>
  <c r="AA130" i="1" s="1"/>
  <c r="R130" i="1"/>
  <c r="X130" i="1" s="1"/>
  <c r="S350" i="1"/>
  <c r="Y350" i="1" s="1"/>
  <c r="T350" i="1"/>
  <c r="Z350" i="1" s="1"/>
  <c r="D53" i="8"/>
  <c r="Q53" i="8" l="1"/>
  <c r="U170" i="1"/>
  <c r="AA170" i="1" s="1"/>
  <c r="R170" i="1"/>
  <c r="X170" i="1" s="1"/>
  <c r="O350" i="1"/>
  <c r="T228" i="1"/>
  <c r="Z228" i="1" s="1"/>
  <c r="O85" i="8"/>
  <c r="S228" i="1"/>
  <c r="Y228" i="1" s="1"/>
  <c r="E85" i="8"/>
  <c r="D60" i="8"/>
  <c r="F85" i="8"/>
  <c r="Q60" i="8" l="1"/>
  <c r="P85" i="8"/>
  <c r="R85" i="8"/>
  <c r="Q350" i="1"/>
  <c r="W350" i="1" s="1"/>
  <c r="P350" i="1"/>
  <c r="O228" i="1"/>
  <c r="L85" i="8"/>
  <c r="P228" i="1" l="1"/>
  <c r="Q228" i="1"/>
  <c r="W228" i="1" s="1"/>
  <c r="U350" i="1"/>
  <c r="AA350" i="1" s="1"/>
  <c r="R350" i="1"/>
  <c r="X350" i="1" s="1"/>
  <c r="U228" i="1" l="1"/>
  <c r="AA228" i="1" s="1"/>
  <c r="R228" i="1"/>
  <c r="X228" i="1" s="1"/>
  <c r="D85" i="8"/>
  <c r="Q85" i="8" l="1"/>
  <c r="T286" i="1"/>
  <c r="Z286" i="1" s="1"/>
  <c r="S286" i="1"/>
  <c r="Y286" i="1" s="1"/>
  <c r="O286" i="1" l="1"/>
  <c r="Q286" i="1" l="1"/>
  <c r="W286" i="1" s="1"/>
  <c r="P286" i="1"/>
  <c r="T256" i="1"/>
  <c r="Z256" i="1" s="1"/>
  <c r="S256" i="1"/>
  <c r="Y256" i="1" s="1"/>
  <c r="U286" i="1" l="1"/>
  <c r="AA286" i="1" s="1"/>
  <c r="R286" i="1"/>
  <c r="X286" i="1" s="1"/>
  <c r="O256" i="1"/>
  <c r="Q256" i="1" l="1"/>
  <c r="W256" i="1" s="1"/>
  <c r="P256" i="1"/>
  <c r="T184" i="1"/>
  <c r="Z184" i="1" s="1"/>
  <c r="O88" i="8"/>
  <c r="S184" i="1"/>
  <c r="Y184" i="1" s="1"/>
  <c r="F88" i="8"/>
  <c r="E88" i="8"/>
  <c r="P88" i="8" l="1"/>
  <c r="R88" i="8"/>
  <c r="U256" i="1"/>
  <c r="AA256" i="1" s="1"/>
  <c r="R256" i="1"/>
  <c r="X256" i="1" s="1"/>
  <c r="O184" i="1"/>
  <c r="L88" i="8"/>
  <c r="T92" i="1"/>
  <c r="Z92" i="1" s="1"/>
  <c r="O28" i="8"/>
  <c r="S92" i="1"/>
  <c r="Y92" i="1" s="1"/>
  <c r="F28" i="8"/>
  <c r="E28" i="8"/>
  <c r="P28" i="8" l="1"/>
  <c r="R28" i="8"/>
  <c r="P184" i="1"/>
  <c r="Q184" i="1"/>
  <c r="W184" i="1" s="1"/>
  <c r="O92" i="1"/>
  <c r="L28" i="8"/>
  <c r="P92" i="1" l="1"/>
  <c r="Q92" i="1"/>
  <c r="W92" i="1" s="1"/>
  <c r="U184" i="1"/>
  <c r="AA184" i="1" s="1"/>
  <c r="R184" i="1"/>
  <c r="X184" i="1" s="1"/>
  <c r="D88" i="8"/>
  <c r="Q88" i="8" l="1"/>
  <c r="U92" i="1"/>
  <c r="AA92" i="1" s="1"/>
  <c r="R92" i="1"/>
  <c r="X92" i="1" s="1"/>
  <c r="D28" i="8"/>
  <c r="Q28" i="8" l="1"/>
  <c r="S25" i="1"/>
  <c r="Y25" i="1" s="1"/>
  <c r="T25" i="1"/>
  <c r="Z25" i="1" s="1"/>
  <c r="O25" i="1" l="1"/>
  <c r="T11" i="1"/>
  <c r="Z11" i="1" s="1"/>
  <c r="S11" i="1"/>
  <c r="Y11" i="1" s="1"/>
  <c r="O10" i="8"/>
  <c r="F10" i="8"/>
  <c r="E10" i="8"/>
  <c r="P10" i="8" l="1"/>
  <c r="R10" i="8"/>
  <c r="Q25" i="1"/>
  <c r="W25" i="1" s="1"/>
  <c r="P25" i="1"/>
  <c r="O11" i="1"/>
  <c r="L10" i="8"/>
  <c r="Q11" i="1" l="1"/>
  <c r="W11" i="1" s="1"/>
  <c r="P11" i="1"/>
  <c r="U25" i="1"/>
  <c r="AA25" i="1" s="1"/>
  <c r="R25" i="1"/>
  <c r="X25" i="1" s="1"/>
  <c r="U11" i="1" l="1"/>
  <c r="AA11" i="1" s="1"/>
  <c r="R11" i="1"/>
  <c r="X11" i="1" s="1"/>
  <c r="D10" i="8"/>
  <c r="Q10" i="8" l="1"/>
  <c r="S165" i="1"/>
  <c r="Y165" i="1" s="1"/>
  <c r="T165" i="1"/>
  <c r="Z165" i="1" s="1"/>
  <c r="O165" i="1" l="1"/>
  <c r="Q165" i="1" l="1"/>
  <c r="W165" i="1" s="1"/>
  <c r="P165" i="1"/>
  <c r="U165" i="1" l="1"/>
  <c r="AA165" i="1" s="1"/>
  <c r="R165" i="1"/>
  <c r="X165" i="1" s="1"/>
  <c r="T34" i="1" l="1"/>
  <c r="Z34" i="1" s="1"/>
  <c r="S34" i="1"/>
  <c r="Y34" i="1" s="1"/>
  <c r="O34" i="1" l="1"/>
  <c r="Q34" i="1" l="1"/>
  <c r="W34" i="1" s="1"/>
  <c r="P34" i="1"/>
  <c r="U34" i="1" l="1"/>
  <c r="AA34" i="1" s="1"/>
  <c r="R34" i="1"/>
  <c r="X34" i="1" s="1"/>
  <c r="T103" i="1"/>
  <c r="Z103" i="1" s="1"/>
  <c r="O50" i="8"/>
  <c r="S103" i="1"/>
  <c r="Y103" i="1" s="1"/>
  <c r="F50" i="8"/>
  <c r="E50" i="8"/>
  <c r="P50" i="8" l="1"/>
  <c r="R50" i="8"/>
  <c r="O103" i="1"/>
  <c r="L50" i="8"/>
  <c r="T6" i="1"/>
  <c r="Z6" i="1" s="1"/>
  <c r="O9" i="8"/>
  <c r="S6" i="1"/>
  <c r="Y6" i="1" s="1"/>
  <c r="E9" i="8"/>
  <c r="F9" i="8"/>
  <c r="P9" i="8" l="1"/>
  <c r="R9" i="8"/>
  <c r="P103" i="1"/>
  <c r="Q103" i="1"/>
  <c r="W103" i="1" s="1"/>
  <c r="O6" i="1"/>
  <c r="L9" i="8"/>
  <c r="Q6" i="1" l="1"/>
  <c r="W6" i="1" s="1"/>
  <c r="P6" i="1"/>
  <c r="U103" i="1"/>
  <c r="AA103" i="1" s="1"/>
  <c r="R103" i="1"/>
  <c r="X103" i="1" s="1"/>
  <c r="T275" i="1"/>
  <c r="Z275" i="1" s="1"/>
  <c r="S275" i="1"/>
  <c r="Y275" i="1" s="1"/>
  <c r="D50" i="8"/>
  <c r="Q50" i="8" l="1"/>
  <c r="U6" i="1"/>
  <c r="AA6" i="1" s="1"/>
  <c r="R6" i="1"/>
  <c r="X6" i="1" s="1"/>
  <c r="O275" i="1"/>
  <c r="D9" i="8"/>
  <c r="Q9" i="8" l="1"/>
  <c r="Q275" i="1"/>
  <c r="W275" i="1" s="1"/>
  <c r="P275" i="1"/>
  <c r="U275" i="1" l="1"/>
  <c r="AA275" i="1" s="1"/>
  <c r="R275" i="1"/>
  <c r="X275" i="1" s="1"/>
  <c r="T173" i="1" l="1"/>
  <c r="Z173" i="1" s="1"/>
  <c r="O66" i="8"/>
  <c r="S173" i="1"/>
  <c r="Y173" i="1" s="1"/>
  <c r="F66" i="8"/>
  <c r="E66" i="8"/>
  <c r="P66" i="8" l="1"/>
  <c r="R66" i="8"/>
  <c r="O173" i="1"/>
  <c r="L66" i="8"/>
  <c r="S257" i="1"/>
  <c r="Y257" i="1" s="1"/>
  <c r="T257" i="1"/>
  <c r="Z257" i="1" s="1"/>
  <c r="P173" i="1" l="1"/>
  <c r="Q173" i="1"/>
  <c r="W173" i="1" s="1"/>
  <c r="O257" i="1"/>
  <c r="Q257" i="1" l="1"/>
  <c r="W257" i="1" s="1"/>
  <c r="P257" i="1"/>
  <c r="U173" i="1"/>
  <c r="AA173" i="1" s="1"/>
  <c r="R173" i="1"/>
  <c r="X173" i="1" s="1"/>
  <c r="D66" i="8"/>
  <c r="Q66" i="8" l="1"/>
  <c r="U257" i="1"/>
  <c r="AA257" i="1" s="1"/>
  <c r="R257" i="1"/>
  <c r="X257" i="1" s="1"/>
  <c r="S265" i="1"/>
  <c r="Y265" i="1" s="1"/>
  <c r="T265" i="1"/>
  <c r="Z265" i="1" s="1"/>
  <c r="O265" i="1" l="1"/>
  <c r="Q265" i="1" l="1"/>
  <c r="W265" i="1" s="1"/>
  <c r="P265" i="1"/>
  <c r="U265" i="1" l="1"/>
  <c r="AA265" i="1" s="1"/>
  <c r="R265" i="1"/>
  <c r="X265" i="1" s="1"/>
  <c r="T101" i="1" l="1"/>
  <c r="Z101" i="1" s="1"/>
  <c r="O46" i="8"/>
  <c r="S101" i="1"/>
  <c r="Y101" i="1" s="1"/>
  <c r="F46" i="8"/>
  <c r="E46" i="8"/>
  <c r="P46" i="8" l="1"/>
  <c r="R46" i="8"/>
  <c r="O101" i="1"/>
  <c r="L46" i="8"/>
  <c r="T93" i="1"/>
  <c r="Z93" i="1" s="1"/>
  <c r="O30" i="8"/>
  <c r="S93" i="1"/>
  <c r="Y93" i="1" s="1"/>
  <c r="E30" i="8"/>
  <c r="F30" i="8"/>
  <c r="P30" i="8" l="1"/>
  <c r="R30" i="8"/>
  <c r="Q101" i="1"/>
  <c r="W101" i="1" s="1"/>
  <c r="P101" i="1"/>
  <c r="O93" i="1"/>
  <c r="L30" i="8"/>
  <c r="P93" i="1" l="1"/>
  <c r="Q93" i="1"/>
  <c r="W93" i="1" s="1"/>
  <c r="U101" i="1"/>
  <c r="AA101" i="1" s="1"/>
  <c r="R101" i="1"/>
  <c r="X101" i="1" s="1"/>
  <c r="S335" i="1"/>
  <c r="Y335" i="1" s="1"/>
  <c r="T335" i="1"/>
  <c r="Z335" i="1" s="1"/>
  <c r="D46" i="8"/>
  <c r="Q46" i="8" l="1"/>
  <c r="U93" i="1"/>
  <c r="AA93" i="1" s="1"/>
  <c r="R93" i="1"/>
  <c r="X93" i="1" s="1"/>
  <c r="O335" i="1"/>
  <c r="D30" i="8"/>
  <c r="Q30" i="8" l="1"/>
  <c r="Q335" i="1"/>
  <c r="W335" i="1" s="1"/>
  <c r="P335" i="1"/>
  <c r="U335" i="1" l="1"/>
  <c r="AA335" i="1" s="1"/>
  <c r="R335" i="1"/>
  <c r="X335" i="1" s="1"/>
  <c r="T279" i="1"/>
  <c r="Z279" i="1" s="1"/>
  <c r="S279" i="1"/>
  <c r="Y279" i="1" s="1"/>
  <c r="O279" i="1" l="1"/>
  <c r="T131" i="1"/>
  <c r="Z131" i="1" s="1"/>
  <c r="O55" i="8"/>
  <c r="S131" i="1"/>
  <c r="Y131" i="1" s="1"/>
  <c r="F55" i="8"/>
  <c r="E55" i="8"/>
  <c r="P55" i="8" l="1"/>
  <c r="R55" i="8"/>
  <c r="Q279" i="1"/>
  <c r="W279" i="1" s="1"/>
  <c r="P279" i="1"/>
  <c r="O131" i="1"/>
  <c r="L55" i="8"/>
  <c r="P131" i="1" l="1"/>
  <c r="Q131" i="1"/>
  <c r="W131" i="1" s="1"/>
  <c r="U279" i="1"/>
  <c r="AA279" i="1" s="1"/>
  <c r="R279" i="1"/>
  <c r="X279" i="1" s="1"/>
  <c r="U131" i="1" l="1"/>
  <c r="AA131" i="1" s="1"/>
  <c r="R131" i="1"/>
  <c r="X131" i="1" s="1"/>
  <c r="T177" i="1"/>
  <c r="Z177" i="1" s="1"/>
  <c r="O74" i="8"/>
  <c r="S177" i="1"/>
  <c r="Y177" i="1" s="1"/>
  <c r="D55" i="8"/>
  <c r="F74" i="8"/>
  <c r="E74" i="8"/>
  <c r="P74" i="8" l="1"/>
  <c r="Q55" i="8"/>
  <c r="R74" i="8"/>
  <c r="O177" i="1"/>
  <c r="L74" i="8"/>
  <c r="L37" i="8" l="1"/>
  <c r="O332" i="1" l="1"/>
  <c r="T128" i="1"/>
  <c r="Z128" i="1" s="1"/>
  <c r="O49" i="8"/>
  <c r="S128" i="1"/>
  <c r="Y128" i="1" s="1"/>
  <c r="Q332" i="1" l="1"/>
  <c r="W332" i="1" s="1"/>
  <c r="P332" i="1"/>
  <c r="O128" i="1"/>
  <c r="L49" i="8"/>
  <c r="U332" i="1" l="1"/>
  <c r="AA332" i="1" s="1"/>
  <c r="R332" i="1"/>
  <c r="X332" i="1" s="1"/>
  <c r="S73" i="1" l="1"/>
  <c r="Y73" i="1" s="1"/>
  <c r="T73" i="1"/>
  <c r="Z73" i="1" s="1"/>
  <c r="O73" i="1" l="1"/>
  <c r="Q73" i="1" l="1"/>
  <c r="W73" i="1" s="1"/>
  <c r="P73" i="1"/>
  <c r="O223" i="1"/>
  <c r="Q223" i="1" l="1"/>
  <c r="W223" i="1" s="1"/>
  <c r="P223" i="1"/>
  <c r="U73" i="1"/>
  <c r="AA73" i="1" s="1"/>
  <c r="R73" i="1"/>
  <c r="X73" i="1" s="1"/>
  <c r="U223" i="1" l="1"/>
  <c r="AA223" i="1" s="1"/>
  <c r="R223" i="1"/>
  <c r="X223" i="1" s="1"/>
  <c r="T57" i="1" l="1"/>
  <c r="Z57" i="1" s="1"/>
  <c r="O31" i="8"/>
  <c r="S57" i="1"/>
  <c r="Y57" i="1" s="1"/>
  <c r="F31" i="8"/>
  <c r="E31" i="8"/>
  <c r="P31" i="8" l="1"/>
  <c r="R31" i="8"/>
  <c r="O57" i="1"/>
  <c r="L31" i="8"/>
  <c r="O90" i="1" l="1"/>
  <c r="T141" i="1"/>
  <c r="Z141" i="1" s="1"/>
  <c r="O75" i="8"/>
  <c r="S141" i="1"/>
  <c r="Y141" i="1" s="1"/>
  <c r="Q90" i="1" l="1"/>
  <c r="W90" i="1" s="1"/>
  <c r="P90" i="1"/>
  <c r="O141" i="1"/>
  <c r="L75" i="8"/>
  <c r="U90" i="1" l="1"/>
  <c r="AA90" i="1" s="1"/>
  <c r="R90" i="1"/>
  <c r="X90" i="1" s="1"/>
  <c r="O216" i="1" l="1"/>
  <c r="Q216" i="1" l="1"/>
  <c r="W216" i="1" s="1"/>
  <c r="P216" i="1"/>
  <c r="U216" i="1" l="1"/>
  <c r="AA216" i="1" s="1"/>
  <c r="R216" i="1"/>
  <c r="X216" i="1" s="1"/>
  <c r="T134" i="1" l="1"/>
  <c r="Z134" i="1" s="1"/>
  <c r="O61" i="8"/>
  <c r="S134" i="1"/>
  <c r="Y134" i="1" s="1"/>
  <c r="O134" i="1" l="1"/>
  <c r="L61" i="8"/>
  <c r="T32" i="1"/>
  <c r="Z32" i="1" s="1"/>
  <c r="O24" i="8"/>
  <c r="S32" i="1"/>
  <c r="Y32" i="1" s="1"/>
  <c r="O32" i="1" l="1"/>
  <c r="L24" i="8"/>
  <c r="O276" i="1" l="1"/>
  <c r="T174" i="1"/>
  <c r="Z174" i="1" s="1"/>
  <c r="O68" i="8"/>
  <c r="S174" i="1"/>
  <c r="Y174" i="1" s="1"/>
  <c r="Q276" i="1" l="1"/>
  <c r="W276" i="1" s="1"/>
  <c r="P276" i="1"/>
  <c r="O174" i="1"/>
  <c r="L68" i="8"/>
  <c r="U276" i="1" l="1"/>
  <c r="AA276" i="1" s="1"/>
  <c r="R276" i="1"/>
  <c r="X276" i="1" s="1"/>
  <c r="O86" i="1" l="1"/>
  <c r="Q86" i="1" l="1"/>
  <c r="W86" i="1" s="1"/>
  <c r="P86" i="1"/>
  <c r="T14" i="1"/>
  <c r="Z14" i="1" s="1"/>
  <c r="S14" i="1"/>
  <c r="Y14" i="1" s="1"/>
  <c r="O16" i="8"/>
  <c r="U86" i="1" l="1"/>
  <c r="AA86" i="1" s="1"/>
  <c r="R86" i="1"/>
  <c r="X86" i="1" s="1"/>
  <c r="O14" i="1"/>
  <c r="L16" i="8"/>
  <c r="O268" i="1" l="1"/>
  <c r="Q268" i="1" l="1"/>
  <c r="W268" i="1" s="1"/>
  <c r="P268" i="1"/>
  <c r="U268" i="1" l="1"/>
  <c r="AA268" i="1" s="1"/>
  <c r="R268" i="1"/>
  <c r="X268" i="1" s="1"/>
  <c r="O266" i="1"/>
  <c r="Q266" i="1" l="1"/>
  <c r="W266" i="1" s="1"/>
  <c r="P266" i="1"/>
  <c r="U266" i="1" l="1"/>
  <c r="AA266" i="1" s="1"/>
  <c r="R266" i="1"/>
  <c r="X266" i="1" s="1"/>
  <c r="T104" i="1"/>
  <c r="Z104" i="1" s="1"/>
  <c r="O52" i="8"/>
  <c r="S104" i="1"/>
  <c r="Y104" i="1" s="1"/>
  <c r="O104" i="1" l="1"/>
  <c r="L52" i="8"/>
  <c r="O193" i="1" l="1"/>
  <c r="T19" i="1"/>
  <c r="Z19" i="1" s="1"/>
  <c r="O15" i="8"/>
  <c r="S19" i="1"/>
  <c r="Y19" i="1" s="1"/>
  <c r="Q193" i="1" l="1"/>
  <c r="W193" i="1" s="1"/>
  <c r="P193" i="1"/>
  <c r="O19" i="1"/>
  <c r="L15" i="8"/>
  <c r="U193" i="1" l="1"/>
  <c r="AA193" i="1" s="1"/>
  <c r="R193" i="1"/>
  <c r="X193" i="1" s="1"/>
  <c r="O115" i="1"/>
  <c r="Q115" i="1" l="1"/>
  <c r="W115" i="1" s="1"/>
  <c r="P115" i="1"/>
  <c r="U115" i="1" l="1"/>
  <c r="AA115" i="1" s="1"/>
  <c r="R115" i="1"/>
  <c r="X115" i="1" s="1"/>
  <c r="O263" i="1" l="1"/>
  <c r="Q263" i="1" l="1"/>
  <c r="W263" i="1" s="1"/>
  <c r="P263" i="1"/>
  <c r="U263" i="1" l="1"/>
  <c r="AA263" i="1" s="1"/>
  <c r="R263" i="1"/>
  <c r="X263" i="1" s="1"/>
  <c r="O259" i="1" l="1"/>
  <c r="Q259" i="1" l="1"/>
  <c r="W259" i="1" s="1"/>
  <c r="P259" i="1"/>
  <c r="U259" i="1" l="1"/>
  <c r="AA259" i="1" s="1"/>
  <c r="R259" i="1"/>
  <c r="X259" i="1" s="1"/>
  <c r="T95" i="1" l="1"/>
  <c r="Z95" i="1" s="1"/>
  <c r="O34" i="8"/>
  <c r="S95" i="1"/>
  <c r="Y95" i="1" s="1"/>
  <c r="O95" i="1" l="1"/>
  <c r="L34" i="8"/>
  <c r="T99" i="1"/>
  <c r="Z99" i="1" s="1"/>
  <c r="S99" i="1"/>
  <c r="Y99" i="1" s="1"/>
  <c r="O42" i="8"/>
  <c r="O99" i="1" l="1"/>
  <c r="L42" i="8"/>
  <c r="O125" i="1" l="1"/>
  <c r="T79" i="1"/>
  <c r="Z79" i="1" s="1"/>
  <c r="O43" i="8"/>
  <c r="S79" i="1"/>
  <c r="Y79" i="1" s="1"/>
  <c r="Q125" i="1" l="1"/>
  <c r="W125" i="1" s="1"/>
  <c r="P125" i="1"/>
  <c r="O79" i="1"/>
  <c r="L43" i="8"/>
  <c r="U125" i="1" l="1"/>
  <c r="AA125" i="1" s="1"/>
  <c r="R125" i="1"/>
  <c r="X125" i="1" s="1"/>
  <c r="O352" i="1" l="1"/>
  <c r="Q352" i="1" l="1"/>
  <c r="W352" i="1" s="1"/>
  <c r="P352" i="1"/>
  <c r="U352" i="1" l="1"/>
  <c r="AA352" i="1" s="1"/>
  <c r="R352" i="1"/>
  <c r="X352" i="1" s="1"/>
  <c r="T230" i="1" l="1"/>
  <c r="Z230" i="1" s="1"/>
  <c r="S230" i="1"/>
  <c r="Y230" i="1" s="1"/>
  <c r="O89" i="8"/>
  <c r="O230" i="1" l="1"/>
  <c r="L89" i="8"/>
  <c r="S116" i="1" l="1"/>
  <c r="Y116" i="1" s="1"/>
  <c r="T116" i="1"/>
  <c r="Z116" i="1" s="1"/>
  <c r="O116" i="1" l="1"/>
  <c r="Q116" i="1" l="1"/>
  <c r="W116" i="1" s="1"/>
  <c r="P116" i="1"/>
  <c r="T42" i="1"/>
  <c r="Z42" i="1" s="1"/>
  <c r="S42" i="1"/>
  <c r="Y42" i="1" s="1"/>
  <c r="O25" i="8"/>
  <c r="F25" i="8"/>
  <c r="E25" i="8"/>
  <c r="P25" i="8" l="1"/>
  <c r="R25" i="8"/>
  <c r="U116" i="1"/>
  <c r="AA116" i="1" s="1"/>
  <c r="R116" i="1"/>
  <c r="X116" i="1" s="1"/>
  <c r="O42" i="1"/>
  <c r="L25" i="8"/>
  <c r="S85" i="1" l="1"/>
  <c r="Y85" i="1" s="1"/>
  <c r="T85" i="1"/>
  <c r="Z85" i="1" s="1"/>
  <c r="O85" i="1" l="1"/>
  <c r="Q85" i="1" l="1"/>
  <c r="W85" i="1" s="1"/>
  <c r="P85" i="1"/>
  <c r="U85" i="1" l="1"/>
  <c r="AA85" i="1" s="1"/>
  <c r="R85" i="1"/>
  <c r="X85" i="1" s="1"/>
  <c r="O221" i="1"/>
  <c r="Q221" i="1" l="1"/>
  <c r="W221" i="1" s="1"/>
  <c r="P221" i="1"/>
  <c r="U221" i="1" l="1"/>
  <c r="AA221" i="1" s="1"/>
  <c r="R221" i="1"/>
  <c r="X221" i="1" s="1"/>
  <c r="T139" i="1"/>
  <c r="Z139" i="1" s="1"/>
  <c r="O71" i="8"/>
  <c r="S139" i="1"/>
  <c r="Y139" i="1" s="1"/>
  <c r="O139" i="1" l="1"/>
  <c r="L71" i="8"/>
  <c r="O287" i="1" l="1"/>
  <c r="Q287" i="1" l="1"/>
  <c r="W287" i="1" s="1"/>
  <c r="P287" i="1"/>
  <c r="U287" i="1" l="1"/>
  <c r="AA287" i="1" s="1"/>
  <c r="R287" i="1"/>
  <c r="X287" i="1" s="1"/>
  <c r="T185" i="1" l="1"/>
  <c r="Z185" i="1" s="1"/>
  <c r="O90" i="8"/>
  <c r="S185" i="1"/>
  <c r="Y185" i="1" s="1"/>
  <c r="O185" i="1" l="1"/>
  <c r="L90" i="8"/>
  <c r="T17" i="1" l="1"/>
  <c r="Z17" i="1" s="1"/>
  <c r="S17" i="1"/>
  <c r="Y17" i="1" s="1"/>
  <c r="O17" i="1" l="1"/>
  <c r="Q17" i="1" l="1"/>
  <c r="W17" i="1" s="1"/>
  <c r="P17" i="1"/>
  <c r="U17" i="1" l="1"/>
  <c r="AA17" i="1" s="1"/>
  <c r="R17" i="1"/>
  <c r="X17" i="1" s="1"/>
  <c r="T7" i="1"/>
  <c r="Z7" i="1" s="1"/>
  <c r="O11" i="8"/>
  <c r="S7" i="1"/>
  <c r="Y7" i="1" s="1"/>
  <c r="F11" i="8"/>
  <c r="E11" i="8"/>
  <c r="P11" i="8" l="1"/>
  <c r="R11" i="8"/>
  <c r="O7" i="1"/>
  <c r="L11" i="8"/>
  <c r="O314" i="1" l="1"/>
  <c r="Q314" i="1" l="1"/>
  <c r="W314" i="1" s="1"/>
  <c r="P314" i="1"/>
  <c r="O285" i="1"/>
  <c r="Q285" i="1" l="1"/>
  <c r="W285" i="1" s="1"/>
  <c r="P285" i="1"/>
  <c r="U314" i="1"/>
  <c r="AA314" i="1" s="1"/>
  <c r="R314" i="1"/>
  <c r="X314" i="1" s="1"/>
  <c r="U285" i="1" l="1"/>
  <c r="AA285" i="1" s="1"/>
  <c r="R285" i="1"/>
  <c r="X285" i="1" s="1"/>
  <c r="T8" i="1" l="1"/>
  <c r="Z8" i="1" s="1"/>
  <c r="O13" i="8"/>
  <c r="S8" i="1"/>
  <c r="Y8" i="1" s="1"/>
  <c r="O8" i="1" l="1"/>
  <c r="L13" i="8"/>
  <c r="T183" i="1"/>
  <c r="Z183" i="1" s="1"/>
  <c r="S183" i="1"/>
  <c r="Y183" i="1" s="1"/>
  <c r="O86" i="8"/>
  <c r="O183" i="1" l="1"/>
  <c r="L86" i="8"/>
  <c r="O151" i="1" l="1"/>
  <c r="Q151" i="1" l="1"/>
  <c r="W151" i="1" s="1"/>
  <c r="P151" i="1"/>
  <c r="U151" i="1" l="1"/>
  <c r="AA151" i="1" s="1"/>
  <c r="R151" i="1"/>
  <c r="X151" i="1" s="1"/>
  <c r="S196" i="1" l="1"/>
  <c r="Y196" i="1" s="1"/>
  <c r="T196" i="1"/>
  <c r="Z196" i="1" s="1"/>
  <c r="O196" i="1" l="1"/>
  <c r="Q196" i="1" l="1"/>
  <c r="W196" i="1" s="1"/>
  <c r="P196" i="1"/>
  <c r="U196" i="1" l="1"/>
  <c r="AA196" i="1" s="1"/>
  <c r="R196" i="1"/>
  <c r="X196" i="1" s="1"/>
  <c r="T31" i="1" l="1"/>
  <c r="Z31" i="1" s="1"/>
  <c r="O22" i="8"/>
  <c r="S31" i="1"/>
  <c r="Y31" i="1" s="1"/>
  <c r="O31" i="1" l="1"/>
  <c r="L22" i="8"/>
  <c r="T22" i="1"/>
  <c r="Z22" i="1" s="1"/>
  <c r="O21" i="8"/>
  <c r="S22" i="1"/>
  <c r="Y22" i="1" s="1"/>
  <c r="F21" i="8"/>
  <c r="E21" i="8"/>
  <c r="P21" i="8" l="1"/>
  <c r="R21" i="8"/>
  <c r="O22" i="1"/>
  <c r="L21" i="8"/>
  <c r="O164" i="1" l="1"/>
  <c r="Q164" i="1" l="1"/>
  <c r="W164" i="1" s="1"/>
  <c r="P164" i="1"/>
  <c r="T102" i="1"/>
  <c r="Z102" i="1" s="1"/>
  <c r="O48" i="8"/>
  <c r="S102" i="1"/>
  <c r="Y102" i="1" s="1"/>
  <c r="U164" i="1" l="1"/>
  <c r="AA164" i="1" s="1"/>
  <c r="R164" i="1"/>
  <c r="X164" i="1" s="1"/>
  <c r="O102" i="1"/>
  <c r="L48" i="8"/>
  <c r="O342" i="1" l="1"/>
  <c r="Q342" i="1" l="1"/>
  <c r="W342" i="1" s="1"/>
  <c r="P342" i="1"/>
  <c r="T138" i="1"/>
  <c r="Z138" i="1" s="1"/>
  <c r="S138" i="1"/>
  <c r="Y138" i="1" s="1"/>
  <c r="O69" i="8"/>
  <c r="U342" i="1" l="1"/>
  <c r="AA342" i="1" s="1"/>
  <c r="R342" i="1"/>
  <c r="X342" i="1" s="1"/>
  <c r="O138" i="1"/>
  <c r="L69" i="8"/>
  <c r="O330" i="1" l="1"/>
  <c r="Q330" i="1" l="1"/>
  <c r="W330" i="1" s="1"/>
  <c r="P330" i="1"/>
  <c r="T80" i="1"/>
  <c r="Z80" i="1" s="1"/>
  <c r="O45" i="8"/>
  <c r="S80" i="1"/>
  <c r="Y80" i="1" s="1"/>
  <c r="U330" i="1" l="1"/>
  <c r="AA330" i="1" s="1"/>
  <c r="R330" i="1"/>
  <c r="X330" i="1" s="1"/>
  <c r="O80" i="1"/>
  <c r="L45" i="8"/>
  <c r="O41" i="1" l="1"/>
  <c r="L23" i="8"/>
  <c r="O249" i="1" l="1"/>
  <c r="Q249" i="1" l="1"/>
  <c r="W249" i="1" s="1"/>
  <c r="P249" i="1"/>
  <c r="T13" i="1"/>
  <c r="Z13" i="1" s="1"/>
  <c r="O14" i="8"/>
  <c r="S13" i="1"/>
  <c r="Y13" i="1" s="1"/>
  <c r="U249" i="1" l="1"/>
  <c r="AA249" i="1" s="1"/>
  <c r="R249" i="1"/>
  <c r="X249" i="1" s="1"/>
  <c r="O13" i="1"/>
  <c r="L14" i="8"/>
  <c r="T270" i="1" l="1"/>
  <c r="Z270" i="1" s="1"/>
  <c r="S270" i="1"/>
  <c r="Y270" i="1" s="1"/>
  <c r="O270" i="1" l="1"/>
  <c r="Q270" i="1" l="1"/>
  <c r="W270" i="1" s="1"/>
  <c r="P270" i="1"/>
  <c r="U270" i="1" l="1"/>
  <c r="AA270" i="1" s="1"/>
  <c r="R270" i="1"/>
  <c r="X270" i="1" s="1"/>
  <c r="T106" i="1" l="1"/>
  <c r="Z106" i="1" s="1"/>
  <c r="O56" i="8"/>
  <c r="S106" i="1"/>
  <c r="Y106" i="1" s="1"/>
  <c r="E56" i="8"/>
  <c r="F56" i="8"/>
  <c r="P56" i="8" l="1"/>
  <c r="R56" i="8"/>
  <c r="O106" i="1"/>
  <c r="L56" i="8"/>
  <c r="T146" i="1" l="1"/>
  <c r="Z146" i="1" s="1"/>
  <c r="S146" i="1"/>
  <c r="Y146" i="1" s="1"/>
  <c r="O146" i="1" l="1"/>
  <c r="T12" i="1"/>
  <c r="Z12" i="1" s="1"/>
  <c r="O12" i="8"/>
  <c r="S12" i="1"/>
  <c r="Y12" i="1" s="1"/>
  <c r="F12" i="8"/>
  <c r="E12" i="8"/>
  <c r="P12" i="8" l="1"/>
  <c r="R12" i="8"/>
  <c r="Q146" i="1"/>
  <c r="W146" i="1" s="1"/>
  <c r="P146" i="1"/>
  <c r="O12" i="1"/>
  <c r="L12" i="8"/>
  <c r="U146" i="1" l="1"/>
  <c r="AA146" i="1" s="1"/>
  <c r="R146" i="1"/>
  <c r="X146" i="1" s="1"/>
  <c r="S143" i="1"/>
  <c r="Y143" i="1" s="1"/>
  <c r="T143" i="1" l="1"/>
  <c r="Z143" i="1" l="1"/>
  <c r="O143" i="1"/>
  <c r="Q143" i="1" l="1"/>
  <c r="P143" i="1"/>
  <c r="S245" i="1"/>
  <c r="Y245" i="1" s="1"/>
  <c r="U143" i="1" l="1"/>
  <c r="R143" i="1"/>
  <c r="W143" i="1"/>
  <c r="T245" i="1"/>
  <c r="Z245" i="1" l="1"/>
  <c r="X143" i="1"/>
  <c r="AA143" i="1"/>
  <c r="O245" i="1"/>
  <c r="Q245" i="1" l="1"/>
  <c r="P245" i="1"/>
  <c r="T311" i="1"/>
  <c r="Z311" i="1" s="1"/>
  <c r="G41" i="3"/>
  <c r="D69" i="3" l="1"/>
  <c r="W245" i="1"/>
  <c r="D41" i="3"/>
  <c r="E41" i="3" s="1"/>
  <c r="C69" i="3" s="1"/>
  <c r="U245" i="1"/>
  <c r="R245" i="1"/>
  <c r="S311" i="1"/>
  <c r="H41" i="3"/>
  <c r="K41" i="3"/>
  <c r="E69" i="3" l="1"/>
  <c r="AA245" i="1"/>
  <c r="Y311" i="1"/>
  <c r="X245" i="1"/>
  <c r="F41" i="3"/>
  <c r="S189" i="1" l="1"/>
  <c r="Y189" i="1" s="1"/>
  <c r="T189" i="1" l="1"/>
  <c r="Z189" i="1" l="1"/>
  <c r="T15" i="1" l="1"/>
  <c r="Z15" i="1" s="1"/>
  <c r="J32" i="3"/>
  <c r="S15" i="1" l="1"/>
  <c r="G60" i="3"/>
  <c r="I32" i="3"/>
  <c r="F60" i="3" l="1"/>
  <c r="Y15" i="1"/>
  <c r="T81" i="1" l="1"/>
  <c r="Z81" i="1" s="1"/>
  <c r="S81" i="1" l="1"/>
  <c r="Y81" i="1" l="1"/>
  <c r="T107" i="1" l="1"/>
  <c r="Z107" i="1" s="1"/>
  <c r="S107" i="1" l="1"/>
  <c r="Y107" i="1" l="1"/>
  <c r="T61" i="1" l="1"/>
  <c r="Z61" i="1" s="1"/>
  <c r="J36" i="3"/>
  <c r="S61" i="1" l="1"/>
  <c r="G64" i="3"/>
  <c r="I36" i="3"/>
  <c r="F64" i="3" l="1"/>
  <c r="Y61" i="1"/>
  <c r="S33" i="1" l="1"/>
  <c r="Y33" i="1" s="1"/>
  <c r="T33" i="1" l="1"/>
  <c r="Z33" i="1" l="1"/>
  <c r="T23" i="1" l="1"/>
  <c r="Z23" i="1" s="1"/>
  <c r="J33" i="3"/>
  <c r="S23" i="1" l="1"/>
  <c r="G61" i="3"/>
  <c r="I33" i="3"/>
  <c r="F61" i="3" l="1"/>
  <c r="Y23" i="1"/>
  <c r="T45" i="1" l="1"/>
  <c r="Z45" i="1" s="1"/>
  <c r="S45" i="1" l="1"/>
  <c r="Y45" i="1" l="1"/>
  <c r="S9" i="1" l="1"/>
  <c r="Y9" i="1" s="1"/>
  <c r="I31" i="3"/>
  <c r="T9" i="1" l="1"/>
  <c r="F59" i="3"/>
  <c r="J31" i="3"/>
  <c r="G59" i="3" l="1"/>
  <c r="Z9" i="1"/>
  <c r="M5" i="8"/>
  <c r="M6" i="8" l="1"/>
  <c r="O6" i="8" l="1"/>
  <c r="T5" i="1" l="1"/>
  <c r="S5" i="1"/>
  <c r="S3" i="1"/>
  <c r="Y3" i="1" s="1"/>
  <c r="J30" i="3"/>
  <c r="I29" i="3"/>
  <c r="I30" i="3"/>
  <c r="E5" i="8"/>
  <c r="P5" i="8" l="1"/>
  <c r="F58" i="3"/>
  <c r="F57" i="3"/>
  <c r="G58" i="3"/>
  <c r="Y5" i="1"/>
  <c r="Z5" i="1"/>
  <c r="T3" i="1"/>
  <c r="O5" i="8"/>
  <c r="E6" i="8"/>
  <c r="F6" i="8"/>
  <c r="J29" i="3"/>
  <c r="R6" i="8" l="1"/>
  <c r="P6" i="8"/>
  <c r="G57" i="3"/>
  <c r="Z3" i="1"/>
  <c r="F5" i="8"/>
  <c r="R5" i="8" l="1"/>
  <c r="O7" i="8"/>
  <c r="S2" i="1"/>
  <c r="T2" i="1"/>
  <c r="O319" i="1"/>
  <c r="O61" i="1"/>
  <c r="O107" i="1"/>
  <c r="O81" i="1"/>
  <c r="O15" i="1"/>
  <c r="O189" i="1"/>
  <c r="O311" i="1"/>
  <c r="S249" i="1"/>
  <c r="T249" i="1"/>
  <c r="T41" i="1"/>
  <c r="O23" i="8"/>
  <c r="S41" i="1"/>
  <c r="S319" i="1"/>
  <c r="Y319" i="1" s="1"/>
  <c r="T319" i="1"/>
  <c r="Z319" i="1" s="1"/>
  <c r="O122" i="1"/>
  <c r="O3" i="1"/>
  <c r="L5" i="8"/>
  <c r="O5" i="1"/>
  <c r="L6" i="8"/>
  <c r="O9" i="1"/>
  <c r="O45" i="1"/>
  <c r="O23" i="1"/>
  <c r="O33" i="1"/>
  <c r="Q12" i="1"/>
  <c r="W12" i="1" s="1"/>
  <c r="P12" i="1"/>
  <c r="P106" i="1"/>
  <c r="Q106" i="1"/>
  <c r="W106" i="1" s="1"/>
  <c r="Q13" i="1"/>
  <c r="W13" i="1" s="1"/>
  <c r="P13" i="1"/>
  <c r="Q41" i="1"/>
  <c r="W41" i="1" s="1"/>
  <c r="P41" i="1"/>
  <c r="P80" i="1"/>
  <c r="Q80" i="1"/>
  <c r="W80" i="1" s="1"/>
  <c r="T330" i="1"/>
  <c r="Z330" i="1" s="1"/>
  <c r="S330" i="1"/>
  <c r="Y330" i="1" s="1"/>
  <c r="Q138" i="1"/>
  <c r="W138" i="1" s="1"/>
  <c r="P138" i="1"/>
  <c r="T342" i="1"/>
  <c r="Z342" i="1" s="1"/>
  <c r="S342" i="1"/>
  <c r="Y342" i="1" s="1"/>
  <c r="P102" i="1"/>
  <c r="Q102" i="1"/>
  <c r="W102" i="1" s="1"/>
  <c r="S164" i="1"/>
  <c r="Y164" i="1" s="1"/>
  <c r="T164" i="1"/>
  <c r="Z164" i="1" s="1"/>
  <c r="P22" i="1"/>
  <c r="Q22" i="1"/>
  <c r="W22" i="1" s="1"/>
  <c r="P31" i="1"/>
  <c r="Q31" i="1"/>
  <c r="W31" i="1" s="1"/>
  <c r="T151" i="1"/>
  <c r="S151" i="1"/>
  <c r="Q183" i="1"/>
  <c r="W183" i="1" s="1"/>
  <c r="P183" i="1"/>
  <c r="Q8" i="1"/>
  <c r="W8" i="1" s="1"/>
  <c r="P8" i="1"/>
  <c r="T285" i="1"/>
  <c r="Z285" i="1" s="1"/>
  <c r="S285" i="1"/>
  <c r="Y285" i="1" s="1"/>
  <c r="S314" i="1"/>
  <c r="T314" i="1"/>
  <c r="Q7" i="1"/>
  <c r="W7" i="1" s="1"/>
  <c r="P7" i="1"/>
  <c r="Q185" i="1"/>
  <c r="W185" i="1" s="1"/>
  <c r="P185" i="1"/>
  <c r="T287" i="1"/>
  <c r="Z287" i="1" s="1"/>
  <c r="S287" i="1"/>
  <c r="Y287" i="1" s="1"/>
  <c r="Q139" i="1"/>
  <c r="W139" i="1" s="1"/>
  <c r="P139" i="1"/>
  <c r="T221" i="1"/>
  <c r="Z221" i="1" s="1"/>
  <c r="S221" i="1"/>
  <c r="Y221" i="1" s="1"/>
  <c r="Q42" i="1"/>
  <c r="W42" i="1" s="1"/>
  <c r="P42" i="1"/>
  <c r="Q230" i="1"/>
  <c r="W230" i="1" s="1"/>
  <c r="P230" i="1"/>
  <c r="S352" i="1"/>
  <c r="Y352" i="1" s="1"/>
  <c r="T352" i="1"/>
  <c r="Z352" i="1" s="1"/>
  <c r="P79" i="1"/>
  <c r="Q79" i="1"/>
  <c r="W79" i="1" s="1"/>
  <c r="T125" i="1"/>
  <c r="Z125" i="1" s="1"/>
  <c r="S125" i="1"/>
  <c r="Y125" i="1" s="1"/>
  <c r="Q99" i="1"/>
  <c r="W99" i="1" s="1"/>
  <c r="P99" i="1"/>
  <c r="Q95" i="1"/>
  <c r="W95" i="1" s="1"/>
  <c r="P95" i="1"/>
  <c r="S259" i="1"/>
  <c r="Y259" i="1" s="1"/>
  <c r="T259" i="1"/>
  <c r="Z259" i="1" s="1"/>
  <c r="T263" i="1"/>
  <c r="Z263" i="1" s="1"/>
  <c r="S263" i="1"/>
  <c r="Y263" i="1" s="1"/>
  <c r="T115" i="1"/>
  <c r="S115" i="1"/>
  <c r="Q19" i="1"/>
  <c r="W19" i="1" s="1"/>
  <c r="P19" i="1"/>
  <c r="S193" i="1"/>
  <c r="T193" i="1"/>
  <c r="Q104" i="1"/>
  <c r="W104" i="1" s="1"/>
  <c r="P104" i="1"/>
  <c r="T266" i="1"/>
  <c r="Z266" i="1" s="1"/>
  <c r="S266" i="1"/>
  <c r="Y266" i="1" s="1"/>
  <c r="T268" i="1"/>
  <c r="Z268" i="1" s="1"/>
  <c r="S268" i="1"/>
  <c r="Y268" i="1" s="1"/>
  <c r="Q14" i="1"/>
  <c r="W14" i="1" s="1"/>
  <c r="P14" i="1"/>
  <c r="S86" i="1"/>
  <c r="T86" i="1"/>
  <c r="Q174" i="1"/>
  <c r="P174" i="1"/>
  <c r="T276" i="1"/>
  <c r="Z276" i="1" s="1"/>
  <c r="S276" i="1"/>
  <c r="Y276" i="1" s="1"/>
  <c r="Q32" i="1"/>
  <c r="W32" i="1" s="1"/>
  <c r="P32" i="1"/>
  <c r="Q134" i="1"/>
  <c r="W134" i="1" s="1"/>
  <c r="P134" i="1"/>
  <c r="S216" i="1"/>
  <c r="Y216" i="1" s="1"/>
  <c r="T216" i="1"/>
  <c r="Z216" i="1" s="1"/>
  <c r="P141" i="1"/>
  <c r="Q141" i="1"/>
  <c r="W141" i="1" s="1"/>
  <c r="S90" i="1"/>
  <c r="Y90" i="1" s="1"/>
  <c r="T90" i="1"/>
  <c r="Z90" i="1" s="1"/>
  <c r="Q57" i="1"/>
  <c r="W57" i="1" s="1"/>
  <c r="P57" i="1"/>
  <c r="T223" i="1"/>
  <c r="Z223" i="1" s="1"/>
  <c r="S223" i="1"/>
  <c r="Y223" i="1" s="1"/>
  <c r="P128" i="1"/>
  <c r="Q128" i="1"/>
  <c r="W128" i="1" s="1"/>
  <c r="S332" i="1"/>
  <c r="Y332" i="1" s="1"/>
  <c r="T332" i="1"/>
  <c r="Z332" i="1" s="1"/>
  <c r="O60" i="1"/>
  <c r="T60" i="1"/>
  <c r="O37" i="8"/>
  <c r="S60" i="1"/>
  <c r="Q177" i="1"/>
  <c r="W177" i="1" s="1"/>
  <c r="P177" i="1"/>
  <c r="T122" i="1"/>
  <c r="Z122" i="1" s="1"/>
  <c r="S122" i="1"/>
  <c r="Y122" i="1" s="1"/>
  <c r="I34" i="3"/>
  <c r="E43" i="8"/>
  <c r="E42" i="8"/>
  <c r="J37" i="3"/>
  <c r="G39" i="3"/>
  <c r="E61" i="8"/>
  <c r="J35" i="3"/>
  <c r="E75" i="8"/>
  <c r="I41" i="3"/>
  <c r="J42" i="3"/>
  <c r="F89" i="8"/>
  <c r="E68" i="8"/>
  <c r="J41" i="3"/>
  <c r="E48" i="8"/>
  <c r="I40" i="3"/>
  <c r="E49" i="8"/>
  <c r="J34" i="3"/>
  <c r="F34" i="8"/>
  <c r="I37" i="3"/>
  <c r="F69" i="8"/>
  <c r="F86" i="8"/>
  <c r="F90" i="8"/>
  <c r="J38" i="3"/>
  <c r="F75" i="8"/>
  <c r="F61" i="8"/>
  <c r="F45" i="8"/>
  <c r="F71" i="8"/>
  <c r="F48" i="8"/>
  <c r="J40" i="3"/>
  <c r="F24" i="8"/>
  <c r="F43" i="8"/>
  <c r="E69" i="8"/>
  <c r="E86" i="8"/>
  <c r="E90" i="8"/>
  <c r="I38" i="3"/>
  <c r="J39" i="3"/>
  <c r="I42" i="3"/>
  <c r="E89" i="8"/>
  <c r="F52" i="8"/>
  <c r="F68" i="8"/>
  <c r="I35" i="3"/>
  <c r="I28" i="3"/>
  <c r="I39" i="3"/>
  <c r="E52" i="8"/>
  <c r="J28" i="3"/>
  <c r="E34" i="8"/>
  <c r="E24" i="8"/>
  <c r="E45" i="8"/>
  <c r="E71" i="8"/>
  <c r="F49" i="8"/>
  <c r="F42" i="8"/>
  <c r="R42" i="8" l="1"/>
  <c r="R49" i="8"/>
  <c r="P71" i="8"/>
  <c r="P45" i="8"/>
  <c r="P24" i="8"/>
  <c r="P34" i="8"/>
  <c r="P52" i="8"/>
  <c r="R68" i="8"/>
  <c r="R52" i="8"/>
  <c r="P89" i="8"/>
  <c r="P90" i="8"/>
  <c r="P86" i="8"/>
  <c r="P69" i="8"/>
  <c r="R43" i="8"/>
  <c r="R24" i="8"/>
  <c r="R48" i="8"/>
  <c r="R71" i="8"/>
  <c r="R45" i="8"/>
  <c r="R61" i="8"/>
  <c r="R75" i="8"/>
  <c r="R90" i="8"/>
  <c r="R86" i="8"/>
  <c r="R69" i="8"/>
  <c r="R34" i="8"/>
  <c r="P49" i="8"/>
  <c r="P48" i="8"/>
  <c r="P68" i="8"/>
  <c r="R89" i="8"/>
  <c r="P75" i="8"/>
  <c r="P61" i="8"/>
  <c r="P42" i="8"/>
  <c r="P43" i="8"/>
  <c r="D39" i="3"/>
  <c r="E39" i="3" s="1"/>
  <c r="C67" i="3" s="1"/>
  <c r="J43" i="3"/>
  <c r="G56" i="3"/>
  <c r="F67" i="3"/>
  <c r="I43" i="3"/>
  <c r="F56" i="3"/>
  <c r="F63" i="3"/>
  <c r="F70" i="3"/>
  <c r="G67" i="3"/>
  <c r="F66" i="3"/>
  <c r="G68" i="3"/>
  <c r="G66" i="3"/>
  <c r="F65" i="3"/>
  <c r="G62" i="3"/>
  <c r="F68" i="3"/>
  <c r="G69" i="3"/>
  <c r="G70" i="3"/>
  <c r="F69" i="3"/>
  <c r="G63" i="3"/>
  <c r="D67" i="3"/>
  <c r="G65" i="3"/>
  <c r="F62" i="3"/>
  <c r="U106" i="1"/>
  <c r="AA106" i="1" s="1"/>
  <c r="R106" i="1"/>
  <c r="X106" i="1" s="1"/>
  <c r="Z2" i="1"/>
  <c r="Y151" i="1"/>
  <c r="Y2" i="1"/>
  <c r="Y60" i="1"/>
  <c r="Y314" i="1"/>
  <c r="Z151" i="1"/>
  <c r="Y115" i="1"/>
  <c r="U41" i="1"/>
  <c r="AA41" i="1" s="1"/>
  <c r="R41" i="1"/>
  <c r="X41" i="1" s="1"/>
  <c r="L7" i="8"/>
  <c r="O2" i="1"/>
  <c r="Z193" i="1"/>
  <c r="Z115" i="1"/>
  <c r="Y86" i="1"/>
  <c r="Z41" i="1"/>
  <c r="Y193" i="1"/>
  <c r="Z249" i="1"/>
  <c r="Z314" i="1"/>
  <c r="U12" i="1"/>
  <c r="AA12" i="1" s="1"/>
  <c r="R12" i="1"/>
  <c r="X12" i="1" s="1"/>
  <c r="Y249" i="1"/>
  <c r="Z60" i="1"/>
  <c r="W174" i="1"/>
  <c r="Z86" i="1"/>
  <c r="U13" i="1"/>
  <c r="AA13" i="1" s="1"/>
  <c r="R13" i="1"/>
  <c r="X13" i="1" s="1"/>
  <c r="Y41" i="1"/>
  <c r="U128" i="1"/>
  <c r="AA128" i="1" s="1"/>
  <c r="R128" i="1"/>
  <c r="X128" i="1" s="1"/>
  <c r="U57" i="1"/>
  <c r="AA57" i="1" s="1"/>
  <c r="R57" i="1"/>
  <c r="X57" i="1" s="1"/>
  <c r="U141" i="1"/>
  <c r="AA141" i="1" s="1"/>
  <c r="R141" i="1"/>
  <c r="X141" i="1" s="1"/>
  <c r="U134" i="1"/>
  <c r="AA134" i="1" s="1"/>
  <c r="R134" i="1"/>
  <c r="X134" i="1" s="1"/>
  <c r="U32" i="1"/>
  <c r="AA32" i="1" s="1"/>
  <c r="R32" i="1"/>
  <c r="X32" i="1" s="1"/>
  <c r="U174" i="1"/>
  <c r="R174" i="1"/>
  <c r="U14" i="1"/>
  <c r="AA14" i="1" s="1"/>
  <c r="R14" i="1"/>
  <c r="X14" i="1" s="1"/>
  <c r="U104" i="1"/>
  <c r="AA104" i="1" s="1"/>
  <c r="R104" i="1"/>
  <c r="X104" i="1" s="1"/>
  <c r="U19" i="1"/>
  <c r="AA19" i="1" s="1"/>
  <c r="R19" i="1"/>
  <c r="X19" i="1" s="1"/>
  <c r="U95" i="1"/>
  <c r="AA95" i="1" s="1"/>
  <c r="R95" i="1"/>
  <c r="X95" i="1" s="1"/>
  <c r="U99" i="1"/>
  <c r="AA99" i="1" s="1"/>
  <c r="R99" i="1"/>
  <c r="X99" i="1" s="1"/>
  <c r="U79" i="1"/>
  <c r="AA79" i="1" s="1"/>
  <c r="R79" i="1"/>
  <c r="X79" i="1" s="1"/>
  <c r="U230" i="1"/>
  <c r="AA230" i="1" s="1"/>
  <c r="R230" i="1"/>
  <c r="X230" i="1" s="1"/>
  <c r="U42" i="1"/>
  <c r="AA42" i="1" s="1"/>
  <c r="R42" i="1"/>
  <c r="X42" i="1" s="1"/>
  <c r="U139" i="1"/>
  <c r="AA139" i="1" s="1"/>
  <c r="R139" i="1"/>
  <c r="X139" i="1" s="1"/>
  <c r="U185" i="1"/>
  <c r="AA185" i="1" s="1"/>
  <c r="R185" i="1"/>
  <c r="X185" i="1" s="1"/>
  <c r="U7" i="1"/>
  <c r="AA7" i="1" s="1"/>
  <c r="R7" i="1"/>
  <c r="X7" i="1" s="1"/>
  <c r="U8" i="1"/>
  <c r="AA8" i="1" s="1"/>
  <c r="R8" i="1"/>
  <c r="X8" i="1" s="1"/>
  <c r="U183" i="1"/>
  <c r="AA183" i="1" s="1"/>
  <c r="R183" i="1"/>
  <c r="X183" i="1" s="1"/>
  <c r="U31" i="1"/>
  <c r="AA31" i="1" s="1"/>
  <c r="R31" i="1"/>
  <c r="X31" i="1" s="1"/>
  <c r="U22" i="1"/>
  <c r="AA22" i="1" s="1"/>
  <c r="R22" i="1"/>
  <c r="X22" i="1" s="1"/>
  <c r="U102" i="1"/>
  <c r="AA102" i="1" s="1"/>
  <c r="R102" i="1"/>
  <c r="X102" i="1" s="1"/>
  <c r="U138" i="1"/>
  <c r="AA138" i="1" s="1"/>
  <c r="R138" i="1"/>
  <c r="X138" i="1" s="1"/>
  <c r="U80" i="1"/>
  <c r="AA80" i="1" s="1"/>
  <c r="R80" i="1"/>
  <c r="X80" i="1" s="1"/>
  <c r="Q311" i="1"/>
  <c r="P311" i="1"/>
  <c r="R311" i="1" s="1"/>
  <c r="F40" i="3"/>
  <c r="Q189" i="1"/>
  <c r="P189" i="1"/>
  <c r="R189" i="1" s="1"/>
  <c r="Q15" i="1"/>
  <c r="P15" i="1"/>
  <c r="R15" i="1" s="1"/>
  <c r="X15" i="1" s="1"/>
  <c r="Q81" i="1"/>
  <c r="P81" i="1"/>
  <c r="R81" i="1" s="1"/>
  <c r="F37" i="3" s="1"/>
  <c r="Q107" i="1"/>
  <c r="P107" i="1"/>
  <c r="R107" i="1" s="1"/>
  <c r="F36" i="3"/>
  <c r="Q61" i="1"/>
  <c r="P61" i="1"/>
  <c r="R61" i="1" s="1"/>
  <c r="Q319" i="1"/>
  <c r="W319" i="1" s="1"/>
  <c r="P319" i="1"/>
  <c r="U177" i="1"/>
  <c r="AA177" i="1" s="1"/>
  <c r="R177" i="1"/>
  <c r="X177" i="1" s="1"/>
  <c r="Q60" i="1"/>
  <c r="W60" i="1" s="1"/>
  <c r="P60" i="1"/>
  <c r="Q33" i="1"/>
  <c r="P33" i="1"/>
  <c r="R33" i="1" s="1"/>
  <c r="X33" i="1" s="1"/>
  <c r="Q23" i="1"/>
  <c r="P23" i="1"/>
  <c r="R23" i="1" s="1"/>
  <c r="Q45" i="1"/>
  <c r="P45" i="1"/>
  <c r="R45" i="1" s="1"/>
  <c r="X45" i="1" s="1"/>
  <c r="Q9" i="1"/>
  <c r="P9" i="1"/>
  <c r="R9" i="1" s="1"/>
  <c r="Q5" i="1"/>
  <c r="P5" i="1"/>
  <c r="R5" i="1" s="1"/>
  <c r="X5" i="1" s="1"/>
  <c r="F29" i="3"/>
  <c r="P3" i="1"/>
  <c r="R3" i="1" s="1"/>
  <c r="X3" i="1" s="1"/>
  <c r="Q3" i="1"/>
  <c r="Q122" i="1"/>
  <c r="W122" i="1" s="1"/>
  <c r="P122" i="1"/>
  <c r="F7" i="8"/>
  <c r="D12" i="8"/>
  <c r="H32" i="3"/>
  <c r="H34" i="3"/>
  <c r="H30" i="3"/>
  <c r="E22" i="8"/>
  <c r="E16" i="8"/>
  <c r="E14" i="8"/>
  <c r="D49" i="8"/>
  <c r="D24" i="8"/>
  <c r="D15" i="8"/>
  <c r="D89" i="8"/>
  <c r="D11" i="8"/>
  <c r="D21" i="8"/>
  <c r="E7" i="8"/>
  <c r="F37" i="8"/>
  <c r="K39" i="3"/>
  <c r="E37" i="8"/>
  <c r="F23" i="8"/>
  <c r="D31" i="8"/>
  <c r="H39" i="3"/>
  <c r="D34" i="8"/>
  <c r="D25" i="8"/>
  <c r="D13" i="8"/>
  <c r="D48" i="8"/>
  <c r="D74" i="8"/>
  <c r="E13" i="8"/>
  <c r="E15" i="8"/>
  <c r="F16" i="8"/>
  <c r="H29" i="3"/>
  <c r="H33" i="3"/>
  <c r="H31" i="3"/>
  <c r="F22" i="8"/>
  <c r="F14" i="8"/>
  <c r="D75" i="8"/>
  <c r="D16" i="8"/>
  <c r="D42" i="8"/>
  <c r="D71" i="8"/>
  <c r="D86" i="8"/>
  <c r="D69" i="8"/>
  <c r="F15" i="8"/>
  <c r="F13" i="8"/>
  <c r="D14" i="8"/>
  <c r="D56" i="8"/>
  <c r="E23" i="8"/>
  <c r="D61" i="8"/>
  <c r="D52" i="8"/>
  <c r="D43" i="8"/>
  <c r="D90" i="8"/>
  <c r="D22" i="8"/>
  <c r="D45" i="8"/>
  <c r="H40" i="3"/>
  <c r="H37" i="3"/>
  <c r="H36" i="3"/>
  <c r="G34" i="3"/>
  <c r="G33" i="3"/>
  <c r="G35" i="3"/>
  <c r="G31" i="3"/>
  <c r="G30" i="3"/>
  <c r="G29" i="3"/>
  <c r="G42" i="3"/>
  <c r="G40" i="3"/>
  <c r="G32" i="3"/>
  <c r="G37" i="3"/>
  <c r="G38" i="3"/>
  <c r="G36" i="3"/>
  <c r="F32" i="3" l="1"/>
  <c r="F30" i="3"/>
  <c r="Q45" i="8"/>
  <c r="Q22" i="8"/>
  <c r="Q90" i="8"/>
  <c r="Q43" i="8"/>
  <c r="Q52" i="8"/>
  <c r="Q61" i="8"/>
  <c r="P23" i="8"/>
  <c r="Q56" i="8"/>
  <c r="Q14" i="8"/>
  <c r="R13" i="8"/>
  <c r="R15" i="8"/>
  <c r="Q69" i="8"/>
  <c r="Q86" i="8"/>
  <c r="Q71" i="8"/>
  <c r="Q42" i="8"/>
  <c r="Q16" i="8"/>
  <c r="Q75" i="8"/>
  <c r="R14" i="8"/>
  <c r="R22" i="8"/>
  <c r="R16" i="8"/>
  <c r="P15" i="8"/>
  <c r="P13" i="8"/>
  <c r="Q74" i="8"/>
  <c r="Q48" i="8"/>
  <c r="Q13" i="8"/>
  <c r="Q25" i="8"/>
  <c r="Q34" i="8"/>
  <c r="Q31" i="8"/>
  <c r="R23" i="8"/>
  <c r="P37" i="8"/>
  <c r="R37" i="8"/>
  <c r="P7" i="8"/>
  <c r="Q21" i="8"/>
  <c r="Q11" i="8"/>
  <c r="Q89" i="8"/>
  <c r="Q15" i="8"/>
  <c r="Q24" i="8"/>
  <c r="Q49" i="8"/>
  <c r="P14" i="8"/>
  <c r="P16" i="8"/>
  <c r="P22" i="8"/>
  <c r="Q12" i="8"/>
  <c r="R7" i="8"/>
  <c r="F33" i="3"/>
  <c r="F34" i="3"/>
  <c r="G53" i="3"/>
  <c r="D64" i="3"/>
  <c r="D66" i="3"/>
  <c r="D65" i="3"/>
  <c r="D60" i="3"/>
  <c r="D68" i="3"/>
  <c r="D70" i="3"/>
  <c r="D57" i="3"/>
  <c r="D58" i="3"/>
  <c r="D59" i="3"/>
  <c r="D63" i="3"/>
  <c r="D61" i="3"/>
  <c r="D62" i="3"/>
  <c r="E64" i="3"/>
  <c r="E65" i="3"/>
  <c r="E68" i="3"/>
  <c r="E59" i="3"/>
  <c r="E61" i="3"/>
  <c r="E57" i="3"/>
  <c r="E67" i="3"/>
  <c r="E58" i="3"/>
  <c r="E62" i="3"/>
  <c r="E60" i="3"/>
  <c r="Q2" i="1"/>
  <c r="P2" i="1"/>
  <c r="U122" i="1"/>
  <c r="AA122" i="1" s="1"/>
  <c r="R122" i="1"/>
  <c r="X9" i="1"/>
  <c r="U60" i="1"/>
  <c r="AA60" i="1" s="1"/>
  <c r="R60" i="1"/>
  <c r="F31" i="3"/>
  <c r="X61" i="1"/>
  <c r="X81" i="1"/>
  <c r="X189" i="1"/>
  <c r="X174" i="1"/>
  <c r="F39" i="3"/>
  <c r="F53" i="3"/>
  <c r="AA174" i="1"/>
  <c r="X23" i="1"/>
  <c r="U319" i="1"/>
  <c r="AA319" i="1" s="1"/>
  <c r="R319" i="1"/>
  <c r="X107" i="1"/>
  <c r="X311" i="1"/>
  <c r="D36" i="3"/>
  <c r="E36" i="3" s="1"/>
  <c r="C64" i="3" s="1"/>
  <c r="U61" i="1"/>
  <c r="W61" i="1"/>
  <c r="D38" i="3"/>
  <c r="E38" i="3" s="1"/>
  <c r="C66" i="3" s="1"/>
  <c r="U107" i="1"/>
  <c r="W107" i="1"/>
  <c r="D37" i="3"/>
  <c r="E37" i="3" s="1"/>
  <c r="C65" i="3" s="1"/>
  <c r="U81" i="1"/>
  <c r="W81" i="1"/>
  <c r="U15" i="1"/>
  <c r="D32" i="3"/>
  <c r="E32" i="3" s="1"/>
  <c r="C60" i="3" s="1"/>
  <c r="W15" i="1"/>
  <c r="D40" i="3"/>
  <c r="E40" i="3" s="1"/>
  <c r="C68" i="3" s="1"/>
  <c r="U189" i="1"/>
  <c r="W189" i="1"/>
  <c r="D42" i="3"/>
  <c r="E42" i="3" s="1"/>
  <c r="C70" i="3" s="1"/>
  <c r="U311" i="1"/>
  <c r="W311" i="1"/>
  <c r="W3" i="1"/>
  <c r="D29" i="3"/>
  <c r="E29" i="3" s="1"/>
  <c r="C57" i="3" s="1"/>
  <c r="U3" i="1"/>
  <c r="U5" i="1"/>
  <c r="D30" i="3"/>
  <c r="E30" i="3" s="1"/>
  <c r="C58" i="3" s="1"/>
  <c r="W5" i="1"/>
  <c r="U9" i="1"/>
  <c r="D31" i="3"/>
  <c r="E31" i="3" s="1"/>
  <c r="C59" i="3" s="1"/>
  <c r="W9" i="1"/>
  <c r="D35" i="3"/>
  <c r="E35" i="3" s="1"/>
  <c r="C63" i="3" s="1"/>
  <c r="U45" i="1"/>
  <c r="W45" i="1"/>
  <c r="D33" i="3"/>
  <c r="E33" i="3" s="1"/>
  <c r="C61" i="3" s="1"/>
  <c r="U23" i="1"/>
  <c r="W23" i="1"/>
  <c r="D34" i="3"/>
  <c r="E34" i="3" s="1"/>
  <c r="C62" i="3" s="1"/>
  <c r="U33" i="1"/>
  <c r="W33" i="1"/>
  <c r="G28" i="3"/>
  <c r="D6" i="8"/>
  <c r="H42" i="3"/>
  <c r="H38" i="3"/>
  <c r="D68" i="8"/>
  <c r="D5" i="8"/>
  <c r="H35" i="3"/>
  <c r="K29" i="3"/>
  <c r="K30" i="3"/>
  <c r="K31" i="3"/>
  <c r="K35" i="3"/>
  <c r="K33" i="3"/>
  <c r="K34" i="3"/>
  <c r="K36" i="3"/>
  <c r="K38" i="3"/>
  <c r="K37" i="3"/>
  <c r="K32" i="3"/>
  <c r="K40" i="3"/>
  <c r="K42" i="3"/>
  <c r="Q5" i="8" l="1"/>
  <c r="Q68" i="8"/>
  <c r="Q6" i="8"/>
  <c r="E63" i="3"/>
  <c r="E66" i="3"/>
  <c r="E70" i="3"/>
  <c r="G43" i="3"/>
  <c r="C47" i="3" s="1"/>
  <c r="D56" i="3"/>
  <c r="D53" i="3" s="1"/>
  <c r="X60" i="1"/>
  <c r="F35" i="3"/>
  <c r="X122" i="1"/>
  <c r="F38" i="3"/>
  <c r="X319" i="1"/>
  <c r="F42" i="3"/>
  <c r="U2" i="1"/>
  <c r="D28" i="3"/>
  <c r="E28" i="3" s="1"/>
  <c r="R2" i="1"/>
  <c r="W2" i="1"/>
  <c r="AA311" i="1"/>
  <c r="AA189" i="1"/>
  <c r="AA15" i="1"/>
  <c r="AA81" i="1"/>
  <c r="AA107" i="1"/>
  <c r="AA61" i="1"/>
  <c r="AA33" i="1"/>
  <c r="AA23" i="1"/>
  <c r="AA45" i="1"/>
  <c r="AA9" i="1"/>
  <c r="AA5" i="1"/>
  <c r="AA3" i="1"/>
  <c r="D37" i="8"/>
  <c r="H28" i="3"/>
  <c r="D23" i="8"/>
  <c r="K28" i="3"/>
  <c r="Q23" i="8" l="1"/>
  <c r="Q37" i="8"/>
  <c r="K43" i="3"/>
  <c r="H43" i="3"/>
  <c r="E56" i="3"/>
  <c r="E53" i="3" s="1"/>
  <c r="E43" i="3"/>
  <c r="C45" i="3" s="1"/>
  <c r="C56" i="3"/>
  <c r="C53" i="3" s="1"/>
  <c r="AA2" i="1"/>
  <c r="X2" i="1"/>
  <c r="F28" i="3"/>
  <c r="F43" i="3" s="1"/>
  <c r="D7" i="8"/>
  <c r="Q7" i="8" l="1"/>
  <c r="V6" i="8" a="1"/>
  <c r="Y7" i="8" s="1"/>
  <c r="C48" i="3"/>
  <c r="V6" i="8" l="1"/>
  <c r="V7" i="8" s="1"/>
  <c r="Z7" i="8"/>
  <c r="X7" i="8"/>
  <c r="W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Milton Rocha</author>
  </authors>
  <commentList>
    <comment ref="C13" authorId="0" shapeId="0" xr:uid="{84EB3CDA-63C2-6F4C-87C5-CF2421445675}">
      <text>
        <r>
          <rPr>
            <b/>
            <sz val="10"/>
            <color rgb="FF000000"/>
            <rFont val="Tahoma"/>
            <family val="2"/>
          </rPr>
          <t>Milton Rocha: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 xml:space="preserve">* Float Pré : </t>
        </r>
        <r>
          <rPr>
            <sz val="10"/>
            <color rgb="FF000000"/>
            <rFont val="Tahoma"/>
            <family val="2"/>
          </rPr>
          <t xml:space="preserve">calcula a pré a partir da Real Spot e Implícita
</t>
        </r>
        <r>
          <rPr>
            <b/>
            <sz val="10"/>
            <color rgb="FF000000"/>
            <rFont val="Tahoma"/>
            <family val="2"/>
          </rPr>
          <t xml:space="preserve">* Float Real : </t>
        </r>
        <r>
          <rPr>
            <sz val="10"/>
            <color rgb="FF000000"/>
            <rFont val="Tahoma"/>
            <family val="2"/>
          </rPr>
          <t xml:space="preserve">calcula a taxa de juros real a partir da Pré Spot e Implícita
</t>
        </r>
        <r>
          <rPr>
            <b/>
            <sz val="10"/>
            <color rgb="FF000000"/>
            <rFont val="Tahoma"/>
            <family val="2"/>
          </rPr>
          <t xml:space="preserve">* Float Implícita : </t>
        </r>
        <r>
          <rPr>
            <sz val="10"/>
            <color rgb="FF000000"/>
            <rFont val="Tahoma"/>
            <family val="2"/>
          </rPr>
          <t>calcula a implícita a partir da Pré Spot e Real Spot</t>
        </r>
      </text>
    </comment>
    <comment ref="C14" authorId="0" shapeId="0" xr:uid="{C873A676-8DCF-E24D-8D83-2C9426B71969}">
      <text>
        <r>
          <rPr>
            <b/>
            <sz val="10"/>
            <color rgb="FF000000"/>
            <rFont val="Tahoma"/>
            <family val="2"/>
          </rPr>
          <t>Milton Rocha: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 xml:space="preserve">*Mercado : </t>
        </r>
        <r>
          <rPr>
            <sz val="10"/>
            <color rgb="FF000000"/>
            <rFont val="Tahoma"/>
            <family val="2"/>
          </rPr>
          <t xml:space="preserve">usa curva de juros do mercado
</t>
        </r>
        <r>
          <rPr>
            <b/>
            <sz val="10"/>
            <color rgb="FF000000"/>
            <rFont val="Tahoma"/>
            <family val="2"/>
          </rPr>
          <t xml:space="preserve">*Simulada : </t>
        </r>
        <r>
          <rPr>
            <sz val="10"/>
            <color rgb="FF000000"/>
            <rFont val="Tahoma"/>
            <family val="2"/>
          </rPr>
          <t>usa curva de juros com choques de "Simulador"</t>
        </r>
      </text>
    </comment>
    <comment ref="C17" authorId="0" shapeId="0" xr:uid="{1DDCB1B5-26AB-7C42-94A5-ED12EBBB02B4}">
      <text>
        <r>
          <rPr>
            <b/>
            <sz val="10"/>
            <color rgb="FF000000"/>
            <rFont val="Tahoma"/>
            <family val="2"/>
          </rPr>
          <t>Milton Rocha: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https://www.anbima.com.br/pt_br/informar/estatisticas/precos-e-indices/projecao-de-inflacao-gp-m.htm</t>
        </r>
      </text>
    </comment>
    <comment ref="C21" authorId="0" shapeId="0" xr:uid="{187DB7D8-8616-9644-8BF4-52FA3457FE3F}">
      <text>
        <r>
          <rPr>
            <b/>
            <sz val="10"/>
            <color rgb="FF000000"/>
            <rFont val="Tahoma"/>
            <family val="2"/>
          </rPr>
          <t>Milton Rocha: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http://www.ipeadata.gov.br/ExibeSerie.aspx?serid=36482&amp;module=M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<sst xmlns="http://schemas.openxmlformats.org/spreadsheetml/2006/main" count="581" uniqueCount="148">
  <si>
    <t>Bond</t>
  </si>
  <si>
    <t>Maturity</t>
  </si>
  <si>
    <t>Coupon</t>
  </si>
  <si>
    <t>VNA</t>
  </si>
  <si>
    <t>Data</t>
  </si>
  <si>
    <t>Código SELIC</t>
  </si>
  <si>
    <t>Data Base/Emissão</t>
  </si>
  <si>
    <t>Data de Vencimento</t>
  </si>
  <si>
    <t>Tx. Compra</t>
  </si>
  <si>
    <t>Tx. Venda</t>
  </si>
  <si>
    <t>Tx. Indicativas</t>
  </si>
  <si>
    <t>PU</t>
  </si>
  <si>
    <t>Mínimo (D0)</t>
  </si>
  <si>
    <t>Máximo (D0)</t>
  </si>
  <si>
    <t>Mínimo (D+1)</t>
  </si>
  <si>
    <t>Máximo (D+1)</t>
  </si>
  <si>
    <t>Duration</t>
  </si>
  <si>
    <t>DV01</t>
  </si>
  <si>
    <t>valDate</t>
  </si>
  <si>
    <t>V22</t>
  </si>
  <si>
    <t>X22</t>
  </si>
  <si>
    <t>Z22</t>
  </si>
  <si>
    <t>F23</t>
  </si>
  <si>
    <t>G23</t>
  </si>
  <si>
    <t>H23</t>
  </si>
  <si>
    <t>J23</t>
  </si>
  <si>
    <t>K23</t>
  </si>
  <si>
    <t>M23</t>
  </si>
  <si>
    <t>N23</t>
  </si>
  <si>
    <t>Q23</t>
  </si>
  <si>
    <t>U23</t>
  </si>
  <si>
    <t>V23</t>
  </si>
  <si>
    <t>F24</t>
  </si>
  <si>
    <t>J24</t>
  </si>
  <si>
    <t>N24</t>
  </si>
  <si>
    <t>V24</t>
  </si>
  <si>
    <t>F25</t>
  </si>
  <si>
    <t>J25</t>
  </si>
  <si>
    <t>N25</t>
  </si>
  <si>
    <t>V25</t>
  </si>
  <si>
    <t>F26</t>
  </si>
  <si>
    <t>J26</t>
  </si>
  <si>
    <t>N26</t>
  </si>
  <si>
    <t>V26</t>
  </si>
  <si>
    <t>F27</t>
  </si>
  <si>
    <t>J27</t>
  </si>
  <si>
    <t>N27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</si>
  <si>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</si>
  <si>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</si>
  <si>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</si>
  <si>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</si>
  <si>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</si>
  <si>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</si>
  <si>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</si>
  <si>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</si>
  <si>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</si>
  <si>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</si>
  <si>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DU</t>
  </si>
  <si>
    <t>Settlement</t>
  </si>
  <si>
    <t>Ticker</t>
  </si>
  <si>
    <t>Yield</t>
  </si>
  <si>
    <t>Pré interp.</t>
  </si>
  <si>
    <t>Venc. Sint. Dur.</t>
  </si>
  <si>
    <t>Implícita Est.</t>
  </si>
  <si>
    <t>Du Duration</t>
  </si>
  <si>
    <t>B23 P</t>
  </si>
  <si>
    <t>B23</t>
  </si>
  <si>
    <t>Implícita</t>
  </si>
  <si>
    <t>VP Cupom</t>
  </si>
  <si>
    <t>Cotação</t>
  </si>
  <si>
    <t>𝛿P/𝛿VNA</t>
  </si>
  <si>
    <t>𝛿P/𝛿r_real</t>
  </si>
  <si>
    <t>𝛿P/𝛿r_pre</t>
  </si>
  <si>
    <t>𝛿P/𝛿r_implicita</t>
  </si>
  <si>
    <t>FC</t>
  </si>
  <si>
    <t>Pré</t>
  </si>
  <si>
    <t>𝛿P/𝛿du</t>
  </si>
  <si>
    <t>B24</t>
  </si>
  <si>
    <t>B25</t>
  </si>
  <si>
    <t>B26</t>
  </si>
  <si>
    <t>B27</t>
  </si>
  <si>
    <t>B28</t>
  </si>
  <si>
    <t>B30</t>
  </si>
  <si>
    <t>B32</t>
  </si>
  <si>
    <t>B35</t>
  </si>
  <si>
    <t>B40</t>
  </si>
  <si>
    <t>B45</t>
  </si>
  <si>
    <t>B50</t>
  </si>
  <si>
    <t>B55</t>
  </si>
  <si>
    <t>B60</t>
  </si>
  <si>
    <t>Quantidade</t>
  </si>
  <si>
    <t>PU Est.</t>
  </si>
  <si>
    <t>Financeiro ($MM)</t>
  </si>
  <si>
    <t>Portfolio 𝛿P/𝛿VNA</t>
  </si>
  <si>
    <t>Portfolio 𝛿P/𝛿r_real</t>
  </si>
  <si>
    <t>Portfolio 𝛿P/𝛿r_pre</t>
  </si>
  <si>
    <t>Portfolio 𝛿P/𝛿r_implicita</t>
  </si>
  <si>
    <t>Portfolio 𝛿P/𝛿du</t>
  </si>
  <si>
    <t>Total</t>
  </si>
  <si>
    <t>$/bp</t>
  </si>
  <si>
    <t>DV01 (YTM)</t>
  </si>
  <si>
    <t>Método</t>
  </si>
  <si>
    <t>Resumo</t>
  </si>
  <si>
    <t>Vértice</t>
  </si>
  <si>
    <t>Shift Pré</t>
  </si>
  <si>
    <t>Shift Real</t>
  </si>
  <si>
    <t>Shift Implícita</t>
  </si>
  <si>
    <t>Pré-choque</t>
  </si>
  <si>
    <t>Pós-choque</t>
  </si>
  <si>
    <t>Impacto</t>
  </si>
  <si>
    <t>Curva de uso</t>
  </si>
  <si>
    <t>Pré Mercado</t>
  </si>
  <si>
    <t>Pré Simulada</t>
  </si>
  <si>
    <t>Implícita Mercado</t>
  </si>
  <si>
    <t>Implícita Simulada</t>
  </si>
  <si>
    <t>Real Mercado</t>
  </si>
  <si>
    <t>Real Simulada</t>
  </si>
  <si>
    <t>Simulada</t>
  </si>
  <si>
    <t>du</t>
  </si>
  <si>
    <t>Dados extrapolados</t>
  </si>
  <si>
    <t>Projeção ANBIMA</t>
  </si>
  <si>
    <t>Prox. Divulgação</t>
  </si>
  <si>
    <t>Últ. Divulgação</t>
  </si>
  <si>
    <t>Último IIPCA</t>
  </si>
  <si>
    <t>IIPCA Pro Rata</t>
  </si>
  <si>
    <t>Portfólio</t>
  </si>
  <si>
    <t>https://www.anbima.com.br/pt_br/informar/taxas-de-titulos-publicos.htm</t>
  </si>
  <si>
    <t>Net Carry DU</t>
  </si>
  <si>
    <t>Impacto VNA (via derivada)</t>
  </si>
  <si>
    <t>Carry implícito Pro Rata (analítico)</t>
  </si>
  <si>
    <t>P&amp;L Choque Implícita</t>
  </si>
  <si>
    <t>P&amp;L Choque Real</t>
  </si>
  <si>
    <t>P&amp;L Choque Pré</t>
  </si>
  <si>
    <t>Float Implícita</t>
  </si>
  <si>
    <t>OVER</t>
  </si>
  <si>
    <t>Real YTM</t>
  </si>
  <si>
    <t>Real Spot</t>
  </si>
  <si>
    <t>Beta0</t>
  </si>
  <si>
    <t>Beta1</t>
  </si>
  <si>
    <t>Beta2</t>
  </si>
  <si>
    <t>Beta3</t>
  </si>
  <si>
    <t>Lambda1</t>
  </si>
  <si>
    <t>Lambda2</t>
  </si>
  <si>
    <t>Autor</t>
  </si>
  <si>
    <t>Milton Rocha</t>
  </si>
  <si>
    <t>Medium</t>
  </si>
  <si>
    <t>GitHub</t>
  </si>
  <si>
    <t>*fitting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</si>
</sst>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R$&quot;\ #,##0;[Red]\-&quot;R$&quot;\ #,##0"/>
    <numFmt numFmtId="8" formatCode="&quot;R$&quot;\ #,##0.00;[Red]\-&quot;R$&quot;\ #,##0.00"/>
    <numFmt numFmtId="164" formatCode="0.0000%"/>
    <numFmt numFmtId="165" formatCode="#,##0.0000"/>
    <numFmt numFmtId="166" formatCode="&quot;R$&quot;\ #,##0;[Red]\-&quot;R$&quot;\ #,##0;\-"/>
    <numFmt numFmtId="167" formatCode="#,##0;[Red]\(#,##0\);\-"/>
    <numFmt numFmtId="168" formatCode="#,##0.00;[Red]\(#,##0.00\);\-"/>
    <numFmt numFmtId="169" formatCode="&quot;R$&quot;\ #,##0.00;[Red]\-&quot;R$&quot;\ #,##0.00;\-"/>
    <numFmt numFmtId="170" formatCode="#,##0.00000"/>
    <numFmt numFmtId="171" formatCode="&quot;R$&quot;\ #,##0.00000;[Red]\-&quot;R$&quot;\ #,##0.00000"/>
    <numFmt numFmtId="175" formatCode="#,##0.00_ ;[Red]\(#,##0.00\);\-"/>
    <numFmt numFmtId="176" formatCode="0.00_ ;[Red]\(0.00\);\-"/>
    <numFmt numFmtId="178" formatCode="0.00%;[Red]\(0.00%\);\-"/>
    <numFmt numFmtId="180" formatCode="#,##0.00_ ;[Red]\-#,##0.00\ "/>
  </numFmts>
  <fonts count="20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rial"/>
      <family val="2"/>
    </font>
    <font>
      <i/>
      <sz val="12"/>
      <color theme="0" tint="-0.249977111117893"/>
      <name val="Arial"/>
      <family val="2"/>
    </font>
    <font>
      <b/>
      <i/>
      <sz val="12"/>
      <color theme="1"/>
      <name val="Arial"/>
      <family val="2"/>
    </font>
    <font>
      <b/>
      <sz val="11"/>
      <color rgb="FF666666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1"/>
      <color theme="1" tint="0.499984740745262"/>
      <name val="Arial"/>
      <family val="2"/>
    </font>
    <font>
      <i/>
      <sz val="12"/>
      <color theme="1" tint="0.499984740745262"/>
      <name val="Arial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8"/>
      <color theme="1"/>
      <name val="Arial Black"/>
      <family val="2"/>
    </font>
    <font>
      <u/>
      <sz val="12"/>
      <color theme="10"/>
      <name val="Calibri"/>
      <family val="2"/>
      <scheme val="minor"/>
    </font>
    <font>
      <b/>
      <sz val="14"/>
      <color theme="1"/>
      <name val="Arial black"/>
      <family val="2"/>
    </font>
    <font>
      <sz val="12"/>
      <color theme="1" tint="0.49998474074526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ck">
        <color rgb="FFC00000"/>
      </left>
      <right/>
      <top style="thick">
        <color rgb="FFC00000"/>
      </top>
      <bottom style="thin">
        <color auto="1"/>
      </bottom>
      <diagonal/>
    </border>
    <border>
      <left/>
      <right/>
      <top style="thick">
        <color rgb="FFC00000"/>
      </top>
      <bottom style="thin">
        <color auto="1"/>
      </bottom>
      <diagonal/>
    </border>
    <border>
      <left/>
      <right style="thick">
        <color rgb="FFC00000"/>
      </right>
      <top style="thick">
        <color rgb="FFC00000"/>
      </top>
      <bottom style="thin">
        <color auto="1"/>
      </bottom>
      <diagonal/>
    </border>
    <border>
      <left style="thick">
        <color rgb="FFC00000"/>
      </left>
      <right/>
      <top style="thin">
        <color auto="1"/>
      </top>
      <bottom style="thin">
        <color auto="1"/>
      </bottom>
      <diagonal/>
    </border>
    <border>
      <left/>
      <right style="thick">
        <color rgb="FFC00000"/>
      </right>
      <top style="thin">
        <color auto="1"/>
      </top>
      <bottom style="thin">
        <color auto="1"/>
      </bottom>
      <diagonal/>
    </border>
    <border>
      <left style="thick">
        <color rgb="FFC00000"/>
      </left>
      <right/>
      <top style="thin">
        <color auto="1"/>
      </top>
      <bottom style="thick">
        <color rgb="FFC00000"/>
      </bottom>
      <diagonal/>
    </border>
    <border>
      <left/>
      <right/>
      <top style="thin">
        <color auto="1"/>
      </top>
      <bottom style="thick">
        <color rgb="FFC00000"/>
      </bottom>
      <diagonal/>
    </border>
    <border>
      <left/>
      <right style="thick">
        <color rgb="FFC00000"/>
      </right>
      <top style="thin">
        <color auto="1"/>
      </top>
      <bottom style="thick">
        <color rgb="FFC00000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/>
      <top style="thin">
        <color auto="1"/>
      </top>
      <bottom style="dashed">
        <color auto="1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10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/>
    <xf numFmtId="4" fontId="4" fillId="0" borderId="0" xfId="0" applyNumberFormat="1" applyFont="1"/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8" fontId="4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169" fontId="4" fillId="0" borderId="1" xfId="0" applyNumberFormat="1" applyFon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4" fillId="0" borderId="1" xfId="0" applyNumberFormat="1" applyFont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9" fontId="5" fillId="0" borderId="1" xfId="0" applyNumberFormat="1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166" fontId="4" fillId="0" borderId="0" xfId="0" applyNumberFormat="1" applyFont="1"/>
    <xf numFmtId="170" fontId="4" fillId="0" borderId="0" xfId="0" applyNumberFormat="1" applyFont="1"/>
    <xf numFmtId="171" fontId="4" fillId="0" borderId="0" xfId="0" applyNumberFormat="1" applyFont="1"/>
    <xf numFmtId="0" fontId="3" fillId="2" borderId="1" xfId="0" applyFont="1" applyFill="1" applyBorder="1"/>
    <xf numFmtId="0" fontId="7" fillId="0" borderId="3" xfId="0" applyFont="1" applyBorder="1"/>
    <xf numFmtId="0" fontId="6" fillId="0" borderId="0" xfId="0" applyFont="1" applyAlignment="1">
      <alignment horizontal="left" indent="1"/>
    </xf>
    <xf numFmtId="4" fontId="8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4" fontId="4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8" fontId="4" fillId="0" borderId="0" xfId="0" applyNumberFormat="1" applyFont="1" applyAlignment="1">
      <alignment horizontal="center" vertical="center"/>
    </xf>
    <xf numFmtId="0" fontId="5" fillId="0" borderId="3" xfId="0" applyFont="1" applyBorder="1"/>
    <xf numFmtId="4" fontId="4" fillId="0" borderId="3" xfId="0" applyNumberFormat="1" applyFont="1" applyBorder="1"/>
    <xf numFmtId="0" fontId="4" fillId="0" borderId="3" xfId="0" applyFont="1" applyBorder="1"/>
    <xf numFmtId="10" fontId="4" fillId="0" borderId="1" xfId="0" applyNumberFormat="1" applyFont="1" applyBorder="1" applyAlignment="1">
      <alignment horizontal="center" vertical="center"/>
    </xf>
    <xf numFmtId="4" fontId="0" fillId="0" borderId="0" xfId="0" applyNumberFormat="1"/>
    <xf numFmtId="0" fontId="3" fillId="2" borderId="1" xfId="0" applyFont="1" applyFill="1" applyBorder="1" applyAlignment="1">
      <alignment horizontal="center" vertical="center" wrapText="1"/>
    </xf>
    <xf numFmtId="175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176" fontId="0" fillId="4" borderId="0" xfId="0" applyNumberFormat="1" applyFill="1" applyAlignment="1">
      <alignment horizontal="center" vertical="center"/>
    </xf>
    <xf numFmtId="8" fontId="5" fillId="0" borderId="1" xfId="0" applyNumberFormat="1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5" fillId="0" borderId="1" xfId="0" applyFont="1" applyBorder="1"/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/>
    <xf numFmtId="3" fontId="4" fillId="0" borderId="1" xfId="0" applyNumberFormat="1" applyFont="1" applyBorder="1" applyAlignment="1">
      <alignment horizontal="center" vertical="center"/>
    </xf>
    <xf numFmtId="4" fontId="4" fillId="3" borderId="1" xfId="0" applyNumberFormat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175" fontId="4" fillId="0" borderId="2" xfId="0" applyNumberFormat="1" applyFont="1" applyBorder="1" applyAlignment="1">
      <alignment horizontal="center" vertical="center"/>
    </xf>
    <xf numFmtId="10" fontId="4" fillId="0" borderId="2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175" fontId="4" fillId="0" borderId="6" xfId="0" applyNumberFormat="1" applyFont="1" applyBorder="1" applyAlignment="1">
      <alignment horizontal="center" vertical="center"/>
    </xf>
    <xf numFmtId="10" fontId="4" fillId="0" borderId="6" xfId="0" applyNumberFormat="1" applyFont="1" applyBorder="1" applyAlignment="1">
      <alignment horizontal="center" vertical="center"/>
    </xf>
    <xf numFmtId="14" fontId="4" fillId="0" borderId="8" xfId="0" applyNumberFormat="1" applyFont="1" applyBorder="1" applyAlignment="1">
      <alignment horizontal="center" vertical="center"/>
    </xf>
    <xf numFmtId="14" fontId="4" fillId="0" borderId="10" xfId="0" applyNumberFormat="1" applyFont="1" applyBorder="1" applyAlignment="1">
      <alignment horizontal="center" vertical="center"/>
    </xf>
    <xf numFmtId="3" fontId="4" fillId="0" borderId="11" xfId="0" applyNumberFormat="1" applyFont="1" applyBorder="1" applyAlignment="1">
      <alignment horizontal="center" vertical="center"/>
    </xf>
    <xf numFmtId="175" fontId="4" fillId="0" borderId="11" xfId="0" applyNumberFormat="1" applyFont="1" applyBorder="1" applyAlignment="1">
      <alignment horizontal="center" vertical="center"/>
    </xf>
    <xf numFmtId="10" fontId="4" fillId="0" borderId="11" xfId="0" applyNumberFormat="1" applyFont="1" applyBorder="1" applyAlignment="1">
      <alignment horizontal="center" vertical="center"/>
    </xf>
    <xf numFmtId="0" fontId="4" fillId="0" borderId="4" xfId="0" applyFont="1" applyBorder="1"/>
    <xf numFmtId="10" fontId="4" fillId="0" borderId="0" xfId="0" applyNumberFormat="1" applyFont="1"/>
    <xf numFmtId="178" fontId="4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 indent="1"/>
    </xf>
    <xf numFmtId="14" fontId="13" fillId="0" borderId="0" xfId="0" applyNumberFormat="1" applyFont="1"/>
    <xf numFmtId="0" fontId="3" fillId="2" borderId="1" xfId="0" applyFont="1" applyFill="1" applyBorder="1" applyAlignment="1">
      <alignment horizontal="center" vertical="center" wrapText="1"/>
    </xf>
    <xf numFmtId="0" fontId="16" fillId="0" borderId="3" xfId="0" applyFont="1" applyBorder="1"/>
    <xf numFmtId="180" fontId="5" fillId="0" borderId="1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180" fontId="5" fillId="0" borderId="0" xfId="0" applyNumberFormat="1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 wrapText="1"/>
    </xf>
    <xf numFmtId="180" fontId="5" fillId="0" borderId="13" xfId="0" applyNumberFormat="1" applyFont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180" fontId="5" fillId="0" borderId="14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67" fontId="4" fillId="4" borderId="1" xfId="0" applyNumberFormat="1" applyFont="1" applyFill="1" applyBorder="1" applyAlignment="1">
      <alignment horizontal="center" vertical="center"/>
    </xf>
    <xf numFmtId="6" fontId="4" fillId="0" borderId="1" xfId="0" applyNumberFormat="1" applyFont="1" applyBorder="1" applyAlignment="1">
      <alignment horizontal="center" vertical="center"/>
    </xf>
    <xf numFmtId="167" fontId="4" fillId="4" borderId="2" xfId="0" applyNumberFormat="1" applyFont="1" applyFill="1" applyBorder="1" applyAlignment="1">
      <alignment horizontal="center" vertical="center"/>
    </xf>
    <xf numFmtId="167" fontId="4" fillId="4" borderId="6" xfId="0" applyNumberFormat="1" applyFont="1" applyFill="1" applyBorder="1" applyAlignment="1">
      <alignment horizontal="center" vertical="center"/>
    </xf>
    <xf numFmtId="167" fontId="4" fillId="4" borderId="11" xfId="0" applyNumberFormat="1" applyFont="1" applyFill="1" applyBorder="1" applyAlignment="1">
      <alignment horizontal="center" vertical="center"/>
    </xf>
    <xf numFmtId="6" fontId="4" fillId="0" borderId="0" xfId="0" applyNumberFormat="1" applyFont="1"/>
    <xf numFmtId="10" fontId="0" fillId="0" borderId="0" xfId="0" applyNumberFormat="1"/>
    <xf numFmtId="4" fontId="10" fillId="0" borderId="0" xfId="0" applyNumberFormat="1" applyFont="1"/>
    <xf numFmtId="175" fontId="0" fillId="0" borderId="0" xfId="0" applyNumberFormat="1"/>
    <xf numFmtId="0" fontId="18" fillId="0" borderId="0" xfId="0" applyFont="1"/>
    <xf numFmtId="0" fontId="19" fillId="0" borderId="0" xfId="0" applyFont="1" applyAlignment="1">
      <alignment horizontal="left" indent="1"/>
    </xf>
    <xf numFmtId="0" fontId="19" fillId="0" borderId="0" xfId="0" applyFont="1"/>
    <xf numFmtId="0" fontId="17" fillId="0" borderId="0" xfId="1"/>
    <xf numFmtId="167" fontId="4" fillId="0" borderId="2" xfId="0" applyNumberFormat="1" applyFont="1" applyBorder="1" applyAlignment="1">
      <alignment horizontal="center" vertical="center"/>
    </xf>
    <xf numFmtId="167" fontId="4" fillId="0" borderId="6" xfId="0" applyNumberFormat="1" applyFont="1" applyBorder="1" applyAlignment="1">
      <alignment horizontal="center" vertical="center"/>
    </xf>
    <xf numFmtId="167" fontId="4" fillId="0" borderId="11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indent="1"/>
    </xf>
    <xf numFmtId="167" fontId="4" fillId="0" borderId="7" xfId="0" applyNumberFormat="1" applyFont="1" applyBorder="1" applyAlignment="1">
      <alignment horizontal="center" vertical="center"/>
    </xf>
    <xf numFmtId="167" fontId="4" fillId="0" borderId="9" xfId="0" applyNumberFormat="1" applyFont="1" applyBorder="1" applyAlignment="1">
      <alignment horizontal="center" vertical="center"/>
    </xf>
    <xf numFmtId="167" fontId="4" fillId="0" borderId="12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9">
    <dxf>
      <numFmt numFmtId="14" formatCode="0.00%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176" formatCode="0.00_ ;[Red]\(0.00\);\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76" formatCode="0.00_ ;[Red]\(0.00\);\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76" formatCode="0.00_ ;[Red]\(0.00\);\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68" formatCode="#,##0.00;[Red]\(#,##0.00\);\-"/>
      <alignment horizontal="center" vertical="center" textRotation="0" wrapText="0" indent="0" justifyLastLine="0" shrinkToFit="0" readingOrder="0"/>
    </dxf>
    <dxf>
      <numFmt numFmtId="168" formatCode="#,##0.00;[Red]\(#,##0.00\);\-"/>
      <alignment horizontal="center" vertical="center" textRotation="0" wrapText="0" indent="0" justifyLastLine="0" shrinkToFit="0" readingOrder="0"/>
    </dxf>
    <dxf>
      <numFmt numFmtId="168" formatCode="#,##0.00;[Red]\(#,##0.00\);\-"/>
      <alignment horizontal="center" vertical="center" textRotation="0" wrapText="0" indent="0" justifyLastLine="0" shrinkToFit="0" readingOrder="0"/>
    </dxf>
    <dxf>
      <numFmt numFmtId="168" formatCode="#,##0.00;[Red]\(#,##0.00\);\-"/>
      <alignment horizontal="center" vertical="center" textRotation="0" wrapText="0" indent="0" justifyLastLine="0" shrinkToFit="0" readingOrder="0"/>
    </dxf>
    <dxf>
      <numFmt numFmtId="165" formatCode="#,##0.00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#,##0.00;[Red]\(#,##0.00\);\-"/>
      <alignment horizontal="center" vertical="center" textRotation="0" wrapText="0" indent="0" justifyLastLine="0" shrinkToFit="0" readingOrder="0"/>
    </dxf>
    <dxf>
      <numFmt numFmtId="168" formatCode="#,##0.00;[Red]\(#,##0.00\);\-"/>
      <alignment horizontal="center" vertical="center" textRotation="0" wrapText="0" indent="0" justifyLastLine="0" shrinkToFit="0" readingOrder="0"/>
    </dxf>
    <dxf>
      <numFmt numFmtId="168" formatCode="#,##0.00;[Red]\(#,##0.00\);\-"/>
      <alignment horizontal="center" vertical="center" textRotation="0" wrapText="0" indent="0" justifyLastLine="0" shrinkToFit="0" readingOrder="0"/>
    </dxf>
    <dxf>
      <numFmt numFmtId="168" formatCode="#,##0.00;[Red]\(#,##0.00\);\-"/>
      <alignment horizontal="center" vertical="center" textRotation="0" wrapText="0" indent="0" justifyLastLine="0" shrinkToFit="0" readingOrder="0"/>
    </dxf>
    <dxf>
      <numFmt numFmtId="168" formatCode="#,##0.00;[Red]\(#,##0.00\);\-"/>
      <alignment horizontal="center" vertical="center" textRotation="0" wrapText="0" indent="0" justifyLastLine="0" shrinkToFit="0" readingOrder="0"/>
    </dxf>
    <dxf>
      <numFmt numFmtId="168" formatCode="#,##0.00;[Red]\(#,##0.00\);\-"/>
      <alignment horizontal="center" vertical="center" textRotation="0" wrapText="0" indent="0" justifyLastLine="0" shrinkToFit="0" readingOrder="0"/>
    </dxf>
    <dxf>
      <numFmt numFmtId="168" formatCode="#,##0.00;[Red]\(#,##0.00\);\-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9" formatCode="dd/mm/yy"/>
      <alignment horizontal="center" vertical="center" textRotation="0" wrapText="0" indent="0" justifyLastLine="0" shrinkToFit="0" readingOrder="0"/>
    </dxf>
    <dxf>
      <numFmt numFmtId="19" formatCode="dd/mm/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62151701195694"/>
          <c:y val="5.7053941908713691E-2"/>
          <c:w val="0.78473376368426762"/>
          <c:h val="0.78951753887262288"/>
        </c:manualLayout>
      </c:layout>
      <c:barChart>
        <c:barDir val="bar"/>
        <c:grouping val="clustered"/>
        <c:varyColors val="0"/>
        <c:ser>
          <c:idx val="0"/>
          <c:order val="0"/>
          <c:tx>
            <c:v>Summary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Dashboard!$G$27:$K$27</c:f>
              <c:strCache>
                <c:ptCount val="5"/>
                <c:pt idx="0">
                  <c:v>𝛿P/𝛿VNA</c:v>
                </c:pt>
                <c:pt idx="1">
                  <c:v>𝛿P/𝛿r_real</c:v>
                </c:pt>
                <c:pt idx="2">
                  <c:v>𝛿P/𝛿r_pre</c:v>
                </c:pt>
                <c:pt idx="3">
                  <c:v>𝛿P/𝛿r_implicita</c:v>
                </c:pt>
                <c:pt idx="4">
                  <c:v>𝛿P/𝛿du</c:v>
                </c:pt>
              </c:strCache>
            </c:strRef>
          </c:cat>
          <c:val>
            <c:numRef>
              <c:f>Dashboard!$G$43:$K$43</c:f>
              <c:numCache>
                <c:formatCode>"R$"\ #,##0;[Red]\-"R$"\ #,##0;\-</c:formatCode>
                <c:ptCount val="5"/>
                <c:pt idx="0">
                  <c:v>51399.160793369636</c:v>
                </c:pt>
                <c:pt idx="1">
                  <c:v>-354994.64969914948</c:v>
                </c:pt>
                <c:pt idx="2">
                  <c:v>-335621.61411958688</c:v>
                </c:pt>
                <c:pt idx="3">
                  <c:v>355408.95085360343</c:v>
                </c:pt>
                <c:pt idx="4">
                  <c:v>129342.28304919267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0960-0143-BDF6-E660B0DFB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02306239"/>
        <c:axId val="1830776992"/>
      </c:barChart>
      <c:catAx>
        <c:axId val="16023062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830776992"/>
        <c:crosses val="autoZero"/>
        <c:auto val="1"/>
        <c:lblAlgn val="ctr"/>
        <c:lblOffset val="100"/>
        <c:noMultiLvlLbl val="0"/>
      </c:catAx>
      <c:valAx>
        <c:axId val="183077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#,##0.0;[Red]\(#,##0.0\)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02306239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0.92433048156235453"/>
                <c:y val="0.92763668688323531"/>
              </c:manualLayout>
            </c:layout>
            <c:tx>
              <c:rich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 b="1"/>
                    <a:t>Milhares</a:t>
                  </a:r>
                  <a:r>
                    <a:rPr lang="en-US" b="1" baseline="0"/>
                    <a:t> (K)</a:t>
                  </a:r>
                  <a:endParaRPr lang="en-US" b="1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604020202020204" pitchFamily="34" charset="0"/>
                <a:ea typeface="+mn-ea"/>
                <a:cs typeface="Arial Black" panose="020B0604020202020204" pitchFamily="34" charset="0"/>
              </a:defRPr>
            </a:pPr>
            <a:r>
              <a:rPr lang="en-US" sz="2000" b="1" i="0">
                <a:latin typeface="Arial Black" panose="020B0604020202020204" pitchFamily="34" charset="0"/>
                <a:cs typeface="Arial Black" panose="020B0604020202020204" pitchFamily="34" charset="0"/>
              </a:rPr>
              <a:t>ETTJ Pré Mercado vs Simulada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604020202020204" pitchFamily="34" charset="0"/>
              <a:ea typeface="+mn-ea"/>
              <a:cs typeface="Arial Black" panose="020B0604020202020204" pitchFamily="34" charset="0"/>
            </a:defRPr>
          </a:pPr>
          <a:endParaRPr lang="en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Simulador!$G$4</c:f>
              <c:strCache>
                <c:ptCount val="1"/>
                <c:pt idx="0">
                  <c:v>Pré Mercado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Simulador!$B$5:$B$147</c:f>
              <c:numCache>
                <c:formatCode>m/d/yy</c:formatCode>
                <c:ptCount val="143"/>
                <c:pt idx="0">
                  <c:v>44881</c:v>
                </c:pt>
                <c:pt idx="1">
                  <c:v>44972</c:v>
                </c:pt>
                <c:pt idx="2">
                  <c:v>45000</c:v>
                </c:pt>
                <c:pt idx="3">
                  <c:v>45061</c:v>
                </c:pt>
                <c:pt idx="4">
                  <c:v>45153</c:v>
                </c:pt>
                <c:pt idx="5">
                  <c:v>45246</c:v>
                </c:pt>
                <c:pt idx="6">
                  <c:v>45337</c:v>
                </c:pt>
                <c:pt idx="7">
                  <c:v>45427</c:v>
                </c:pt>
                <c:pt idx="8">
                  <c:v>45519</c:v>
                </c:pt>
                <c:pt idx="9">
                  <c:v>45614</c:v>
                </c:pt>
                <c:pt idx="10">
                  <c:v>45705</c:v>
                </c:pt>
                <c:pt idx="11">
                  <c:v>45792</c:v>
                </c:pt>
                <c:pt idx="12">
                  <c:v>45884</c:v>
                </c:pt>
                <c:pt idx="13">
                  <c:v>45978</c:v>
                </c:pt>
                <c:pt idx="14">
                  <c:v>46071</c:v>
                </c:pt>
                <c:pt idx="15">
                  <c:v>46157</c:v>
                </c:pt>
                <c:pt idx="16">
                  <c:v>46251</c:v>
                </c:pt>
                <c:pt idx="17">
                  <c:v>46342</c:v>
                </c:pt>
                <c:pt idx="18">
                  <c:v>46433</c:v>
                </c:pt>
                <c:pt idx="19">
                  <c:v>46524</c:v>
                </c:pt>
                <c:pt idx="20">
                  <c:v>46615</c:v>
                </c:pt>
                <c:pt idx="21">
                  <c:v>46707</c:v>
                </c:pt>
                <c:pt idx="22">
                  <c:v>46798</c:v>
                </c:pt>
                <c:pt idx="23">
                  <c:v>46888</c:v>
                </c:pt>
                <c:pt idx="24">
                  <c:v>46980</c:v>
                </c:pt>
                <c:pt idx="25">
                  <c:v>47073</c:v>
                </c:pt>
                <c:pt idx="26">
                  <c:v>47164</c:v>
                </c:pt>
                <c:pt idx="27">
                  <c:v>47253</c:v>
                </c:pt>
                <c:pt idx="28">
                  <c:v>47345</c:v>
                </c:pt>
                <c:pt idx="29">
                  <c:v>47438</c:v>
                </c:pt>
                <c:pt idx="30">
                  <c:v>47529</c:v>
                </c:pt>
                <c:pt idx="31">
                  <c:v>47618</c:v>
                </c:pt>
                <c:pt idx="32">
                  <c:v>47710</c:v>
                </c:pt>
                <c:pt idx="33">
                  <c:v>47805</c:v>
                </c:pt>
                <c:pt idx="34">
                  <c:v>47896</c:v>
                </c:pt>
                <c:pt idx="35">
                  <c:v>47983</c:v>
                </c:pt>
                <c:pt idx="36">
                  <c:v>48075</c:v>
                </c:pt>
                <c:pt idx="37">
                  <c:v>48169</c:v>
                </c:pt>
                <c:pt idx="38">
                  <c:v>48260</c:v>
                </c:pt>
                <c:pt idx="39">
                  <c:v>48351</c:v>
                </c:pt>
                <c:pt idx="40">
                  <c:v>48442</c:v>
                </c:pt>
                <c:pt idx="41">
                  <c:v>48534</c:v>
                </c:pt>
                <c:pt idx="42">
                  <c:v>48625</c:v>
                </c:pt>
                <c:pt idx="43">
                  <c:v>48715</c:v>
                </c:pt>
                <c:pt idx="44">
                  <c:v>48806</c:v>
                </c:pt>
                <c:pt idx="45">
                  <c:v>48899</c:v>
                </c:pt>
                <c:pt idx="46">
                  <c:v>48990</c:v>
                </c:pt>
                <c:pt idx="47">
                  <c:v>49079</c:v>
                </c:pt>
                <c:pt idx="48">
                  <c:v>49171</c:v>
                </c:pt>
                <c:pt idx="49">
                  <c:v>49264</c:v>
                </c:pt>
                <c:pt idx="50">
                  <c:v>49355</c:v>
                </c:pt>
                <c:pt idx="51">
                  <c:v>49444</c:v>
                </c:pt>
                <c:pt idx="52">
                  <c:v>49536</c:v>
                </c:pt>
                <c:pt idx="53">
                  <c:v>49629</c:v>
                </c:pt>
                <c:pt idx="54">
                  <c:v>49720</c:v>
                </c:pt>
                <c:pt idx="55">
                  <c:v>49810</c:v>
                </c:pt>
                <c:pt idx="56">
                  <c:v>49902</c:v>
                </c:pt>
                <c:pt idx="57">
                  <c:v>49996</c:v>
                </c:pt>
                <c:pt idx="58">
                  <c:v>50089</c:v>
                </c:pt>
                <c:pt idx="59">
                  <c:v>50175</c:v>
                </c:pt>
                <c:pt idx="60">
                  <c:v>50269</c:v>
                </c:pt>
                <c:pt idx="61">
                  <c:v>50360</c:v>
                </c:pt>
                <c:pt idx="62">
                  <c:v>50451</c:v>
                </c:pt>
                <c:pt idx="63">
                  <c:v>50542</c:v>
                </c:pt>
                <c:pt idx="64">
                  <c:v>50633</c:v>
                </c:pt>
                <c:pt idx="65">
                  <c:v>50725</c:v>
                </c:pt>
                <c:pt idx="66">
                  <c:v>50816</c:v>
                </c:pt>
                <c:pt idx="67">
                  <c:v>50906</c:v>
                </c:pt>
                <c:pt idx="68">
                  <c:v>50997</c:v>
                </c:pt>
                <c:pt idx="69">
                  <c:v>51090</c:v>
                </c:pt>
                <c:pt idx="70">
                  <c:v>51181</c:v>
                </c:pt>
                <c:pt idx="71">
                  <c:v>51271</c:v>
                </c:pt>
                <c:pt idx="72">
                  <c:v>51363</c:v>
                </c:pt>
                <c:pt idx="73">
                  <c:v>51456</c:v>
                </c:pt>
                <c:pt idx="74">
                  <c:v>51547</c:v>
                </c:pt>
                <c:pt idx="75">
                  <c:v>51636</c:v>
                </c:pt>
                <c:pt idx="76">
                  <c:v>51728</c:v>
                </c:pt>
                <c:pt idx="77">
                  <c:v>51823</c:v>
                </c:pt>
                <c:pt idx="78">
                  <c:v>51916</c:v>
                </c:pt>
                <c:pt idx="79">
                  <c:v>52001</c:v>
                </c:pt>
                <c:pt idx="80">
                  <c:v>52093</c:v>
                </c:pt>
                <c:pt idx="81">
                  <c:v>52187</c:v>
                </c:pt>
                <c:pt idx="82">
                  <c:v>52278</c:v>
                </c:pt>
                <c:pt idx="83">
                  <c:v>52366</c:v>
                </c:pt>
                <c:pt idx="84">
                  <c:v>52460</c:v>
                </c:pt>
                <c:pt idx="85">
                  <c:v>52551</c:v>
                </c:pt>
                <c:pt idx="86">
                  <c:v>52642</c:v>
                </c:pt>
                <c:pt idx="87">
                  <c:v>52733</c:v>
                </c:pt>
                <c:pt idx="88">
                  <c:v>52824</c:v>
                </c:pt>
                <c:pt idx="89">
                  <c:v>52917</c:v>
                </c:pt>
                <c:pt idx="90">
                  <c:v>53008</c:v>
                </c:pt>
                <c:pt idx="91">
                  <c:v>53097</c:v>
                </c:pt>
                <c:pt idx="92">
                  <c:v>53189</c:v>
                </c:pt>
                <c:pt idx="93">
                  <c:v>53282</c:v>
                </c:pt>
                <c:pt idx="94">
                  <c:v>53373</c:v>
                </c:pt>
                <c:pt idx="95">
                  <c:v>53462</c:v>
                </c:pt>
                <c:pt idx="96">
                  <c:v>53554</c:v>
                </c:pt>
                <c:pt idx="97">
                  <c:v>53647</c:v>
                </c:pt>
                <c:pt idx="98">
                  <c:v>53738</c:v>
                </c:pt>
                <c:pt idx="99">
                  <c:v>53827</c:v>
                </c:pt>
                <c:pt idx="100">
                  <c:v>53919</c:v>
                </c:pt>
                <c:pt idx="101">
                  <c:v>54014</c:v>
                </c:pt>
                <c:pt idx="102">
                  <c:v>54107</c:v>
                </c:pt>
                <c:pt idx="103">
                  <c:v>54193</c:v>
                </c:pt>
                <c:pt idx="104">
                  <c:v>54287</c:v>
                </c:pt>
                <c:pt idx="105">
                  <c:v>54378</c:v>
                </c:pt>
                <c:pt idx="106">
                  <c:v>54469</c:v>
                </c:pt>
                <c:pt idx="107">
                  <c:v>54560</c:v>
                </c:pt>
                <c:pt idx="108">
                  <c:v>54651</c:v>
                </c:pt>
                <c:pt idx="109">
                  <c:v>54743</c:v>
                </c:pt>
                <c:pt idx="110">
                  <c:v>54834</c:v>
                </c:pt>
                <c:pt idx="111">
                  <c:v>54924</c:v>
                </c:pt>
                <c:pt idx="112">
                  <c:v>55015</c:v>
                </c:pt>
                <c:pt idx="113">
                  <c:v>55108</c:v>
                </c:pt>
                <c:pt idx="114">
                  <c:v>55199</c:v>
                </c:pt>
                <c:pt idx="115">
                  <c:v>55288</c:v>
                </c:pt>
                <c:pt idx="116">
                  <c:v>55380</c:v>
                </c:pt>
                <c:pt idx="117">
                  <c:v>55473</c:v>
                </c:pt>
                <c:pt idx="118">
                  <c:v>55564</c:v>
                </c:pt>
                <c:pt idx="119">
                  <c:v>55654</c:v>
                </c:pt>
                <c:pt idx="120">
                  <c:v>55746</c:v>
                </c:pt>
                <c:pt idx="121">
                  <c:v>55841</c:v>
                </c:pt>
                <c:pt idx="122">
                  <c:v>55934</c:v>
                </c:pt>
                <c:pt idx="123">
                  <c:v>56019</c:v>
                </c:pt>
                <c:pt idx="124">
                  <c:v>56111</c:v>
                </c:pt>
                <c:pt idx="125">
                  <c:v>56205</c:v>
                </c:pt>
                <c:pt idx="126">
                  <c:v>56296</c:v>
                </c:pt>
                <c:pt idx="127">
                  <c:v>56384</c:v>
                </c:pt>
                <c:pt idx="128">
                  <c:v>56478</c:v>
                </c:pt>
                <c:pt idx="129">
                  <c:v>56569</c:v>
                </c:pt>
                <c:pt idx="130">
                  <c:v>56660</c:v>
                </c:pt>
                <c:pt idx="131">
                  <c:v>56751</c:v>
                </c:pt>
                <c:pt idx="132">
                  <c:v>56842</c:v>
                </c:pt>
                <c:pt idx="133">
                  <c:v>57026</c:v>
                </c:pt>
                <c:pt idx="134">
                  <c:v>57207</c:v>
                </c:pt>
                <c:pt idx="135">
                  <c:v>57391</c:v>
                </c:pt>
                <c:pt idx="136">
                  <c:v>57572</c:v>
                </c:pt>
                <c:pt idx="137">
                  <c:v>57756</c:v>
                </c:pt>
                <c:pt idx="138">
                  <c:v>57937</c:v>
                </c:pt>
                <c:pt idx="139">
                  <c:v>58123</c:v>
                </c:pt>
                <c:pt idx="140">
                  <c:v>58302</c:v>
                </c:pt>
                <c:pt idx="141">
                  <c:v>58487</c:v>
                </c:pt>
                <c:pt idx="142">
                  <c:v>58669</c:v>
                </c:pt>
              </c:numCache>
            </c:numRef>
          </c:cat>
          <c:val>
            <c:numRef>
              <c:f>Simulador!$G$5:$G$147</c:f>
              <c:numCache>
                <c:formatCode>0.00%</c:formatCode>
                <c:ptCount val="143"/>
                <c:pt idx="0">
                  <c:v>0.13709542415198134</c:v>
                </c:pt>
                <c:pt idx="1">
                  <c:v>0.13824476901041258</c:v>
                </c:pt>
                <c:pt idx="2">
                  <c:v>0.13794751957277054</c:v>
                </c:pt>
                <c:pt idx="3">
                  <c:v>0.1367085106174083</c:v>
                </c:pt>
                <c:pt idx="4">
                  <c:v>0.13372890379553737</c:v>
                </c:pt>
                <c:pt idx="5">
                  <c:v>0.13048300825828854</c:v>
                </c:pt>
                <c:pt idx="6">
                  <c:v>0.12747368770436204</c:v>
                </c:pt>
                <c:pt idx="7">
                  <c:v>0.12477200252598092</c:v>
                </c:pt>
                <c:pt idx="8">
                  <c:v>0.12241457710811354</c:v>
                </c:pt>
                <c:pt idx="9">
                  <c:v>0.1205205679154658</c:v>
                </c:pt>
                <c:pt idx="10">
                  <c:v>0.11913959507080539</c:v>
                </c:pt>
                <c:pt idx="11">
                  <c:v>0.11818582291207119</c:v>
                </c:pt>
                <c:pt idx="12">
                  <c:v>0.11741710508794967</c:v>
                </c:pt>
                <c:pt idx="13">
                  <c:v>0.11689729255746713</c:v>
                </c:pt>
                <c:pt idx="14">
                  <c:v>0.11659182503244317</c:v>
                </c:pt>
                <c:pt idx="15">
                  <c:v>0.11643527123250733</c:v>
                </c:pt>
                <c:pt idx="16">
                  <c:v>0.11637191467183143</c:v>
                </c:pt>
                <c:pt idx="17">
                  <c:v>0.11639008955215797</c:v>
                </c:pt>
                <c:pt idx="18">
                  <c:v>0.11646160743294708</c:v>
                </c:pt>
                <c:pt idx="19">
                  <c:v>0.11657438368857059</c:v>
                </c:pt>
                <c:pt idx="20">
                  <c:v>0.11671586421546679</c:v>
                </c:pt>
                <c:pt idx="21">
                  <c:v>0.11686894003503029</c:v>
                </c:pt>
                <c:pt idx="22">
                  <c:v>0.11703860353993888</c:v>
                </c:pt>
                <c:pt idx="23">
                  <c:v>0.11719588464999479</c:v>
                </c:pt>
                <c:pt idx="24">
                  <c:v>0.11736890213289761</c:v>
                </c:pt>
                <c:pt idx="25">
                  <c:v>0.11753368327278076</c:v>
                </c:pt>
                <c:pt idx="26">
                  <c:v>0.11768880617970637</c:v>
                </c:pt>
                <c:pt idx="27">
                  <c:v>0.1178385328920409</c:v>
                </c:pt>
                <c:pt idx="28">
                  <c:v>0.11799146123194351</c:v>
                </c:pt>
                <c:pt idx="29">
                  <c:v>0.1181328379826086</c:v>
                </c:pt>
                <c:pt idx="30">
                  <c:v>0.11826738921135904</c:v>
                </c:pt>
                <c:pt idx="31">
                  <c:v>0.11838727903530923</c:v>
                </c:pt>
                <c:pt idx="32">
                  <c:v>0.11851270064571921</c:v>
                </c:pt>
                <c:pt idx="33">
                  <c:v>0.11863319273641666</c:v>
                </c:pt>
                <c:pt idx="34">
                  <c:v>0.1187420783777112</c:v>
                </c:pt>
                <c:pt idx="35">
                  <c:v>0.11883731211931328</c:v>
                </c:pt>
                <c:pt idx="36">
                  <c:v>0.11893865889866469</c:v>
                </c:pt>
                <c:pt idx="37">
                  <c:v>0.11903610157038018</c:v>
                </c:pt>
                <c:pt idx="38">
                  <c:v>0.11912158088679581</c:v>
                </c:pt>
                <c:pt idx="39">
                  <c:v>0.11920554230632582</c:v>
                </c:pt>
                <c:pt idx="40">
                  <c:v>0.11928663253884547</c:v>
                </c:pt>
                <c:pt idx="41">
                  <c:v>0.11936141271582239</c:v>
                </c:pt>
                <c:pt idx="42">
                  <c:v>0.11943608482042488</c:v>
                </c:pt>
                <c:pt idx="43">
                  <c:v>0.11950184550850161</c:v>
                </c:pt>
                <c:pt idx="44">
                  <c:v>0.11956885530821211</c:v>
                </c:pt>
                <c:pt idx="45">
                  <c:v>0.11963185756408813</c:v>
                </c:pt>
                <c:pt idx="46">
                  <c:v>0.11969397895680058</c:v>
                </c:pt>
                <c:pt idx="47">
                  <c:v>0.11974709192095902</c:v>
                </c:pt>
                <c:pt idx="48">
                  <c:v>0.11980417582365722</c:v>
                </c:pt>
                <c:pt idx="49">
                  <c:v>0.11985718969671773</c:v>
                </c:pt>
                <c:pt idx="50">
                  <c:v>0.1199064799245569</c:v>
                </c:pt>
                <c:pt idx="51">
                  <c:v>0.11995387783157511</c:v>
                </c:pt>
                <c:pt idx="52">
                  <c:v>0.12000242022926019</c:v>
                </c:pt>
                <c:pt idx="53">
                  <c:v>0.12004764540153573</c:v>
                </c:pt>
                <c:pt idx="54">
                  <c:v>0.1200911767032468</c:v>
                </c:pt>
                <c:pt idx="55">
                  <c:v>0.12013049074279633</c:v>
                </c:pt>
                <c:pt idx="56">
                  <c:v>0.12017226232074725</c:v>
                </c:pt>
                <c:pt idx="57">
                  <c:v>0.12021311213738863</c:v>
                </c:pt>
                <c:pt idx="58">
                  <c:v>0.1202507133679222</c:v>
                </c:pt>
                <c:pt idx="59">
                  <c:v>0.12028475749761516</c:v>
                </c:pt>
                <c:pt idx="60">
                  <c:v>0.12032101936210414</c:v>
                </c:pt>
                <c:pt idx="61">
                  <c:v>0.12035445137264894</c:v>
                </c:pt>
                <c:pt idx="62">
                  <c:v>0.12038732306130104</c:v>
                </c:pt>
                <c:pt idx="63">
                  <c:v>0.12041814511225046</c:v>
                </c:pt>
                <c:pt idx="64">
                  <c:v>0.12044946906148286</c:v>
                </c:pt>
                <c:pt idx="65">
                  <c:v>0.12047886973194637</c:v>
                </c:pt>
                <c:pt idx="66">
                  <c:v>0.12050874137297377</c:v>
                </c:pt>
                <c:pt idx="67">
                  <c:v>0.12053548931732623</c:v>
                </c:pt>
                <c:pt idx="68">
                  <c:v>0.12056318553647621</c:v>
                </c:pt>
                <c:pt idx="69">
                  <c:v>0.1205896438384781</c:v>
                </c:pt>
                <c:pt idx="70">
                  <c:v>0.12061533809566234</c:v>
                </c:pt>
                <c:pt idx="71">
                  <c:v>0.12063991024420911</c:v>
                </c:pt>
                <c:pt idx="72">
                  <c:v>0.12066494275144943</c:v>
                </c:pt>
                <c:pt idx="73">
                  <c:v>0.1206885229680944</c:v>
                </c:pt>
                <c:pt idx="74">
                  <c:v>0.12071145956042587</c:v>
                </c:pt>
                <c:pt idx="75">
                  <c:v>0.1207323793302393</c:v>
                </c:pt>
                <c:pt idx="76">
                  <c:v>0.12075482363669565</c:v>
                </c:pt>
                <c:pt idx="77">
                  <c:v>0.12077699207511866</c:v>
                </c:pt>
                <c:pt idx="78">
                  <c:v>0.12079759224187531</c:v>
                </c:pt>
                <c:pt idx="79">
                  <c:v>0.12081609173336634</c:v>
                </c:pt>
                <c:pt idx="80">
                  <c:v>0.12083631311140945</c:v>
                </c:pt>
                <c:pt idx="81">
                  <c:v>0.12085631382413267</c:v>
                </c:pt>
                <c:pt idx="82">
                  <c:v>0.12087434073037971</c:v>
                </c:pt>
                <c:pt idx="83">
                  <c:v>0.12089194307908858</c:v>
                </c:pt>
                <c:pt idx="84">
                  <c:v>0.1209102491076101</c:v>
                </c:pt>
                <c:pt idx="85">
                  <c:v>0.12092729239975129</c:v>
                </c:pt>
                <c:pt idx="86">
                  <c:v>0.12094420747324264</c:v>
                </c:pt>
                <c:pt idx="87">
                  <c:v>0.12096021162947357</c:v>
                </c:pt>
                <c:pt idx="88">
                  <c:v>0.12097662092087627</c:v>
                </c:pt>
                <c:pt idx="89">
                  <c:v>0.12099240473572977</c:v>
                </c:pt>
                <c:pt idx="90">
                  <c:v>0.12100831893192408</c:v>
                </c:pt>
                <c:pt idx="91">
                  <c:v>0.1210222118472476</c:v>
                </c:pt>
                <c:pt idx="92">
                  <c:v>0.12103744821679596</c:v>
                </c:pt>
                <c:pt idx="93">
                  <c:v>0.12105189038479054</c:v>
                </c:pt>
                <c:pt idx="94">
                  <c:v>0.12106557868345603</c:v>
                </c:pt>
                <c:pt idx="95">
                  <c:v>0.12107898542351173</c:v>
                </c:pt>
                <c:pt idx="96">
                  <c:v>0.12109297109923711</c:v>
                </c:pt>
                <c:pt idx="97">
                  <c:v>0.12110624008976806</c:v>
                </c:pt>
                <c:pt idx="98">
                  <c:v>0.12111923599210093</c:v>
                </c:pt>
                <c:pt idx="99">
                  <c:v>0.1211311665390121</c:v>
                </c:pt>
                <c:pt idx="100">
                  <c:v>0.1211440494286013</c:v>
                </c:pt>
                <c:pt idx="101">
                  <c:v>0.12115685903741628</c:v>
                </c:pt>
                <c:pt idx="102">
                  <c:v>0.12116883897384434</c:v>
                </c:pt>
                <c:pt idx="103">
                  <c:v>0.12117984554722082</c:v>
                </c:pt>
                <c:pt idx="104">
                  <c:v>0.12119174007906819</c:v>
                </c:pt>
                <c:pt idx="105">
                  <c:v>0.12120286602459891</c:v>
                </c:pt>
                <c:pt idx="106">
                  <c:v>0.12121395808482756</c:v>
                </c:pt>
                <c:pt idx="107">
                  <c:v>0.1212244988063953</c:v>
                </c:pt>
                <c:pt idx="108">
                  <c:v>0.12123535310049624</c:v>
                </c:pt>
                <c:pt idx="109">
                  <c:v>0.12124567367891287</c:v>
                </c:pt>
                <c:pt idx="110">
                  <c:v>0.1212562938000236</c:v>
                </c:pt>
                <c:pt idx="111">
                  <c:v>0.12126592032088651</c:v>
                </c:pt>
                <c:pt idx="112">
                  <c:v>0.12127600671886751</c:v>
                </c:pt>
                <c:pt idx="113">
                  <c:v>0.12128575699122889</c:v>
                </c:pt>
                <c:pt idx="114">
                  <c:v>0.1212953348660752</c:v>
                </c:pt>
                <c:pt idx="115">
                  <c:v>0.12130430052127988</c:v>
                </c:pt>
                <c:pt idx="116">
                  <c:v>0.12131384587953117</c:v>
                </c:pt>
                <c:pt idx="117">
                  <c:v>0.12132293562797121</c:v>
                </c:pt>
                <c:pt idx="118">
                  <c:v>0.12133187012609083</c:v>
                </c:pt>
                <c:pt idx="119">
                  <c:v>0.12134023844468485</c:v>
                </c:pt>
                <c:pt idx="120">
                  <c:v>0.12134915307226335</c:v>
                </c:pt>
                <c:pt idx="121">
                  <c:v>0.12135804816776932</c:v>
                </c:pt>
                <c:pt idx="122">
                  <c:v>0.12136639540975604</c:v>
                </c:pt>
                <c:pt idx="123">
                  <c:v>0.12137395924161033</c:v>
                </c:pt>
                <c:pt idx="124">
                  <c:v>0.12138230148854567</c:v>
                </c:pt>
                <c:pt idx="125">
                  <c:v>0.12139063018224593</c:v>
                </c:pt>
                <c:pt idx="126">
                  <c:v>0.12139820387031922</c:v>
                </c:pt>
                <c:pt idx="127">
                  <c:v>0.12140566121868858</c:v>
                </c:pt>
                <c:pt idx="128">
                  <c:v>0.12141348253052206</c:v>
                </c:pt>
                <c:pt idx="129">
                  <c:v>0.12142082544127344</c:v>
                </c:pt>
                <c:pt idx="130">
                  <c:v>0.12142817209738736</c:v>
                </c:pt>
                <c:pt idx="131">
                  <c:v>0.12143517786775368</c:v>
                </c:pt>
                <c:pt idx="132">
                  <c:v>0.12144241691250647</c:v>
                </c:pt>
                <c:pt idx="133">
                  <c:v>0.12145634577105889</c:v>
                </c:pt>
                <c:pt idx="134">
                  <c:v>0.12146975642842052</c:v>
                </c:pt>
                <c:pt idx="135">
                  <c:v>0.1214828813972245</c:v>
                </c:pt>
                <c:pt idx="136">
                  <c:v>0.12149542933080461</c:v>
                </c:pt>
                <c:pt idx="137">
                  <c:v>0.12150782085728758</c:v>
                </c:pt>
                <c:pt idx="138">
                  <c:v>0.12151967725475281</c:v>
                </c:pt>
                <c:pt idx="139">
                  <c:v>0.12153148685005542</c:v>
                </c:pt>
                <c:pt idx="140">
                  <c:v>0.12154279415029962</c:v>
                </c:pt>
                <c:pt idx="141">
                  <c:v>0.12155414760563446</c:v>
                </c:pt>
                <c:pt idx="142">
                  <c:v>0.12156485531103164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3-5F48-ACE4-BC94FA2E3F11}"/>
            </c:ext>
          </c:extLst>
        </c:ser>
        <c:ser>
          <c:idx val="2"/>
          <c:order val="1"/>
          <c:tx>
            <c:strRef>
              <c:f>Simulador!$I$4</c:f>
              <c:strCache>
                <c:ptCount val="1"/>
                <c:pt idx="0">
                  <c:v>Pré Simulada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Simulador!$B$5:$B$147</c:f>
              <c:numCache>
                <c:formatCode>m/d/yy</c:formatCode>
                <c:ptCount val="143"/>
                <c:pt idx="0">
                  <c:v>44881</c:v>
                </c:pt>
                <c:pt idx="1">
                  <c:v>44972</c:v>
                </c:pt>
                <c:pt idx="2">
                  <c:v>45000</c:v>
                </c:pt>
                <c:pt idx="3">
                  <c:v>45061</c:v>
                </c:pt>
                <c:pt idx="4">
                  <c:v>45153</c:v>
                </c:pt>
                <c:pt idx="5">
                  <c:v>45246</c:v>
                </c:pt>
                <c:pt idx="6">
                  <c:v>45337</c:v>
                </c:pt>
                <c:pt idx="7">
                  <c:v>45427</c:v>
                </c:pt>
                <c:pt idx="8">
                  <c:v>45519</c:v>
                </c:pt>
                <c:pt idx="9">
                  <c:v>45614</c:v>
                </c:pt>
                <c:pt idx="10">
                  <c:v>45705</c:v>
                </c:pt>
                <c:pt idx="11">
                  <c:v>45792</c:v>
                </c:pt>
                <c:pt idx="12">
                  <c:v>45884</c:v>
                </c:pt>
                <c:pt idx="13">
                  <c:v>45978</c:v>
                </c:pt>
                <c:pt idx="14">
                  <c:v>46071</c:v>
                </c:pt>
                <c:pt idx="15">
                  <c:v>46157</c:v>
                </c:pt>
                <c:pt idx="16">
                  <c:v>46251</c:v>
                </c:pt>
                <c:pt idx="17">
                  <c:v>46342</c:v>
                </c:pt>
                <c:pt idx="18">
                  <c:v>46433</c:v>
                </c:pt>
                <c:pt idx="19">
                  <c:v>46524</c:v>
                </c:pt>
                <c:pt idx="20">
                  <c:v>46615</c:v>
                </c:pt>
                <c:pt idx="21">
                  <c:v>46707</c:v>
                </c:pt>
                <c:pt idx="22">
                  <c:v>46798</c:v>
                </c:pt>
                <c:pt idx="23">
                  <c:v>46888</c:v>
                </c:pt>
                <c:pt idx="24">
                  <c:v>46980</c:v>
                </c:pt>
                <c:pt idx="25">
                  <c:v>47073</c:v>
                </c:pt>
                <c:pt idx="26">
                  <c:v>47164</c:v>
                </c:pt>
                <c:pt idx="27">
                  <c:v>47253</c:v>
                </c:pt>
                <c:pt idx="28">
                  <c:v>47345</c:v>
                </c:pt>
                <c:pt idx="29">
                  <c:v>47438</c:v>
                </c:pt>
                <c:pt idx="30">
                  <c:v>47529</c:v>
                </c:pt>
                <c:pt idx="31">
                  <c:v>47618</c:v>
                </c:pt>
                <c:pt idx="32">
                  <c:v>47710</c:v>
                </c:pt>
                <c:pt idx="33">
                  <c:v>47805</c:v>
                </c:pt>
                <c:pt idx="34">
                  <c:v>47896</c:v>
                </c:pt>
                <c:pt idx="35">
                  <c:v>47983</c:v>
                </c:pt>
                <c:pt idx="36">
                  <c:v>48075</c:v>
                </c:pt>
                <c:pt idx="37">
                  <c:v>48169</c:v>
                </c:pt>
                <c:pt idx="38">
                  <c:v>48260</c:v>
                </c:pt>
                <c:pt idx="39">
                  <c:v>48351</c:v>
                </c:pt>
                <c:pt idx="40">
                  <c:v>48442</c:v>
                </c:pt>
                <c:pt idx="41">
                  <c:v>48534</c:v>
                </c:pt>
                <c:pt idx="42">
                  <c:v>48625</c:v>
                </c:pt>
                <c:pt idx="43">
                  <c:v>48715</c:v>
                </c:pt>
                <c:pt idx="44">
                  <c:v>48806</c:v>
                </c:pt>
                <c:pt idx="45">
                  <c:v>48899</c:v>
                </c:pt>
                <c:pt idx="46">
                  <c:v>48990</c:v>
                </c:pt>
                <c:pt idx="47">
                  <c:v>49079</c:v>
                </c:pt>
                <c:pt idx="48">
                  <c:v>49171</c:v>
                </c:pt>
                <c:pt idx="49">
                  <c:v>49264</c:v>
                </c:pt>
                <c:pt idx="50">
                  <c:v>49355</c:v>
                </c:pt>
                <c:pt idx="51">
                  <c:v>49444</c:v>
                </c:pt>
                <c:pt idx="52">
                  <c:v>49536</c:v>
                </c:pt>
                <c:pt idx="53">
                  <c:v>49629</c:v>
                </c:pt>
                <c:pt idx="54">
                  <c:v>49720</c:v>
                </c:pt>
                <c:pt idx="55">
                  <c:v>49810</c:v>
                </c:pt>
                <c:pt idx="56">
                  <c:v>49902</c:v>
                </c:pt>
                <c:pt idx="57">
                  <c:v>49996</c:v>
                </c:pt>
                <c:pt idx="58">
                  <c:v>50089</c:v>
                </c:pt>
                <c:pt idx="59">
                  <c:v>50175</c:v>
                </c:pt>
                <c:pt idx="60">
                  <c:v>50269</c:v>
                </c:pt>
                <c:pt idx="61">
                  <c:v>50360</c:v>
                </c:pt>
                <c:pt idx="62">
                  <c:v>50451</c:v>
                </c:pt>
                <c:pt idx="63">
                  <c:v>50542</c:v>
                </c:pt>
                <c:pt idx="64">
                  <c:v>50633</c:v>
                </c:pt>
                <c:pt idx="65">
                  <c:v>50725</c:v>
                </c:pt>
                <c:pt idx="66">
                  <c:v>50816</c:v>
                </c:pt>
                <c:pt idx="67">
                  <c:v>50906</c:v>
                </c:pt>
                <c:pt idx="68">
                  <c:v>50997</c:v>
                </c:pt>
                <c:pt idx="69">
                  <c:v>51090</c:v>
                </c:pt>
                <c:pt idx="70">
                  <c:v>51181</c:v>
                </c:pt>
                <c:pt idx="71">
                  <c:v>51271</c:v>
                </c:pt>
                <c:pt idx="72">
                  <c:v>51363</c:v>
                </c:pt>
                <c:pt idx="73">
                  <c:v>51456</c:v>
                </c:pt>
                <c:pt idx="74">
                  <c:v>51547</c:v>
                </c:pt>
                <c:pt idx="75">
                  <c:v>51636</c:v>
                </c:pt>
                <c:pt idx="76">
                  <c:v>51728</c:v>
                </c:pt>
                <c:pt idx="77">
                  <c:v>51823</c:v>
                </c:pt>
                <c:pt idx="78">
                  <c:v>51916</c:v>
                </c:pt>
                <c:pt idx="79">
                  <c:v>52001</c:v>
                </c:pt>
                <c:pt idx="80">
                  <c:v>52093</c:v>
                </c:pt>
                <c:pt idx="81">
                  <c:v>52187</c:v>
                </c:pt>
                <c:pt idx="82">
                  <c:v>52278</c:v>
                </c:pt>
                <c:pt idx="83">
                  <c:v>52366</c:v>
                </c:pt>
                <c:pt idx="84">
                  <c:v>52460</c:v>
                </c:pt>
                <c:pt idx="85">
                  <c:v>52551</c:v>
                </c:pt>
                <c:pt idx="86">
                  <c:v>52642</c:v>
                </c:pt>
                <c:pt idx="87">
                  <c:v>52733</c:v>
                </c:pt>
                <c:pt idx="88">
                  <c:v>52824</c:v>
                </c:pt>
                <c:pt idx="89">
                  <c:v>52917</c:v>
                </c:pt>
                <c:pt idx="90">
                  <c:v>53008</c:v>
                </c:pt>
                <c:pt idx="91">
                  <c:v>53097</c:v>
                </c:pt>
                <c:pt idx="92">
                  <c:v>53189</c:v>
                </c:pt>
                <c:pt idx="93">
                  <c:v>53282</c:v>
                </c:pt>
                <c:pt idx="94">
                  <c:v>53373</c:v>
                </c:pt>
                <c:pt idx="95">
                  <c:v>53462</c:v>
                </c:pt>
                <c:pt idx="96">
                  <c:v>53554</c:v>
                </c:pt>
                <c:pt idx="97">
                  <c:v>53647</c:v>
                </c:pt>
                <c:pt idx="98">
                  <c:v>53738</c:v>
                </c:pt>
                <c:pt idx="99">
                  <c:v>53827</c:v>
                </c:pt>
                <c:pt idx="100">
                  <c:v>53919</c:v>
                </c:pt>
                <c:pt idx="101">
                  <c:v>54014</c:v>
                </c:pt>
                <c:pt idx="102">
                  <c:v>54107</c:v>
                </c:pt>
                <c:pt idx="103">
                  <c:v>54193</c:v>
                </c:pt>
                <c:pt idx="104">
                  <c:v>54287</c:v>
                </c:pt>
                <c:pt idx="105">
                  <c:v>54378</c:v>
                </c:pt>
                <c:pt idx="106">
                  <c:v>54469</c:v>
                </c:pt>
                <c:pt idx="107">
                  <c:v>54560</c:v>
                </c:pt>
                <c:pt idx="108">
                  <c:v>54651</c:v>
                </c:pt>
                <c:pt idx="109">
                  <c:v>54743</c:v>
                </c:pt>
                <c:pt idx="110">
                  <c:v>54834</c:v>
                </c:pt>
                <c:pt idx="111">
                  <c:v>54924</c:v>
                </c:pt>
                <c:pt idx="112">
                  <c:v>55015</c:v>
                </c:pt>
                <c:pt idx="113">
                  <c:v>55108</c:v>
                </c:pt>
                <c:pt idx="114">
                  <c:v>55199</c:v>
                </c:pt>
                <c:pt idx="115">
                  <c:v>55288</c:v>
                </c:pt>
                <c:pt idx="116">
                  <c:v>55380</c:v>
                </c:pt>
                <c:pt idx="117">
                  <c:v>55473</c:v>
                </c:pt>
                <c:pt idx="118">
                  <c:v>55564</c:v>
                </c:pt>
                <c:pt idx="119">
                  <c:v>55654</c:v>
                </c:pt>
                <c:pt idx="120">
                  <c:v>55746</c:v>
                </c:pt>
                <c:pt idx="121">
                  <c:v>55841</c:v>
                </c:pt>
                <c:pt idx="122">
                  <c:v>55934</c:v>
                </c:pt>
                <c:pt idx="123">
                  <c:v>56019</c:v>
                </c:pt>
                <c:pt idx="124">
                  <c:v>56111</c:v>
                </c:pt>
                <c:pt idx="125">
                  <c:v>56205</c:v>
                </c:pt>
                <c:pt idx="126">
                  <c:v>56296</c:v>
                </c:pt>
                <c:pt idx="127">
                  <c:v>56384</c:v>
                </c:pt>
                <c:pt idx="128">
                  <c:v>56478</c:v>
                </c:pt>
                <c:pt idx="129">
                  <c:v>56569</c:v>
                </c:pt>
                <c:pt idx="130">
                  <c:v>56660</c:v>
                </c:pt>
                <c:pt idx="131">
                  <c:v>56751</c:v>
                </c:pt>
                <c:pt idx="132">
                  <c:v>56842</c:v>
                </c:pt>
                <c:pt idx="133">
                  <c:v>57026</c:v>
                </c:pt>
                <c:pt idx="134">
                  <c:v>57207</c:v>
                </c:pt>
                <c:pt idx="135">
                  <c:v>57391</c:v>
                </c:pt>
                <c:pt idx="136">
                  <c:v>57572</c:v>
                </c:pt>
                <c:pt idx="137">
                  <c:v>57756</c:v>
                </c:pt>
                <c:pt idx="138">
                  <c:v>57937</c:v>
                </c:pt>
                <c:pt idx="139">
                  <c:v>58123</c:v>
                </c:pt>
                <c:pt idx="140">
                  <c:v>58302</c:v>
                </c:pt>
                <c:pt idx="141">
                  <c:v>58487</c:v>
                </c:pt>
                <c:pt idx="142">
                  <c:v>58669</c:v>
                </c:pt>
              </c:numCache>
            </c:numRef>
          </c:cat>
          <c:val>
            <c:numRef>
              <c:f>Simulador!$I$5:$I$147</c:f>
              <c:numCache>
                <c:formatCode>0.00%</c:formatCode>
                <c:ptCount val="143"/>
                <c:pt idx="0">
                  <c:v>0.13709542415198134</c:v>
                </c:pt>
                <c:pt idx="1">
                  <c:v>0.13824476901041258</c:v>
                </c:pt>
                <c:pt idx="2">
                  <c:v>0.13794751957277054</c:v>
                </c:pt>
                <c:pt idx="3">
                  <c:v>0.1367085106174083</c:v>
                </c:pt>
                <c:pt idx="4">
                  <c:v>0.13372890379553737</c:v>
                </c:pt>
                <c:pt idx="5">
                  <c:v>0.13048300825828854</c:v>
                </c:pt>
                <c:pt idx="6">
                  <c:v>0.12747368770436204</c:v>
                </c:pt>
                <c:pt idx="7">
                  <c:v>0.12477200252598092</c:v>
                </c:pt>
                <c:pt idx="8">
                  <c:v>0.12241457710811354</c:v>
                </c:pt>
                <c:pt idx="9">
                  <c:v>0.1205205679154658</c:v>
                </c:pt>
                <c:pt idx="10">
                  <c:v>0.11913959507080539</c:v>
                </c:pt>
                <c:pt idx="11">
                  <c:v>0.11818582291207119</c:v>
                </c:pt>
                <c:pt idx="12">
                  <c:v>0.11741710508794967</c:v>
                </c:pt>
                <c:pt idx="13">
                  <c:v>0.11689729255746713</c:v>
                </c:pt>
                <c:pt idx="14">
                  <c:v>0.11659182503244317</c:v>
                </c:pt>
                <c:pt idx="15">
                  <c:v>0.11643527123250733</c:v>
                </c:pt>
                <c:pt idx="16">
                  <c:v>0.11637191467183143</c:v>
                </c:pt>
                <c:pt idx="17">
                  <c:v>0.11639008955215797</c:v>
                </c:pt>
                <c:pt idx="18">
                  <c:v>0.11646160743294708</c:v>
                </c:pt>
                <c:pt idx="19">
                  <c:v>0.11657438368857059</c:v>
                </c:pt>
                <c:pt idx="20">
                  <c:v>0.11671586421546679</c:v>
                </c:pt>
                <c:pt idx="21">
                  <c:v>0.11686894003503029</c:v>
                </c:pt>
                <c:pt idx="22">
                  <c:v>0.11703860353993888</c:v>
                </c:pt>
                <c:pt idx="23">
                  <c:v>0.11719588464999479</c:v>
                </c:pt>
                <c:pt idx="24">
                  <c:v>0.11736890213289761</c:v>
                </c:pt>
                <c:pt idx="25">
                  <c:v>0.11753368327278076</c:v>
                </c:pt>
                <c:pt idx="26">
                  <c:v>0.11768880617970637</c:v>
                </c:pt>
                <c:pt idx="27">
                  <c:v>0.1178385328920409</c:v>
                </c:pt>
                <c:pt idx="28">
                  <c:v>0.11799146123194351</c:v>
                </c:pt>
                <c:pt idx="29">
                  <c:v>0.1181328379826086</c:v>
                </c:pt>
                <c:pt idx="30">
                  <c:v>0.11826738921135904</c:v>
                </c:pt>
                <c:pt idx="31">
                  <c:v>0.11838727903530923</c:v>
                </c:pt>
                <c:pt idx="32">
                  <c:v>0.11851270064571921</c:v>
                </c:pt>
                <c:pt idx="33">
                  <c:v>0.11863319273641666</c:v>
                </c:pt>
                <c:pt idx="34">
                  <c:v>0.1187420783777112</c:v>
                </c:pt>
                <c:pt idx="35">
                  <c:v>0.11883731211931328</c:v>
                </c:pt>
                <c:pt idx="36">
                  <c:v>0.11893865889866469</c:v>
                </c:pt>
                <c:pt idx="37">
                  <c:v>0.11903610157038018</c:v>
                </c:pt>
                <c:pt idx="38">
                  <c:v>0.11912158088679581</c:v>
                </c:pt>
                <c:pt idx="39">
                  <c:v>0.11920554230632582</c:v>
                </c:pt>
                <c:pt idx="40">
                  <c:v>0.11928663253884547</c:v>
                </c:pt>
                <c:pt idx="41">
                  <c:v>0.11936141271582239</c:v>
                </c:pt>
                <c:pt idx="42">
                  <c:v>0.11943608482042488</c:v>
                </c:pt>
                <c:pt idx="43">
                  <c:v>0.11950184550850161</c:v>
                </c:pt>
                <c:pt idx="44">
                  <c:v>0.11956885530821211</c:v>
                </c:pt>
                <c:pt idx="45">
                  <c:v>0.11963185756408813</c:v>
                </c:pt>
                <c:pt idx="46">
                  <c:v>0.11969397895680058</c:v>
                </c:pt>
                <c:pt idx="47">
                  <c:v>0.11974709192095902</c:v>
                </c:pt>
                <c:pt idx="48">
                  <c:v>0.11980417582365722</c:v>
                </c:pt>
                <c:pt idx="49">
                  <c:v>0.11985718969671773</c:v>
                </c:pt>
                <c:pt idx="50">
                  <c:v>0.1199064799245569</c:v>
                </c:pt>
                <c:pt idx="51">
                  <c:v>0.11995387783157511</c:v>
                </c:pt>
                <c:pt idx="52">
                  <c:v>0.12000242022926019</c:v>
                </c:pt>
                <c:pt idx="53">
                  <c:v>0.12004764540153573</c:v>
                </c:pt>
                <c:pt idx="54">
                  <c:v>0.1200911767032468</c:v>
                </c:pt>
                <c:pt idx="55">
                  <c:v>0.12013049074279633</c:v>
                </c:pt>
                <c:pt idx="56">
                  <c:v>0.12017226232074725</c:v>
                </c:pt>
                <c:pt idx="57">
                  <c:v>0.12021311213738863</c:v>
                </c:pt>
                <c:pt idx="58">
                  <c:v>0.1202507133679222</c:v>
                </c:pt>
                <c:pt idx="59">
                  <c:v>0.12028475749761516</c:v>
                </c:pt>
                <c:pt idx="60">
                  <c:v>0.12032101936210414</c:v>
                </c:pt>
                <c:pt idx="61">
                  <c:v>0.12035445137264894</c:v>
                </c:pt>
                <c:pt idx="62">
                  <c:v>0.12038732306130104</c:v>
                </c:pt>
                <c:pt idx="63">
                  <c:v>0.12041814511225046</c:v>
                </c:pt>
                <c:pt idx="64">
                  <c:v>0.12044946906148286</c:v>
                </c:pt>
                <c:pt idx="65">
                  <c:v>0.12047886973194637</c:v>
                </c:pt>
                <c:pt idx="66">
                  <c:v>0.12050874137297377</c:v>
                </c:pt>
                <c:pt idx="67">
                  <c:v>0.12053548931732623</c:v>
                </c:pt>
                <c:pt idx="68">
                  <c:v>0.12056318553647621</c:v>
                </c:pt>
                <c:pt idx="69">
                  <c:v>0.1205896438384781</c:v>
                </c:pt>
                <c:pt idx="70">
                  <c:v>0.12061533809566234</c:v>
                </c:pt>
                <c:pt idx="71">
                  <c:v>0.12063991024420911</c:v>
                </c:pt>
                <c:pt idx="72">
                  <c:v>0.12066494275144943</c:v>
                </c:pt>
                <c:pt idx="73">
                  <c:v>0.1206885229680944</c:v>
                </c:pt>
                <c:pt idx="74">
                  <c:v>0.12071145956042587</c:v>
                </c:pt>
                <c:pt idx="75">
                  <c:v>0.1207323793302393</c:v>
                </c:pt>
                <c:pt idx="76">
                  <c:v>0.12075482363669565</c:v>
                </c:pt>
                <c:pt idx="77">
                  <c:v>0.12077699207511866</c:v>
                </c:pt>
                <c:pt idx="78">
                  <c:v>0.12079759224187531</c:v>
                </c:pt>
                <c:pt idx="79">
                  <c:v>0.12081609173336634</c:v>
                </c:pt>
                <c:pt idx="80">
                  <c:v>0.12083631311140945</c:v>
                </c:pt>
                <c:pt idx="81">
                  <c:v>0.12085631382413267</c:v>
                </c:pt>
                <c:pt idx="82">
                  <c:v>0.12087434073037971</c:v>
                </c:pt>
                <c:pt idx="83">
                  <c:v>0.12089194307908858</c:v>
                </c:pt>
                <c:pt idx="84">
                  <c:v>0.1209102491076101</c:v>
                </c:pt>
                <c:pt idx="85">
                  <c:v>0.12092729239975129</c:v>
                </c:pt>
                <c:pt idx="86">
                  <c:v>0.12094420747324264</c:v>
                </c:pt>
                <c:pt idx="87">
                  <c:v>0.12096021162947357</c:v>
                </c:pt>
                <c:pt idx="88">
                  <c:v>0.12097662092087627</c:v>
                </c:pt>
                <c:pt idx="89">
                  <c:v>0.12099240473572977</c:v>
                </c:pt>
                <c:pt idx="90">
                  <c:v>0.12100831893192408</c:v>
                </c:pt>
                <c:pt idx="91">
                  <c:v>0.1210222118472476</c:v>
                </c:pt>
                <c:pt idx="92">
                  <c:v>0.12103744821679596</c:v>
                </c:pt>
                <c:pt idx="93">
                  <c:v>0.12105189038479054</c:v>
                </c:pt>
                <c:pt idx="94">
                  <c:v>0.12106557868345603</c:v>
                </c:pt>
                <c:pt idx="95">
                  <c:v>0.12107898542351173</c:v>
                </c:pt>
                <c:pt idx="96">
                  <c:v>0.12109297109923711</c:v>
                </c:pt>
                <c:pt idx="97">
                  <c:v>0.12110624008976806</c:v>
                </c:pt>
                <c:pt idx="98">
                  <c:v>0.12111923599210093</c:v>
                </c:pt>
                <c:pt idx="99">
                  <c:v>0.1211311665390121</c:v>
                </c:pt>
                <c:pt idx="100">
                  <c:v>0.1211440494286013</c:v>
                </c:pt>
                <c:pt idx="101">
                  <c:v>0.12115685903741628</c:v>
                </c:pt>
                <c:pt idx="102">
                  <c:v>0.12116883897384434</c:v>
                </c:pt>
                <c:pt idx="103">
                  <c:v>0.12117984554722082</c:v>
                </c:pt>
                <c:pt idx="104">
                  <c:v>0.12119174007906819</c:v>
                </c:pt>
                <c:pt idx="105">
                  <c:v>0.12120286602459891</c:v>
                </c:pt>
                <c:pt idx="106">
                  <c:v>0.12121395808482756</c:v>
                </c:pt>
                <c:pt idx="107">
                  <c:v>0.1212244988063953</c:v>
                </c:pt>
                <c:pt idx="108">
                  <c:v>0.12123535310049624</c:v>
                </c:pt>
                <c:pt idx="109">
                  <c:v>0.12124567367891287</c:v>
                </c:pt>
                <c:pt idx="110">
                  <c:v>0.1212562938000236</c:v>
                </c:pt>
                <c:pt idx="111">
                  <c:v>0.12126592032088651</c:v>
                </c:pt>
                <c:pt idx="112">
                  <c:v>0.12127600671886751</c:v>
                </c:pt>
                <c:pt idx="113">
                  <c:v>0.12128575699122889</c:v>
                </c:pt>
                <c:pt idx="114">
                  <c:v>0.1212953348660752</c:v>
                </c:pt>
                <c:pt idx="115">
                  <c:v>0.12130430052127988</c:v>
                </c:pt>
                <c:pt idx="116">
                  <c:v>0.12131384587953117</c:v>
                </c:pt>
                <c:pt idx="117">
                  <c:v>0.12132293562797121</c:v>
                </c:pt>
                <c:pt idx="118">
                  <c:v>0.12133187012609083</c:v>
                </c:pt>
                <c:pt idx="119">
                  <c:v>0.12134023844468485</c:v>
                </c:pt>
                <c:pt idx="120">
                  <c:v>0.12134915307226335</c:v>
                </c:pt>
                <c:pt idx="121">
                  <c:v>0.12135804816776932</c:v>
                </c:pt>
                <c:pt idx="122">
                  <c:v>0.12136639540975604</c:v>
                </c:pt>
                <c:pt idx="123">
                  <c:v>0.12137395924161033</c:v>
                </c:pt>
                <c:pt idx="124">
                  <c:v>0.12138230148854567</c:v>
                </c:pt>
                <c:pt idx="125">
                  <c:v>0.12139063018224593</c:v>
                </c:pt>
                <c:pt idx="126">
                  <c:v>0.12139820387031922</c:v>
                </c:pt>
                <c:pt idx="127">
                  <c:v>0.12140566121868858</c:v>
                </c:pt>
                <c:pt idx="128">
                  <c:v>0.12141348253052206</c:v>
                </c:pt>
                <c:pt idx="129">
                  <c:v>0.12142082544127344</c:v>
                </c:pt>
                <c:pt idx="130">
                  <c:v>0.12142817209738736</c:v>
                </c:pt>
                <c:pt idx="131">
                  <c:v>0.12143517786775368</c:v>
                </c:pt>
                <c:pt idx="132">
                  <c:v>0.12144241691250647</c:v>
                </c:pt>
                <c:pt idx="133">
                  <c:v>0.12145634577105889</c:v>
                </c:pt>
                <c:pt idx="134">
                  <c:v>0.12146975642842052</c:v>
                </c:pt>
                <c:pt idx="135">
                  <c:v>0.1214828813972245</c:v>
                </c:pt>
                <c:pt idx="136">
                  <c:v>0.12149542933080461</c:v>
                </c:pt>
                <c:pt idx="137">
                  <c:v>0.12150782085728758</c:v>
                </c:pt>
                <c:pt idx="138">
                  <c:v>0.12151967725475281</c:v>
                </c:pt>
                <c:pt idx="139">
                  <c:v>0.12153148685005542</c:v>
                </c:pt>
                <c:pt idx="140">
                  <c:v>0.12154279415029962</c:v>
                </c:pt>
                <c:pt idx="141">
                  <c:v>0.12155414760563446</c:v>
                </c:pt>
                <c:pt idx="142">
                  <c:v>0.12156485531103164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E3-5F48-ACE4-BC94FA2E3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9059567"/>
        <c:axId val="1679061215"/>
      </c:lineChart>
      <c:dateAx>
        <c:axId val="1679059567"/>
        <c:scaling>
          <c:orientation val="minMax"/>
        </c:scaling>
        <c:delete val="0"/>
        <c:axPos val="b"/>
        <c:numFmt formatCode="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79061215"/>
        <c:crosses val="autoZero"/>
        <c:auto val="1"/>
        <c:lblOffset val="100"/>
        <c:baseTimeUnit val="months"/>
        <c:majorUnit val="60"/>
        <c:majorTimeUnit val="months"/>
      </c:dateAx>
      <c:valAx>
        <c:axId val="1679061215"/>
        <c:scaling>
          <c:orientation val="minMax"/>
          <c:min val="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solidFill>
              <a:srgbClr val="00206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79059567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604020202020204" pitchFamily="34" charset="0"/>
                <a:ea typeface="+mn-ea"/>
                <a:cs typeface="Arial Black" panose="020B0604020202020204" pitchFamily="34" charset="0"/>
              </a:defRPr>
            </a:pPr>
            <a:r>
              <a:rPr lang="en-US" sz="2000" b="1" i="0">
                <a:latin typeface="Arial Black" panose="020B0604020202020204" pitchFamily="34" charset="0"/>
                <a:cs typeface="Arial Black" panose="020B0604020202020204" pitchFamily="34" charset="0"/>
              </a:rPr>
              <a:t>ETTJ Real Mercado vs Simulada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604020202020204" pitchFamily="34" charset="0"/>
              <a:ea typeface="+mn-ea"/>
              <a:cs typeface="Arial Black" panose="020B0604020202020204" pitchFamily="34" charset="0"/>
            </a:defRPr>
          </a:pPr>
          <a:endParaRPr lang="en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Simulador!$J$4</c:f>
              <c:strCache>
                <c:ptCount val="1"/>
                <c:pt idx="0">
                  <c:v>Real Mercado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Simulador!$B$5:$B$147</c:f>
              <c:numCache>
                <c:formatCode>m/d/yy</c:formatCode>
                <c:ptCount val="143"/>
                <c:pt idx="0">
                  <c:v>44881</c:v>
                </c:pt>
                <c:pt idx="1">
                  <c:v>44972</c:v>
                </c:pt>
                <c:pt idx="2">
                  <c:v>45000</c:v>
                </c:pt>
                <c:pt idx="3">
                  <c:v>45061</c:v>
                </c:pt>
                <c:pt idx="4">
                  <c:v>45153</c:v>
                </c:pt>
                <c:pt idx="5">
                  <c:v>45246</c:v>
                </c:pt>
                <c:pt idx="6">
                  <c:v>45337</c:v>
                </c:pt>
                <c:pt idx="7">
                  <c:v>45427</c:v>
                </c:pt>
                <c:pt idx="8">
                  <c:v>45519</c:v>
                </c:pt>
                <c:pt idx="9">
                  <c:v>45614</c:v>
                </c:pt>
                <c:pt idx="10">
                  <c:v>45705</c:v>
                </c:pt>
                <c:pt idx="11">
                  <c:v>45792</c:v>
                </c:pt>
                <c:pt idx="12">
                  <c:v>45884</c:v>
                </c:pt>
                <c:pt idx="13">
                  <c:v>45978</c:v>
                </c:pt>
                <c:pt idx="14">
                  <c:v>46071</c:v>
                </c:pt>
                <c:pt idx="15">
                  <c:v>46157</c:v>
                </c:pt>
                <c:pt idx="16">
                  <c:v>46251</c:v>
                </c:pt>
                <c:pt idx="17">
                  <c:v>46342</c:v>
                </c:pt>
                <c:pt idx="18">
                  <c:v>46433</c:v>
                </c:pt>
                <c:pt idx="19">
                  <c:v>46524</c:v>
                </c:pt>
                <c:pt idx="20">
                  <c:v>46615</c:v>
                </c:pt>
                <c:pt idx="21">
                  <c:v>46707</c:v>
                </c:pt>
                <c:pt idx="22">
                  <c:v>46798</c:v>
                </c:pt>
                <c:pt idx="23">
                  <c:v>46888</c:v>
                </c:pt>
                <c:pt idx="24">
                  <c:v>46980</c:v>
                </c:pt>
                <c:pt idx="25">
                  <c:v>47073</c:v>
                </c:pt>
                <c:pt idx="26">
                  <c:v>47164</c:v>
                </c:pt>
                <c:pt idx="27">
                  <c:v>47253</c:v>
                </c:pt>
                <c:pt idx="28">
                  <c:v>47345</c:v>
                </c:pt>
                <c:pt idx="29">
                  <c:v>47438</c:v>
                </c:pt>
                <c:pt idx="30">
                  <c:v>47529</c:v>
                </c:pt>
                <c:pt idx="31">
                  <c:v>47618</c:v>
                </c:pt>
                <c:pt idx="32">
                  <c:v>47710</c:v>
                </c:pt>
                <c:pt idx="33">
                  <c:v>47805</c:v>
                </c:pt>
                <c:pt idx="34">
                  <c:v>47896</c:v>
                </c:pt>
                <c:pt idx="35">
                  <c:v>47983</c:v>
                </c:pt>
                <c:pt idx="36">
                  <c:v>48075</c:v>
                </c:pt>
                <c:pt idx="37">
                  <c:v>48169</c:v>
                </c:pt>
                <c:pt idx="38">
                  <c:v>48260</c:v>
                </c:pt>
                <c:pt idx="39">
                  <c:v>48351</c:v>
                </c:pt>
                <c:pt idx="40">
                  <c:v>48442</c:v>
                </c:pt>
                <c:pt idx="41">
                  <c:v>48534</c:v>
                </c:pt>
                <c:pt idx="42">
                  <c:v>48625</c:v>
                </c:pt>
                <c:pt idx="43">
                  <c:v>48715</c:v>
                </c:pt>
                <c:pt idx="44">
                  <c:v>48806</c:v>
                </c:pt>
                <c:pt idx="45">
                  <c:v>48899</c:v>
                </c:pt>
                <c:pt idx="46">
                  <c:v>48990</c:v>
                </c:pt>
                <c:pt idx="47">
                  <c:v>49079</c:v>
                </c:pt>
                <c:pt idx="48">
                  <c:v>49171</c:v>
                </c:pt>
                <c:pt idx="49">
                  <c:v>49264</c:v>
                </c:pt>
                <c:pt idx="50">
                  <c:v>49355</c:v>
                </c:pt>
                <c:pt idx="51">
                  <c:v>49444</c:v>
                </c:pt>
                <c:pt idx="52">
                  <c:v>49536</c:v>
                </c:pt>
                <c:pt idx="53">
                  <c:v>49629</c:v>
                </c:pt>
                <c:pt idx="54">
                  <c:v>49720</c:v>
                </c:pt>
                <c:pt idx="55">
                  <c:v>49810</c:v>
                </c:pt>
                <c:pt idx="56">
                  <c:v>49902</c:v>
                </c:pt>
                <c:pt idx="57">
                  <c:v>49996</c:v>
                </c:pt>
                <c:pt idx="58">
                  <c:v>50089</c:v>
                </c:pt>
                <c:pt idx="59">
                  <c:v>50175</c:v>
                </c:pt>
                <c:pt idx="60">
                  <c:v>50269</c:v>
                </c:pt>
                <c:pt idx="61">
                  <c:v>50360</c:v>
                </c:pt>
                <c:pt idx="62">
                  <c:v>50451</c:v>
                </c:pt>
                <c:pt idx="63">
                  <c:v>50542</c:v>
                </c:pt>
                <c:pt idx="64">
                  <c:v>50633</c:v>
                </c:pt>
                <c:pt idx="65">
                  <c:v>50725</c:v>
                </c:pt>
                <c:pt idx="66">
                  <c:v>50816</c:v>
                </c:pt>
                <c:pt idx="67">
                  <c:v>50906</c:v>
                </c:pt>
                <c:pt idx="68">
                  <c:v>50997</c:v>
                </c:pt>
                <c:pt idx="69">
                  <c:v>51090</c:v>
                </c:pt>
                <c:pt idx="70">
                  <c:v>51181</c:v>
                </c:pt>
                <c:pt idx="71">
                  <c:v>51271</c:v>
                </c:pt>
                <c:pt idx="72">
                  <c:v>51363</c:v>
                </c:pt>
                <c:pt idx="73">
                  <c:v>51456</c:v>
                </c:pt>
                <c:pt idx="74">
                  <c:v>51547</c:v>
                </c:pt>
                <c:pt idx="75">
                  <c:v>51636</c:v>
                </c:pt>
                <c:pt idx="76">
                  <c:v>51728</c:v>
                </c:pt>
                <c:pt idx="77">
                  <c:v>51823</c:v>
                </c:pt>
                <c:pt idx="78">
                  <c:v>51916</c:v>
                </c:pt>
                <c:pt idx="79">
                  <c:v>52001</c:v>
                </c:pt>
                <c:pt idx="80">
                  <c:v>52093</c:v>
                </c:pt>
                <c:pt idx="81">
                  <c:v>52187</c:v>
                </c:pt>
                <c:pt idx="82">
                  <c:v>52278</c:v>
                </c:pt>
                <c:pt idx="83">
                  <c:v>52366</c:v>
                </c:pt>
                <c:pt idx="84">
                  <c:v>52460</c:v>
                </c:pt>
                <c:pt idx="85">
                  <c:v>52551</c:v>
                </c:pt>
                <c:pt idx="86">
                  <c:v>52642</c:v>
                </c:pt>
                <c:pt idx="87">
                  <c:v>52733</c:v>
                </c:pt>
                <c:pt idx="88">
                  <c:v>52824</c:v>
                </c:pt>
                <c:pt idx="89">
                  <c:v>52917</c:v>
                </c:pt>
                <c:pt idx="90">
                  <c:v>53008</c:v>
                </c:pt>
                <c:pt idx="91">
                  <c:v>53097</c:v>
                </c:pt>
                <c:pt idx="92">
                  <c:v>53189</c:v>
                </c:pt>
                <c:pt idx="93">
                  <c:v>53282</c:v>
                </c:pt>
                <c:pt idx="94">
                  <c:v>53373</c:v>
                </c:pt>
                <c:pt idx="95">
                  <c:v>53462</c:v>
                </c:pt>
                <c:pt idx="96">
                  <c:v>53554</c:v>
                </c:pt>
                <c:pt idx="97">
                  <c:v>53647</c:v>
                </c:pt>
                <c:pt idx="98">
                  <c:v>53738</c:v>
                </c:pt>
                <c:pt idx="99">
                  <c:v>53827</c:v>
                </c:pt>
                <c:pt idx="100">
                  <c:v>53919</c:v>
                </c:pt>
                <c:pt idx="101">
                  <c:v>54014</c:v>
                </c:pt>
                <c:pt idx="102">
                  <c:v>54107</c:v>
                </c:pt>
                <c:pt idx="103">
                  <c:v>54193</c:v>
                </c:pt>
                <c:pt idx="104">
                  <c:v>54287</c:v>
                </c:pt>
                <c:pt idx="105">
                  <c:v>54378</c:v>
                </c:pt>
                <c:pt idx="106">
                  <c:v>54469</c:v>
                </c:pt>
                <c:pt idx="107">
                  <c:v>54560</c:v>
                </c:pt>
                <c:pt idx="108">
                  <c:v>54651</c:v>
                </c:pt>
                <c:pt idx="109">
                  <c:v>54743</c:v>
                </c:pt>
                <c:pt idx="110">
                  <c:v>54834</c:v>
                </c:pt>
                <c:pt idx="111">
                  <c:v>54924</c:v>
                </c:pt>
                <c:pt idx="112">
                  <c:v>55015</c:v>
                </c:pt>
                <c:pt idx="113">
                  <c:v>55108</c:v>
                </c:pt>
                <c:pt idx="114">
                  <c:v>55199</c:v>
                </c:pt>
                <c:pt idx="115">
                  <c:v>55288</c:v>
                </c:pt>
                <c:pt idx="116">
                  <c:v>55380</c:v>
                </c:pt>
                <c:pt idx="117">
                  <c:v>55473</c:v>
                </c:pt>
                <c:pt idx="118">
                  <c:v>55564</c:v>
                </c:pt>
                <c:pt idx="119">
                  <c:v>55654</c:v>
                </c:pt>
                <c:pt idx="120">
                  <c:v>55746</c:v>
                </c:pt>
                <c:pt idx="121">
                  <c:v>55841</c:v>
                </c:pt>
                <c:pt idx="122">
                  <c:v>55934</c:v>
                </c:pt>
                <c:pt idx="123">
                  <c:v>56019</c:v>
                </c:pt>
                <c:pt idx="124">
                  <c:v>56111</c:v>
                </c:pt>
                <c:pt idx="125">
                  <c:v>56205</c:v>
                </c:pt>
                <c:pt idx="126">
                  <c:v>56296</c:v>
                </c:pt>
                <c:pt idx="127">
                  <c:v>56384</c:v>
                </c:pt>
                <c:pt idx="128">
                  <c:v>56478</c:v>
                </c:pt>
                <c:pt idx="129">
                  <c:v>56569</c:v>
                </c:pt>
                <c:pt idx="130">
                  <c:v>56660</c:v>
                </c:pt>
                <c:pt idx="131">
                  <c:v>56751</c:v>
                </c:pt>
                <c:pt idx="132">
                  <c:v>56842</c:v>
                </c:pt>
                <c:pt idx="133">
                  <c:v>57026</c:v>
                </c:pt>
                <c:pt idx="134">
                  <c:v>57207</c:v>
                </c:pt>
                <c:pt idx="135">
                  <c:v>57391</c:v>
                </c:pt>
                <c:pt idx="136">
                  <c:v>57572</c:v>
                </c:pt>
                <c:pt idx="137">
                  <c:v>57756</c:v>
                </c:pt>
                <c:pt idx="138">
                  <c:v>57937</c:v>
                </c:pt>
                <c:pt idx="139">
                  <c:v>58123</c:v>
                </c:pt>
                <c:pt idx="140">
                  <c:v>58302</c:v>
                </c:pt>
                <c:pt idx="141">
                  <c:v>58487</c:v>
                </c:pt>
                <c:pt idx="142">
                  <c:v>58669</c:v>
                </c:pt>
              </c:numCache>
            </c:numRef>
          </c:cat>
          <c:val>
            <c:numRef>
              <c:f>Simulador!$J$5:$J$147</c:f>
              <c:numCache>
                <c:formatCode>0.00%</c:formatCode>
                <c:ptCount val="143"/>
                <c:pt idx="0">
                  <c:v>9.4238501847281109E-2</c:v>
                </c:pt>
                <c:pt idx="1">
                  <c:v>8.8437815039086765E-2</c:v>
                </c:pt>
                <c:pt idx="2">
                  <c:v>8.6926612886886856E-2</c:v>
                </c:pt>
                <c:pt idx="3">
                  <c:v>8.3802406981866362E-2</c:v>
                </c:pt>
                <c:pt idx="4">
                  <c:v>7.9302041272826251E-2</c:v>
                </c:pt>
                <c:pt idx="5">
                  <c:v>7.5555946570935895E-2</c:v>
                </c:pt>
                <c:pt idx="6">
                  <c:v>7.2438747759168143E-2</c:v>
                </c:pt>
                <c:pt idx="7">
                  <c:v>6.9722414488002649E-2</c:v>
                </c:pt>
                <c:pt idx="8">
                  <c:v>6.730173834988129E-2</c:v>
                </c:pt>
                <c:pt idx="9">
                  <c:v>6.5232770467420487E-2</c:v>
                </c:pt>
                <c:pt idx="10">
                  <c:v>6.3573730880697621E-2</c:v>
                </c:pt>
                <c:pt idx="11">
                  <c:v>6.2283233879442124E-2</c:v>
                </c:pt>
                <c:pt idx="12">
                  <c:v>6.1070807198248644E-2</c:v>
                </c:pt>
                <c:pt idx="13">
                  <c:v>6.0071388550429816E-2</c:v>
                </c:pt>
                <c:pt idx="14">
                  <c:v>5.927838770503624E-2</c:v>
                </c:pt>
                <c:pt idx="15">
                  <c:v>5.8675502773394728E-2</c:v>
                </c:pt>
                <c:pt idx="16">
                  <c:v>5.8133069907817969E-2</c:v>
                </c:pt>
                <c:pt idx="17">
                  <c:v>5.7724810900317891E-2</c:v>
                </c:pt>
                <c:pt idx="18">
                  <c:v>5.7407981869316727E-2</c:v>
                </c:pt>
                <c:pt idx="19">
                  <c:v>5.715583461245699E-2</c:v>
                </c:pt>
                <c:pt idx="20">
                  <c:v>5.6968724466762044E-2</c:v>
                </c:pt>
                <c:pt idx="21">
                  <c:v>5.6839715309690009E-2</c:v>
                </c:pt>
                <c:pt idx="22">
                  <c:v>5.675390529669766E-2</c:v>
                </c:pt>
                <c:pt idx="23">
                  <c:v>5.6709240208270062E-2</c:v>
                </c:pt>
                <c:pt idx="24">
                  <c:v>5.6694932019935917E-2</c:v>
                </c:pt>
                <c:pt idx="25">
                  <c:v>5.6704466377620388E-2</c:v>
                </c:pt>
                <c:pt idx="26">
                  <c:v>5.6735781893983983E-2</c:v>
                </c:pt>
                <c:pt idx="27">
                  <c:v>5.6779566995880826E-2</c:v>
                </c:pt>
                <c:pt idx="28">
                  <c:v>5.6843208866909523E-2</c:v>
                </c:pt>
                <c:pt idx="29">
                  <c:v>5.6912256341070222E-2</c:v>
                </c:pt>
                <c:pt idx="30">
                  <c:v>5.699082751972151E-2</c:v>
                </c:pt>
                <c:pt idx="31">
                  <c:v>5.7066966659098606E-2</c:v>
                </c:pt>
                <c:pt idx="32">
                  <c:v>5.7156852715572137E-2</c:v>
                </c:pt>
                <c:pt idx="33">
                  <c:v>5.7248282474742007E-2</c:v>
                </c:pt>
                <c:pt idx="34">
                  <c:v>5.7337312092009096E-2</c:v>
                </c:pt>
                <c:pt idx="35">
                  <c:v>5.7417931184525317E-2</c:v>
                </c:pt>
                <c:pt idx="36">
                  <c:v>5.7508281745383361E-2</c:v>
                </c:pt>
                <c:pt idx="37">
                  <c:v>5.7597092218049317E-2</c:v>
                </c:pt>
                <c:pt idx="38">
                  <c:v>5.7677395986454938E-2</c:v>
                </c:pt>
                <c:pt idx="39">
                  <c:v>5.7757126301591022E-2</c:v>
                </c:pt>
                <c:pt idx="40">
                  <c:v>5.7835355150152479E-2</c:v>
                </c:pt>
                <c:pt idx="41">
                  <c:v>5.7907633774759049E-2</c:v>
                </c:pt>
                <c:pt idx="42">
                  <c:v>5.7980046197837254E-2</c:v>
                </c:pt>
                <c:pt idx="43">
                  <c:v>5.8043456490650902E-2</c:v>
                </c:pt>
                <c:pt idx="44">
                  <c:v>5.810761154270061E-2</c:v>
                </c:pt>
                <c:pt idx="45">
                  <c:v>5.8167204978008868E-2</c:v>
                </c:pt>
                <c:pt idx="46">
                  <c:v>5.8225008086649765E-2</c:v>
                </c:pt>
                <c:pt idx="47">
                  <c:v>5.8273585043413068E-2</c:v>
                </c:pt>
                <c:pt idx="48">
                  <c:v>5.8324492388269089E-2</c:v>
                </c:pt>
                <c:pt idx="49">
                  <c:v>5.8370732786934276E-2</c:v>
                </c:pt>
                <c:pt idx="50">
                  <c:v>5.8412328241514766E-2</c:v>
                </c:pt>
                <c:pt idx="51">
                  <c:v>5.845140132792781E-2</c:v>
                </c:pt>
                <c:pt idx="52">
                  <c:v>5.8489706848831924E-2</c:v>
                </c:pt>
                <c:pt idx="53">
                  <c:v>5.8524380683759647E-2</c:v>
                </c:pt>
                <c:pt idx="54">
                  <c:v>5.8556139186790812E-2</c:v>
                </c:pt>
                <c:pt idx="55">
                  <c:v>5.8583997211028471E-2</c:v>
                </c:pt>
                <c:pt idx="56">
                  <c:v>5.8611859295576219E-2</c:v>
                </c:pt>
                <c:pt idx="57">
                  <c:v>5.8638128010987556E-2</c:v>
                </c:pt>
                <c:pt idx="58">
                  <c:v>5.8660801841484034E-2</c:v>
                </c:pt>
                <c:pt idx="59">
                  <c:v>5.8680561097130379E-2</c:v>
                </c:pt>
                <c:pt idx="60">
                  <c:v>5.8700099138915718E-2</c:v>
                </c:pt>
                <c:pt idx="61">
                  <c:v>5.8717368819042326E-2</c:v>
                </c:pt>
                <c:pt idx="62">
                  <c:v>5.8732996877415289E-2</c:v>
                </c:pt>
                <c:pt idx="63">
                  <c:v>5.8747033276694616E-2</c:v>
                </c:pt>
                <c:pt idx="64">
                  <c:v>5.8759991321506444E-2</c:v>
                </c:pt>
                <c:pt idx="65">
                  <c:v>5.8771595525586973E-2</c:v>
                </c:pt>
                <c:pt idx="66">
                  <c:v>5.8782175441086881E-2</c:v>
                </c:pt>
                <c:pt idx="67">
                  <c:v>5.8791172804259162E-2</c:v>
                </c:pt>
                <c:pt idx="68">
                  <c:v>5.8799409120790624E-2</c:v>
                </c:pt>
                <c:pt idx="69">
                  <c:v>5.8806830204646721E-2</c:v>
                </c:pt>
                <c:pt idx="70">
                  <c:v>5.8813089255010942E-2</c:v>
                </c:pt>
                <c:pt idx="71">
                  <c:v>5.8818697956210642E-2</c:v>
                </c:pt>
                <c:pt idx="72">
                  <c:v>5.8823529904745264E-2</c:v>
                </c:pt>
                <c:pt idx="73">
                  <c:v>5.8827713592402908E-2</c:v>
                </c:pt>
                <c:pt idx="74">
                  <c:v>5.8831057113176932E-2</c:v>
                </c:pt>
                <c:pt idx="75">
                  <c:v>5.8833844360887788E-2</c:v>
                </c:pt>
                <c:pt idx="76">
                  <c:v>5.8836130507560425E-2</c:v>
                </c:pt>
                <c:pt idx="77">
                  <c:v>5.8838091267736203E-2</c:v>
                </c:pt>
                <c:pt idx="78">
                  <c:v>5.8839353044422005E-2</c:v>
                </c:pt>
                <c:pt idx="79">
                  <c:v>5.8840285146379401E-2</c:v>
                </c:pt>
                <c:pt idx="80">
                  <c:v>5.8840767743566058E-2</c:v>
                </c:pt>
                <c:pt idx="81">
                  <c:v>5.8841018534799838E-2</c:v>
                </c:pt>
                <c:pt idx="82">
                  <c:v>5.8840830793824406E-2</c:v>
                </c:pt>
                <c:pt idx="83">
                  <c:v>5.8840486155436134E-2</c:v>
                </c:pt>
                <c:pt idx="84">
                  <c:v>5.8839722183360088E-2</c:v>
                </c:pt>
                <c:pt idx="85">
                  <c:v>5.8838863167042232E-2</c:v>
                </c:pt>
                <c:pt idx="86">
                  <c:v>5.8837674852689537E-2</c:v>
                </c:pt>
                <c:pt idx="87">
                  <c:v>5.8836435992123626E-2</c:v>
                </c:pt>
                <c:pt idx="88">
                  <c:v>5.8834858382543764E-2</c:v>
                </c:pt>
                <c:pt idx="89">
                  <c:v>5.8833236062737715E-2</c:v>
                </c:pt>
                <c:pt idx="90">
                  <c:v>5.8831333067622671E-2</c:v>
                </c:pt>
                <c:pt idx="91">
                  <c:v>5.882959630430995E-2</c:v>
                </c:pt>
                <c:pt idx="92">
                  <c:v>5.8827451923642471E-2</c:v>
                </c:pt>
                <c:pt idx="93">
                  <c:v>5.8825345606740242E-2</c:v>
                </c:pt>
                <c:pt idx="94">
                  <c:v>5.8823158160998368E-2</c:v>
                </c:pt>
                <c:pt idx="95">
                  <c:v>5.8820967137688029E-2</c:v>
                </c:pt>
                <c:pt idx="96">
                  <c:v>5.8818492538714739E-2</c:v>
                </c:pt>
                <c:pt idx="97">
                  <c:v>5.8816096566091547E-2</c:v>
                </c:pt>
                <c:pt idx="98">
                  <c:v>5.8813597365411585E-2</c:v>
                </c:pt>
                <c:pt idx="99">
                  <c:v>5.8811272659216041E-2</c:v>
                </c:pt>
                <c:pt idx="100">
                  <c:v>5.8808617939406949E-2</c:v>
                </c:pt>
                <c:pt idx="101">
                  <c:v>5.88059404263781E-2</c:v>
                </c:pt>
                <c:pt idx="102">
                  <c:v>5.8803324471326635E-2</c:v>
                </c:pt>
                <c:pt idx="103">
                  <c:v>5.8800896670873293E-2</c:v>
                </c:pt>
                <c:pt idx="104">
                  <c:v>5.879816888569378E-2</c:v>
                </c:pt>
                <c:pt idx="105">
                  <c:v>5.8795594722495181E-2</c:v>
                </c:pt>
                <c:pt idx="106">
                  <c:v>5.8792942581760599E-2</c:v>
                </c:pt>
                <c:pt idx="107">
                  <c:v>5.8790405857079397E-2</c:v>
                </c:pt>
                <c:pt idx="108">
                  <c:v>5.8787716226643916E-2</c:v>
                </c:pt>
                <c:pt idx="109">
                  <c:v>5.8785144804037959E-2</c:v>
                </c:pt>
                <c:pt idx="110">
                  <c:v>5.8782431209977171E-2</c:v>
                </c:pt>
                <c:pt idx="111">
                  <c:v>5.8779960573704049E-2</c:v>
                </c:pt>
                <c:pt idx="112">
                  <c:v>5.8777314275879178E-2</c:v>
                </c:pt>
                <c:pt idx="113">
                  <c:v>5.8774745898205305E-2</c:v>
                </c:pt>
                <c:pt idx="114">
                  <c:v>5.8772174898984231E-2</c:v>
                </c:pt>
                <c:pt idx="115">
                  <c:v>5.8769761853198155E-2</c:v>
                </c:pt>
                <c:pt idx="116">
                  <c:v>5.8767148322258267E-2</c:v>
                </c:pt>
                <c:pt idx="117">
                  <c:v>5.8764652725868061E-2</c:v>
                </c:pt>
                <c:pt idx="118">
                  <c:v>5.8762164032261532E-2</c:v>
                </c:pt>
                <c:pt idx="119">
                  <c:v>5.8759828971758798E-2</c:v>
                </c:pt>
                <c:pt idx="120">
                  <c:v>5.8757308437127342E-2</c:v>
                </c:pt>
                <c:pt idx="121">
                  <c:v>5.8754787474419201E-2</c:v>
                </c:pt>
                <c:pt idx="122">
                  <c:v>5.8752396484521574E-2</c:v>
                </c:pt>
                <c:pt idx="123">
                  <c:v>5.8750226928858895E-2</c:v>
                </c:pt>
                <c:pt idx="124">
                  <c:v>5.8747810169011316E-2</c:v>
                </c:pt>
                <c:pt idx="125">
                  <c:v>5.8745393007364699E-2</c:v>
                </c:pt>
                <c:pt idx="126">
                  <c:v>5.8743177149762404E-2</c:v>
                </c:pt>
                <c:pt idx="127">
                  <c:v>5.8740992866322284E-2</c:v>
                </c:pt>
                <c:pt idx="128">
                  <c:v>5.8738684795924589E-2</c:v>
                </c:pt>
                <c:pt idx="129">
                  <c:v>5.8736515540337653E-2</c:v>
                </c:pt>
                <c:pt idx="130">
                  <c:v>5.8734331216131475E-2</c:v>
                </c:pt>
                <c:pt idx="131">
                  <c:v>5.8732246677280608E-2</c:v>
                </c:pt>
                <c:pt idx="132">
                  <c:v>5.8730080214894009E-2</c:v>
                </c:pt>
                <c:pt idx="133">
                  <c:v>5.8725898286665412E-2</c:v>
                </c:pt>
                <c:pt idx="134">
                  <c:v>5.8721850596649583E-2</c:v>
                </c:pt>
                <c:pt idx="135">
                  <c:v>5.871787082096791E-2</c:v>
                </c:pt>
                <c:pt idx="136">
                  <c:v>5.8714050695392261E-2</c:v>
                </c:pt>
                <c:pt idx="137">
                  <c:v>5.8710264940315726E-2</c:v>
                </c:pt>
                <c:pt idx="138">
                  <c:v>5.8706631547225108E-2</c:v>
                </c:pt>
                <c:pt idx="139">
                  <c:v>5.8703002764025847E-2</c:v>
                </c:pt>
                <c:pt idx="140">
                  <c:v>5.8699520125501836E-2</c:v>
                </c:pt>
                <c:pt idx="141">
                  <c:v>5.8696016032179221E-2</c:v>
                </c:pt>
                <c:pt idx="142">
                  <c:v>5.869270526563386E-2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44-9B45-A994-06B4F1D125B5}"/>
            </c:ext>
          </c:extLst>
        </c:ser>
        <c:ser>
          <c:idx val="2"/>
          <c:order val="1"/>
          <c:tx>
            <c:strRef>
              <c:f>Simulador!$L$4</c:f>
              <c:strCache>
                <c:ptCount val="1"/>
                <c:pt idx="0">
                  <c:v>Real Simulada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Simulador!$B$5:$B$147</c:f>
              <c:numCache>
                <c:formatCode>m/d/yy</c:formatCode>
                <c:ptCount val="143"/>
                <c:pt idx="0">
                  <c:v>44881</c:v>
                </c:pt>
                <c:pt idx="1">
                  <c:v>44972</c:v>
                </c:pt>
                <c:pt idx="2">
                  <c:v>45000</c:v>
                </c:pt>
                <c:pt idx="3">
                  <c:v>45061</c:v>
                </c:pt>
                <c:pt idx="4">
                  <c:v>45153</c:v>
                </c:pt>
                <c:pt idx="5">
                  <c:v>45246</c:v>
                </c:pt>
                <c:pt idx="6">
                  <c:v>45337</c:v>
                </c:pt>
                <c:pt idx="7">
                  <c:v>45427</c:v>
                </c:pt>
                <c:pt idx="8">
                  <c:v>45519</c:v>
                </c:pt>
                <c:pt idx="9">
                  <c:v>45614</c:v>
                </c:pt>
                <c:pt idx="10">
                  <c:v>45705</c:v>
                </c:pt>
                <c:pt idx="11">
                  <c:v>45792</c:v>
                </c:pt>
                <c:pt idx="12">
                  <c:v>45884</c:v>
                </c:pt>
                <c:pt idx="13">
                  <c:v>45978</c:v>
                </c:pt>
                <c:pt idx="14">
                  <c:v>46071</c:v>
                </c:pt>
                <c:pt idx="15">
                  <c:v>46157</c:v>
                </c:pt>
                <c:pt idx="16">
                  <c:v>46251</c:v>
                </c:pt>
                <c:pt idx="17">
                  <c:v>46342</c:v>
                </c:pt>
                <c:pt idx="18">
                  <c:v>46433</c:v>
                </c:pt>
                <c:pt idx="19">
                  <c:v>46524</c:v>
                </c:pt>
                <c:pt idx="20">
                  <c:v>46615</c:v>
                </c:pt>
                <c:pt idx="21">
                  <c:v>46707</c:v>
                </c:pt>
                <c:pt idx="22">
                  <c:v>46798</c:v>
                </c:pt>
                <c:pt idx="23">
                  <c:v>46888</c:v>
                </c:pt>
                <c:pt idx="24">
                  <c:v>46980</c:v>
                </c:pt>
                <c:pt idx="25">
                  <c:v>47073</c:v>
                </c:pt>
                <c:pt idx="26">
                  <c:v>47164</c:v>
                </c:pt>
                <c:pt idx="27">
                  <c:v>47253</c:v>
                </c:pt>
                <c:pt idx="28">
                  <c:v>47345</c:v>
                </c:pt>
                <c:pt idx="29">
                  <c:v>47438</c:v>
                </c:pt>
                <c:pt idx="30">
                  <c:v>47529</c:v>
                </c:pt>
                <c:pt idx="31">
                  <c:v>47618</c:v>
                </c:pt>
                <c:pt idx="32">
                  <c:v>47710</c:v>
                </c:pt>
                <c:pt idx="33">
                  <c:v>47805</c:v>
                </c:pt>
                <c:pt idx="34">
                  <c:v>47896</c:v>
                </c:pt>
                <c:pt idx="35">
                  <c:v>47983</c:v>
                </c:pt>
                <c:pt idx="36">
                  <c:v>48075</c:v>
                </c:pt>
                <c:pt idx="37">
                  <c:v>48169</c:v>
                </c:pt>
                <c:pt idx="38">
                  <c:v>48260</c:v>
                </c:pt>
                <c:pt idx="39">
                  <c:v>48351</c:v>
                </c:pt>
                <c:pt idx="40">
                  <c:v>48442</c:v>
                </c:pt>
                <c:pt idx="41">
                  <c:v>48534</c:v>
                </c:pt>
                <c:pt idx="42">
                  <c:v>48625</c:v>
                </c:pt>
                <c:pt idx="43">
                  <c:v>48715</c:v>
                </c:pt>
                <c:pt idx="44">
                  <c:v>48806</c:v>
                </c:pt>
                <c:pt idx="45">
                  <c:v>48899</c:v>
                </c:pt>
                <c:pt idx="46">
                  <c:v>48990</c:v>
                </c:pt>
                <c:pt idx="47">
                  <c:v>49079</c:v>
                </c:pt>
                <c:pt idx="48">
                  <c:v>49171</c:v>
                </c:pt>
                <c:pt idx="49">
                  <c:v>49264</c:v>
                </c:pt>
                <c:pt idx="50">
                  <c:v>49355</c:v>
                </c:pt>
                <c:pt idx="51">
                  <c:v>49444</c:v>
                </c:pt>
                <c:pt idx="52">
                  <c:v>49536</c:v>
                </c:pt>
                <c:pt idx="53">
                  <c:v>49629</c:v>
                </c:pt>
                <c:pt idx="54">
                  <c:v>49720</c:v>
                </c:pt>
                <c:pt idx="55">
                  <c:v>49810</c:v>
                </c:pt>
                <c:pt idx="56">
                  <c:v>49902</c:v>
                </c:pt>
                <c:pt idx="57">
                  <c:v>49996</c:v>
                </c:pt>
                <c:pt idx="58">
                  <c:v>50089</c:v>
                </c:pt>
                <c:pt idx="59">
                  <c:v>50175</c:v>
                </c:pt>
                <c:pt idx="60">
                  <c:v>50269</c:v>
                </c:pt>
                <c:pt idx="61">
                  <c:v>50360</c:v>
                </c:pt>
                <c:pt idx="62">
                  <c:v>50451</c:v>
                </c:pt>
                <c:pt idx="63">
                  <c:v>50542</c:v>
                </c:pt>
                <c:pt idx="64">
                  <c:v>50633</c:v>
                </c:pt>
                <c:pt idx="65">
                  <c:v>50725</c:v>
                </c:pt>
                <c:pt idx="66">
                  <c:v>50816</c:v>
                </c:pt>
                <c:pt idx="67">
                  <c:v>50906</c:v>
                </c:pt>
                <c:pt idx="68">
                  <c:v>50997</c:v>
                </c:pt>
                <c:pt idx="69">
                  <c:v>51090</c:v>
                </c:pt>
                <c:pt idx="70">
                  <c:v>51181</c:v>
                </c:pt>
                <c:pt idx="71">
                  <c:v>51271</c:v>
                </c:pt>
                <c:pt idx="72">
                  <c:v>51363</c:v>
                </c:pt>
                <c:pt idx="73">
                  <c:v>51456</c:v>
                </c:pt>
                <c:pt idx="74">
                  <c:v>51547</c:v>
                </c:pt>
                <c:pt idx="75">
                  <c:v>51636</c:v>
                </c:pt>
                <c:pt idx="76">
                  <c:v>51728</c:v>
                </c:pt>
                <c:pt idx="77">
                  <c:v>51823</c:v>
                </c:pt>
                <c:pt idx="78">
                  <c:v>51916</c:v>
                </c:pt>
                <c:pt idx="79">
                  <c:v>52001</c:v>
                </c:pt>
                <c:pt idx="80">
                  <c:v>52093</c:v>
                </c:pt>
                <c:pt idx="81">
                  <c:v>52187</c:v>
                </c:pt>
                <c:pt idx="82">
                  <c:v>52278</c:v>
                </c:pt>
                <c:pt idx="83">
                  <c:v>52366</c:v>
                </c:pt>
                <c:pt idx="84">
                  <c:v>52460</c:v>
                </c:pt>
                <c:pt idx="85">
                  <c:v>52551</c:v>
                </c:pt>
                <c:pt idx="86">
                  <c:v>52642</c:v>
                </c:pt>
                <c:pt idx="87">
                  <c:v>52733</c:v>
                </c:pt>
                <c:pt idx="88">
                  <c:v>52824</c:v>
                </c:pt>
                <c:pt idx="89">
                  <c:v>52917</c:v>
                </c:pt>
                <c:pt idx="90">
                  <c:v>53008</c:v>
                </c:pt>
                <c:pt idx="91">
                  <c:v>53097</c:v>
                </c:pt>
                <c:pt idx="92">
                  <c:v>53189</c:v>
                </c:pt>
                <c:pt idx="93">
                  <c:v>53282</c:v>
                </c:pt>
                <c:pt idx="94">
                  <c:v>53373</c:v>
                </c:pt>
                <c:pt idx="95">
                  <c:v>53462</c:v>
                </c:pt>
                <c:pt idx="96">
                  <c:v>53554</c:v>
                </c:pt>
                <c:pt idx="97">
                  <c:v>53647</c:v>
                </c:pt>
                <c:pt idx="98">
                  <c:v>53738</c:v>
                </c:pt>
                <c:pt idx="99">
                  <c:v>53827</c:v>
                </c:pt>
                <c:pt idx="100">
                  <c:v>53919</c:v>
                </c:pt>
                <c:pt idx="101">
                  <c:v>54014</c:v>
                </c:pt>
                <c:pt idx="102">
                  <c:v>54107</c:v>
                </c:pt>
                <c:pt idx="103">
                  <c:v>54193</c:v>
                </c:pt>
                <c:pt idx="104">
                  <c:v>54287</c:v>
                </c:pt>
                <c:pt idx="105">
                  <c:v>54378</c:v>
                </c:pt>
                <c:pt idx="106">
                  <c:v>54469</c:v>
                </c:pt>
                <c:pt idx="107">
                  <c:v>54560</c:v>
                </c:pt>
                <c:pt idx="108">
                  <c:v>54651</c:v>
                </c:pt>
                <c:pt idx="109">
                  <c:v>54743</c:v>
                </c:pt>
                <c:pt idx="110">
                  <c:v>54834</c:v>
                </c:pt>
                <c:pt idx="111">
                  <c:v>54924</c:v>
                </c:pt>
                <c:pt idx="112">
                  <c:v>55015</c:v>
                </c:pt>
                <c:pt idx="113">
                  <c:v>55108</c:v>
                </c:pt>
                <c:pt idx="114">
                  <c:v>55199</c:v>
                </c:pt>
                <c:pt idx="115">
                  <c:v>55288</c:v>
                </c:pt>
                <c:pt idx="116">
                  <c:v>55380</c:v>
                </c:pt>
                <c:pt idx="117">
                  <c:v>55473</c:v>
                </c:pt>
                <c:pt idx="118">
                  <c:v>55564</c:v>
                </c:pt>
                <c:pt idx="119">
                  <c:v>55654</c:v>
                </c:pt>
                <c:pt idx="120">
                  <c:v>55746</c:v>
                </c:pt>
                <c:pt idx="121">
                  <c:v>55841</c:v>
                </c:pt>
                <c:pt idx="122">
                  <c:v>55934</c:v>
                </c:pt>
                <c:pt idx="123">
                  <c:v>56019</c:v>
                </c:pt>
                <c:pt idx="124">
                  <c:v>56111</c:v>
                </c:pt>
                <c:pt idx="125">
                  <c:v>56205</c:v>
                </c:pt>
                <c:pt idx="126">
                  <c:v>56296</c:v>
                </c:pt>
                <c:pt idx="127">
                  <c:v>56384</c:v>
                </c:pt>
                <c:pt idx="128">
                  <c:v>56478</c:v>
                </c:pt>
                <c:pt idx="129">
                  <c:v>56569</c:v>
                </c:pt>
                <c:pt idx="130">
                  <c:v>56660</c:v>
                </c:pt>
                <c:pt idx="131">
                  <c:v>56751</c:v>
                </c:pt>
                <c:pt idx="132">
                  <c:v>56842</c:v>
                </c:pt>
                <c:pt idx="133">
                  <c:v>57026</c:v>
                </c:pt>
                <c:pt idx="134">
                  <c:v>57207</c:v>
                </c:pt>
                <c:pt idx="135">
                  <c:v>57391</c:v>
                </c:pt>
                <c:pt idx="136">
                  <c:v>57572</c:v>
                </c:pt>
                <c:pt idx="137">
                  <c:v>57756</c:v>
                </c:pt>
                <c:pt idx="138">
                  <c:v>57937</c:v>
                </c:pt>
                <c:pt idx="139">
                  <c:v>58123</c:v>
                </c:pt>
                <c:pt idx="140">
                  <c:v>58302</c:v>
                </c:pt>
                <c:pt idx="141">
                  <c:v>58487</c:v>
                </c:pt>
                <c:pt idx="142">
                  <c:v>58669</c:v>
                </c:pt>
              </c:numCache>
            </c:numRef>
          </c:cat>
          <c:val>
            <c:numRef>
              <c:f>Simulador!$L$5:$L$147</c:f>
              <c:numCache>
                <c:formatCode>0.00%</c:formatCode>
                <c:ptCount val="143"/>
                <c:pt idx="0">
                  <c:v>9.4238501847281109E-2</c:v>
                </c:pt>
                <c:pt idx="1">
                  <c:v>8.8437815039086765E-2</c:v>
                </c:pt>
                <c:pt idx="2">
                  <c:v>8.6926612886886856E-2</c:v>
                </c:pt>
                <c:pt idx="3">
                  <c:v>8.3802406981866362E-2</c:v>
                </c:pt>
                <c:pt idx="4">
                  <c:v>7.9302041272826251E-2</c:v>
                </c:pt>
                <c:pt idx="5">
                  <c:v>7.5555946570935895E-2</c:v>
                </c:pt>
                <c:pt idx="6">
                  <c:v>7.2438747759168143E-2</c:v>
                </c:pt>
                <c:pt idx="7">
                  <c:v>6.9722414488002649E-2</c:v>
                </c:pt>
                <c:pt idx="8">
                  <c:v>6.730173834988129E-2</c:v>
                </c:pt>
                <c:pt idx="9">
                  <c:v>6.5232770467420487E-2</c:v>
                </c:pt>
                <c:pt idx="10">
                  <c:v>6.3573730880697621E-2</c:v>
                </c:pt>
                <c:pt idx="11">
                  <c:v>6.2283233879442124E-2</c:v>
                </c:pt>
                <c:pt idx="12">
                  <c:v>6.1070807198248644E-2</c:v>
                </c:pt>
                <c:pt idx="13">
                  <c:v>6.0071388550429816E-2</c:v>
                </c:pt>
                <c:pt idx="14">
                  <c:v>5.927838770503624E-2</c:v>
                </c:pt>
                <c:pt idx="15">
                  <c:v>5.8675502773394728E-2</c:v>
                </c:pt>
                <c:pt idx="16">
                  <c:v>5.8133069907817969E-2</c:v>
                </c:pt>
                <c:pt idx="17">
                  <c:v>5.7724810900317891E-2</c:v>
                </c:pt>
                <c:pt idx="18">
                  <c:v>5.7407981869316727E-2</c:v>
                </c:pt>
                <c:pt idx="19">
                  <c:v>5.715583461245699E-2</c:v>
                </c:pt>
                <c:pt idx="20">
                  <c:v>5.6968724466762044E-2</c:v>
                </c:pt>
                <c:pt idx="21">
                  <c:v>5.6839715309690009E-2</c:v>
                </c:pt>
                <c:pt idx="22">
                  <c:v>5.675390529669766E-2</c:v>
                </c:pt>
                <c:pt idx="23">
                  <c:v>5.6709240208270062E-2</c:v>
                </c:pt>
                <c:pt idx="24">
                  <c:v>5.6694932019935917E-2</c:v>
                </c:pt>
                <c:pt idx="25">
                  <c:v>5.6704466377620388E-2</c:v>
                </c:pt>
                <c:pt idx="26">
                  <c:v>5.6735781893983983E-2</c:v>
                </c:pt>
                <c:pt idx="27">
                  <c:v>5.6779566995880826E-2</c:v>
                </c:pt>
                <c:pt idx="28">
                  <c:v>5.6843208866909523E-2</c:v>
                </c:pt>
                <c:pt idx="29">
                  <c:v>5.6912256341070222E-2</c:v>
                </c:pt>
                <c:pt idx="30">
                  <c:v>5.699082751972151E-2</c:v>
                </c:pt>
                <c:pt idx="31">
                  <c:v>5.7066966659098606E-2</c:v>
                </c:pt>
                <c:pt idx="32">
                  <c:v>5.7156852715572137E-2</c:v>
                </c:pt>
                <c:pt idx="33">
                  <c:v>5.7248282474742007E-2</c:v>
                </c:pt>
                <c:pt idx="34">
                  <c:v>5.7337312092009096E-2</c:v>
                </c:pt>
                <c:pt idx="35">
                  <c:v>5.7417931184525317E-2</c:v>
                </c:pt>
                <c:pt idx="36">
                  <c:v>5.7508281745383361E-2</c:v>
                </c:pt>
                <c:pt idx="37">
                  <c:v>5.7597092218049317E-2</c:v>
                </c:pt>
                <c:pt idx="38">
                  <c:v>5.7677395986454938E-2</c:v>
                </c:pt>
                <c:pt idx="39">
                  <c:v>5.7757126301591022E-2</c:v>
                </c:pt>
                <c:pt idx="40">
                  <c:v>5.7835355150152479E-2</c:v>
                </c:pt>
                <c:pt idx="41">
                  <c:v>5.7907633774759049E-2</c:v>
                </c:pt>
                <c:pt idx="42">
                  <c:v>5.7980046197837254E-2</c:v>
                </c:pt>
                <c:pt idx="43">
                  <c:v>5.8043456490650902E-2</c:v>
                </c:pt>
                <c:pt idx="44">
                  <c:v>5.810761154270061E-2</c:v>
                </c:pt>
                <c:pt idx="45">
                  <c:v>5.8167204978008868E-2</c:v>
                </c:pt>
                <c:pt idx="46">
                  <c:v>5.8225008086649765E-2</c:v>
                </c:pt>
                <c:pt idx="47">
                  <c:v>5.8273585043413068E-2</c:v>
                </c:pt>
                <c:pt idx="48">
                  <c:v>5.8324492388269089E-2</c:v>
                </c:pt>
                <c:pt idx="49">
                  <c:v>5.8370732786934276E-2</c:v>
                </c:pt>
                <c:pt idx="50">
                  <c:v>5.8412328241514766E-2</c:v>
                </c:pt>
                <c:pt idx="51">
                  <c:v>5.845140132792781E-2</c:v>
                </c:pt>
                <c:pt idx="52">
                  <c:v>5.8489706848831924E-2</c:v>
                </c:pt>
                <c:pt idx="53">
                  <c:v>5.8524380683759647E-2</c:v>
                </c:pt>
                <c:pt idx="54">
                  <c:v>5.8556139186790812E-2</c:v>
                </c:pt>
                <c:pt idx="55">
                  <c:v>5.8583997211028471E-2</c:v>
                </c:pt>
                <c:pt idx="56">
                  <c:v>5.8611859295576219E-2</c:v>
                </c:pt>
                <c:pt idx="57">
                  <c:v>5.8638128010987556E-2</c:v>
                </c:pt>
                <c:pt idx="58">
                  <c:v>5.8660801841484034E-2</c:v>
                </c:pt>
                <c:pt idx="59">
                  <c:v>5.8680561097130379E-2</c:v>
                </c:pt>
                <c:pt idx="60">
                  <c:v>5.8700099138915718E-2</c:v>
                </c:pt>
                <c:pt idx="61">
                  <c:v>5.8717368819042326E-2</c:v>
                </c:pt>
                <c:pt idx="62">
                  <c:v>5.8732996877415289E-2</c:v>
                </c:pt>
                <c:pt idx="63">
                  <c:v>5.8747033276694616E-2</c:v>
                </c:pt>
                <c:pt idx="64">
                  <c:v>5.8759991321506444E-2</c:v>
                </c:pt>
                <c:pt idx="65">
                  <c:v>5.8771595525586973E-2</c:v>
                </c:pt>
                <c:pt idx="66">
                  <c:v>5.8782175441086881E-2</c:v>
                </c:pt>
                <c:pt idx="67">
                  <c:v>5.8791172804259162E-2</c:v>
                </c:pt>
                <c:pt idx="68">
                  <c:v>5.8799409120790624E-2</c:v>
                </c:pt>
                <c:pt idx="69">
                  <c:v>5.8806830204646721E-2</c:v>
                </c:pt>
                <c:pt idx="70">
                  <c:v>5.8813089255010942E-2</c:v>
                </c:pt>
                <c:pt idx="71">
                  <c:v>5.8818697956210642E-2</c:v>
                </c:pt>
                <c:pt idx="72">
                  <c:v>5.8823529904745264E-2</c:v>
                </c:pt>
                <c:pt idx="73">
                  <c:v>5.8827713592402908E-2</c:v>
                </c:pt>
                <c:pt idx="74">
                  <c:v>5.8831057113176932E-2</c:v>
                </c:pt>
                <c:pt idx="75">
                  <c:v>5.8833844360887788E-2</c:v>
                </c:pt>
                <c:pt idx="76">
                  <c:v>5.8836130507560425E-2</c:v>
                </c:pt>
                <c:pt idx="77">
                  <c:v>5.8838091267736203E-2</c:v>
                </c:pt>
                <c:pt idx="78">
                  <c:v>5.8839353044422005E-2</c:v>
                </c:pt>
                <c:pt idx="79">
                  <c:v>5.8840285146379401E-2</c:v>
                </c:pt>
                <c:pt idx="80">
                  <c:v>5.8840767743566058E-2</c:v>
                </c:pt>
                <c:pt idx="81">
                  <c:v>5.8841018534799838E-2</c:v>
                </c:pt>
                <c:pt idx="82">
                  <c:v>5.8840830793824406E-2</c:v>
                </c:pt>
                <c:pt idx="83">
                  <c:v>5.8840486155436134E-2</c:v>
                </c:pt>
                <c:pt idx="84">
                  <c:v>5.8839722183360088E-2</c:v>
                </c:pt>
                <c:pt idx="85">
                  <c:v>5.8838863167042232E-2</c:v>
                </c:pt>
                <c:pt idx="86">
                  <c:v>5.8837674852689537E-2</c:v>
                </c:pt>
                <c:pt idx="87">
                  <c:v>5.8836435992123626E-2</c:v>
                </c:pt>
                <c:pt idx="88">
                  <c:v>5.8834858382543764E-2</c:v>
                </c:pt>
                <c:pt idx="89">
                  <c:v>5.8833236062737715E-2</c:v>
                </c:pt>
                <c:pt idx="90">
                  <c:v>5.8831333067622671E-2</c:v>
                </c:pt>
                <c:pt idx="91">
                  <c:v>5.882959630430995E-2</c:v>
                </c:pt>
                <c:pt idx="92">
                  <c:v>5.8827451923642471E-2</c:v>
                </c:pt>
                <c:pt idx="93">
                  <c:v>5.8825345606740242E-2</c:v>
                </c:pt>
                <c:pt idx="94">
                  <c:v>5.8823158160998368E-2</c:v>
                </c:pt>
                <c:pt idx="95">
                  <c:v>5.8820967137688029E-2</c:v>
                </c:pt>
                <c:pt idx="96">
                  <c:v>5.8818492538714739E-2</c:v>
                </c:pt>
                <c:pt idx="97">
                  <c:v>5.8816096566091547E-2</c:v>
                </c:pt>
                <c:pt idx="98">
                  <c:v>5.8813597365411585E-2</c:v>
                </c:pt>
                <c:pt idx="99">
                  <c:v>5.8811272659216041E-2</c:v>
                </c:pt>
                <c:pt idx="100">
                  <c:v>5.8808617939406949E-2</c:v>
                </c:pt>
                <c:pt idx="101">
                  <c:v>5.88059404263781E-2</c:v>
                </c:pt>
                <c:pt idx="102">
                  <c:v>5.8803324471326635E-2</c:v>
                </c:pt>
                <c:pt idx="103">
                  <c:v>5.8800896670873293E-2</c:v>
                </c:pt>
                <c:pt idx="104">
                  <c:v>5.879816888569378E-2</c:v>
                </c:pt>
                <c:pt idx="105">
                  <c:v>5.8795594722495181E-2</c:v>
                </c:pt>
                <c:pt idx="106">
                  <c:v>5.8792942581760599E-2</c:v>
                </c:pt>
                <c:pt idx="107">
                  <c:v>5.8790405857079397E-2</c:v>
                </c:pt>
                <c:pt idx="108">
                  <c:v>5.8787716226643916E-2</c:v>
                </c:pt>
                <c:pt idx="109">
                  <c:v>5.8785144804037959E-2</c:v>
                </c:pt>
                <c:pt idx="110">
                  <c:v>5.8782431209977171E-2</c:v>
                </c:pt>
                <c:pt idx="111">
                  <c:v>5.8779960573704049E-2</c:v>
                </c:pt>
                <c:pt idx="112">
                  <c:v>5.8777314275879178E-2</c:v>
                </c:pt>
                <c:pt idx="113">
                  <c:v>5.8774745898205305E-2</c:v>
                </c:pt>
                <c:pt idx="114">
                  <c:v>5.8772174898984231E-2</c:v>
                </c:pt>
                <c:pt idx="115">
                  <c:v>5.8769761853198155E-2</c:v>
                </c:pt>
                <c:pt idx="116">
                  <c:v>5.8767148322258267E-2</c:v>
                </c:pt>
                <c:pt idx="117">
                  <c:v>5.8764652725868061E-2</c:v>
                </c:pt>
                <c:pt idx="118">
                  <c:v>5.8762164032261532E-2</c:v>
                </c:pt>
                <c:pt idx="119">
                  <c:v>5.8759828971758798E-2</c:v>
                </c:pt>
                <c:pt idx="120">
                  <c:v>5.8757308437127342E-2</c:v>
                </c:pt>
                <c:pt idx="121">
                  <c:v>5.8754787474419201E-2</c:v>
                </c:pt>
                <c:pt idx="122">
                  <c:v>5.8752396484521574E-2</c:v>
                </c:pt>
                <c:pt idx="123">
                  <c:v>5.8750226928858895E-2</c:v>
                </c:pt>
                <c:pt idx="124">
                  <c:v>5.8747810169011316E-2</c:v>
                </c:pt>
                <c:pt idx="125">
                  <c:v>5.8745393007364699E-2</c:v>
                </c:pt>
                <c:pt idx="126">
                  <c:v>5.8743177149762404E-2</c:v>
                </c:pt>
                <c:pt idx="127">
                  <c:v>5.8740992866322284E-2</c:v>
                </c:pt>
                <c:pt idx="128">
                  <c:v>5.8738684795924589E-2</c:v>
                </c:pt>
                <c:pt idx="129">
                  <c:v>5.8736515540337653E-2</c:v>
                </c:pt>
                <c:pt idx="130">
                  <c:v>5.8734331216131475E-2</c:v>
                </c:pt>
                <c:pt idx="131">
                  <c:v>5.8732246677280608E-2</c:v>
                </c:pt>
                <c:pt idx="132">
                  <c:v>5.8730080214894009E-2</c:v>
                </c:pt>
                <c:pt idx="133">
                  <c:v>5.8725898286665412E-2</c:v>
                </c:pt>
                <c:pt idx="134">
                  <c:v>5.8721850596649583E-2</c:v>
                </c:pt>
                <c:pt idx="135">
                  <c:v>5.871787082096791E-2</c:v>
                </c:pt>
                <c:pt idx="136">
                  <c:v>5.8714050695392261E-2</c:v>
                </c:pt>
                <c:pt idx="137">
                  <c:v>5.8710264940315726E-2</c:v>
                </c:pt>
                <c:pt idx="138">
                  <c:v>5.8706631547225108E-2</c:v>
                </c:pt>
                <c:pt idx="139">
                  <c:v>5.8703002764025847E-2</c:v>
                </c:pt>
                <c:pt idx="140">
                  <c:v>5.8699520125501836E-2</c:v>
                </c:pt>
                <c:pt idx="141">
                  <c:v>5.8696016032179221E-2</c:v>
                </c:pt>
                <c:pt idx="142">
                  <c:v>5.869270526563386E-2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44-9B45-A994-06B4F1D12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9059567"/>
        <c:axId val="1679061215"/>
      </c:lineChart>
      <c:dateAx>
        <c:axId val="1679059567"/>
        <c:scaling>
          <c:orientation val="minMax"/>
        </c:scaling>
        <c:delete val="0"/>
        <c:axPos val="b"/>
        <c:numFmt formatCode="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79061215"/>
        <c:crosses val="autoZero"/>
        <c:auto val="1"/>
        <c:lblOffset val="100"/>
        <c:baseTimeUnit val="months"/>
        <c:majorUnit val="60"/>
        <c:majorTimeUnit val="months"/>
      </c:dateAx>
      <c:valAx>
        <c:axId val="1679061215"/>
        <c:scaling>
          <c:orientation val="minMax"/>
          <c:min val="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solidFill>
              <a:srgbClr val="00206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79059567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604020202020204" pitchFamily="34" charset="0"/>
                <a:ea typeface="+mn-ea"/>
                <a:cs typeface="Arial Black" panose="020B0604020202020204" pitchFamily="34" charset="0"/>
              </a:defRPr>
            </a:pPr>
            <a:r>
              <a:rPr lang="en-US" sz="2000" b="1" i="0">
                <a:latin typeface="Arial Black" panose="020B0604020202020204" pitchFamily="34" charset="0"/>
                <a:cs typeface="Arial Black" panose="020B0604020202020204" pitchFamily="34" charset="0"/>
              </a:rPr>
              <a:t>ETTJ Implícita Mercado vs Simulada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604020202020204" pitchFamily="34" charset="0"/>
              <a:ea typeface="+mn-ea"/>
              <a:cs typeface="Arial Black" panose="020B0604020202020204" pitchFamily="34" charset="0"/>
            </a:defRPr>
          </a:pPr>
          <a:endParaRPr lang="en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Simulador!$M$4</c:f>
              <c:strCache>
                <c:ptCount val="1"/>
                <c:pt idx="0">
                  <c:v>Implícita Mercado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Simulador!$B$5:$B$147</c:f>
              <c:numCache>
                <c:formatCode>m/d/yy</c:formatCode>
                <c:ptCount val="143"/>
                <c:pt idx="0">
                  <c:v>44881</c:v>
                </c:pt>
                <c:pt idx="1">
                  <c:v>44972</c:v>
                </c:pt>
                <c:pt idx="2">
                  <c:v>45000</c:v>
                </c:pt>
                <c:pt idx="3">
                  <c:v>45061</c:v>
                </c:pt>
                <c:pt idx="4">
                  <c:v>45153</c:v>
                </c:pt>
                <c:pt idx="5">
                  <c:v>45246</c:v>
                </c:pt>
                <c:pt idx="6">
                  <c:v>45337</c:v>
                </c:pt>
                <c:pt idx="7">
                  <c:v>45427</c:v>
                </c:pt>
                <c:pt idx="8">
                  <c:v>45519</c:v>
                </c:pt>
                <c:pt idx="9">
                  <c:v>45614</c:v>
                </c:pt>
                <c:pt idx="10">
                  <c:v>45705</c:v>
                </c:pt>
                <c:pt idx="11">
                  <c:v>45792</c:v>
                </c:pt>
                <c:pt idx="12">
                  <c:v>45884</c:v>
                </c:pt>
                <c:pt idx="13">
                  <c:v>45978</c:v>
                </c:pt>
                <c:pt idx="14">
                  <c:v>46071</c:v>
                </c:pt>
                <c:pt idx="15">
                  <c:v>46157</c:v>
                </c:pt>
                <c:pt idx="16">
                  <c:v>46251</c:v>
                </c:pt>
                <c:pt idx="17">
                  <c:v>46342</c:v>
                </c:pt>
                <c:pt idx="18">
                  <c:v>46433</c:v>
                </c:pt>
                <c:pt idx="19">
                  <c:v>46524</c:v>
                </c:pt>
                <c:pt idx="20">
                  <c:v>46615</c:v>
                </c:pt>
                <c:pt idx="21">
                  <c:v>46707</c:v>
                </c:pt>
                <c:pt idx="22">
                  <c:v>46798</c:v>
                </c:pt>
                <c:pt idx="23">
                  <c:v>46888</c:v>
                </c:pt>
                <c:pt idx="24">
                  <c:v>46980</c:v>
                </c:pt>
                <c:pt idx="25">
                  <c:v>47073</c:v>
                </c:pt>
                <c:pt idx="26">
                  <c:v>47164</c:v>
                </c:pt>
                <c:pt idx="27">
                  <c:v>47253</c:v>
                </c:pt>
                <c:pt idx="28">
                  <c:v>47345</c:v>
                </c:pt>
                <c:pt idx="29">
                  <c:v>47438</c:v>
                </c:pt>
                <c:pt idx="30">
                  <c:v>47529</c:v>
                </c:pt>
                <c:pt idx="31">
                  <c:v>47618</c:v>
                </c:pt>
                <c:pt idx="32">
                  <c:v>47710</c:v>
                </c:pt>
                <c:pt idx="33">
                  <c:v>47805</c:v>
                </c:pt>
                <c:pt idx="34">
                  <c:v>47896</c:v>
                </c:pt>
                <c:pt idx="35">
                  <c:v>47983</c:v>
                </c:pt>
                <c:pt idx="36">
                  <c:v>48075</c:v>
                </c:pt>
                <c:pt idx="37">
                  <c:v>48169</c:v>
                </c:pt>
                <c:pt idx="38">
                  <c:v>48260</c:v>
                </c:pt>
                <c:pt idx="39">
                  <c:v>48351</c:v>
                </c:pt>
                <c:pt idx="40">
                  <c:v>48442</c:v>
                </c:pt>
                <c:pt idx="41">
                  <c:v>48534</c:v>
                </c:pt>
                <c:pt idx="42">
                  <c:v>48625</c:v>
                </c:pt>
                <c:pt idx="43">
                  <c:v>48715</c:v>
                </c:pt>
                <c:pt idx="44">
                  <c:v>48806</c:v>
                </c:pt>
                <c:pt idx="45">
                  <c:v>48899</c:v>
                </c:pt>
                <c:pt idx="46">
                  <c:v>48990</c:v>
                </c:pt>
                <c:pt idx="47">
                  <c:v>49079</c:v>
                </c:pt>
                <c:pt idx="48">
                  <c:v>49171</c:v>
                </c:pt>
                <c:pt idx="49">
                  <c:v>49264</c:v>
                </c:pt>
                <c:pt idx="50">
                  <c:v>49355</c:v>
                </c:pt>
                <c:pt idx="51">
                  <c:v>49444</c:v>
                </c:pt>
                <c:pt idx="52">
                  <c:v>49536</c:v>
                </c:pt>
                <c:pt idx="53">
                  <c:v>49629</c:v>
                </c:pt>
                <c:pt idx="54">
                  <c:v>49720</c:v>
                </c:pt>
                <c:pt idx="55">
                  <c:v>49810</c:v>
                </c:pt>
                <c:pt idx="56">
                  <c:v>49902</c:v>
                </c:pt>
                <c:pt idx="57">
                  <c:v>49996</c:v>
                </c:pt>
                <c:pt idx="58">
                  <c:v>50089</c:v>
                </c:pt>
                <c:pt idx="59">
                  <c:v>50175</c:v>
                </c:pt>
                <c:pt idx="60">
                  <c:v>50269</c:v>
                </c:pt>
                <c:pt idx="61">
                  <c:v>50360</c:v>
                </c:pt>
                <c:pt idx="62">
                  <c:v>50451</c:v>
                </c:pt>
                <c:pt idx="63">
                  <c:v>50542</c:v>
                </c:pt>
                <c:pt idx="64">
                  <c:v>50633</c:v>
                </c:pt>
                <c:pt idx="65">
                  <c:v>50725</c:v>
                </c:pt>
                <c:pt idx="66">
                  <c:v>50816</c:v>
                </c:pt>
                <c:pt idx="67">
                  <c:v>50906</c:v>
                </c:pt>
                <c:pt idx="68">
                  <c:v>50997</c:v>
                </c:pt>
                <c:pt idx="69">
                  <c:v>51090</c:v>
                </c:pt>
                <c:pt idx="70">
                  <c:v>51181</c:v>
                </c:pt>
                <c:pt idx="71">
                  <c:v>51271</c:v>
                </c:pt>
                <c:pt idx="72">
                  <c:v>51363</c:v>
                </c:pt>
                <c:pt idx="73">
                  <c:v>51456</c:v>
                </c:pt>
                <c:pt idx="74">
                  <c:v>51547</c:v>
                </c:pt>
                <c:pt idx="75">
                  <c:v>51636</c:v>
                </c:pt>
                <c:pt idx="76">
                  <c:v>51728</c:v>
                </c:pt>
                <c:pt idx="77">
                  <c:v>51823</c:v>
                </c:pt>
                <c:pt idx="78">
                  <c:v>51916</c:v>
                </c:pt>
                <c:pt idx="79">
                  <c:v>52001</c:v>
                </c:pt>
                <c:pt idx="80">
                  <c:v>52093</c:v>
                </c:pt>
                <c:pt idx="81">
                  <c:v>52187</c:v>
                </c:pt>
                <c:pt idx="82">
                  <c:v>52278</c:v>
                </c:pt>
                <c:pt idx="83">
                  <c:v>52366</c:v>
                </c:pt>
                <c:pt idx="84">
                  <c:v>52460</c:v>
                </c:pt>
                <c:pt idx="85">
                  <c:v>52551</c:v>
                </c:pt>
                <c:pt idx="86">
                  <c:v>52642</c:v>
                </c:pt>
                <c:pt idx="87">
                  <c:v>52733</c:v>
                </c:pt>
                <c:pt idx="88">
                  <c:v>52824</c:v>
                </c:pt>
                <c:pt idx="89">
                  <c:v>52917</c:v>
                </c:pt>
                <c:pt idx="90">
                  <c:v>53008</c:v>
                </c:pt>
                <c:pt idx="91">
                  <c:v>53097</c:v>
                </c:pt>
                <c:pt idx="92">
                  <c:v>53189</c:v>
                </c:pt>
                <c:pt idx="93">
                  <c:v>53282</c:v>
                </c:pt>
                <c:pt idx="94">
                  <c:v>53373</c:v>
                </c:pt>
                <c:pt idx="95">
                  <c:v>53462</c:v>
                </c:pt>
                <c:pt idx="96">
                  <c:v>53554</c:v>
                </c:pt>
                <c:pt idx="97">
                  <c:v>53647</c:v>
                </c:pt>
                <c:pt idx="98">
                  <c:v>53738</c:v>
                </c:pt>
                <c:pt idx="99">
                  <c:v>53827</c:v>
                </c:pt>
                <c:pt idx="100">
                  <c:v>53919</c:v>
                </c:pt>
                <c:pt idx="101">
                  <c:v>54014</c:v>
                </c:pt>
                <c:pt idx="102">
                  <c:v>54107</c:v>
                </c:pt>
                <c:pt idx="103">
                  <c:v>54193</c:v>
                </c:pt>
                <c:pt idx="104">
                  <c:v>54287</c:v>
                </c:pt>
                <c:pt idx="105">
                  <c:v>54378</c:v>
                </c:pt>
                <c:pt idx="106">
                  <c:v>54469</c:v>
                </c:pt>
                <c:pt idx="107">
                  <c:v>54560</c:v>
                </c:pt>
                <c:pt idx="108">
                  <c:v>54651</c:v>
                </c:pt>
                <c:pt idx="109">
                  <c:v>54743</c:v>
                </c:pt>
                <c:pt idx="110">
                  <c:v>54834</c:v>
                </c:pt>
                <c:pt idx="111">
                  <c:v>54924</c:v>
                </c:pt>
                <c:pt idx="112">
                  <c:v>55015</c:v>
                </c:pt>
                <c:pt idx="113">
                  <c:v>55108</c:v>
                </c:pt>
                <c:pt idx="114">
                  <c:v>55199</c:v>
                </c:pt>
                <c:pt idx="115">
                  <c:v>55288</c:v>
                </c:pt>
                <c:pt idx="116">
                  <c:v>55380</c:v>
                </c:pt>
                <c:pt idx="117">
                  <c:v>55473</c:v>
                </c:pt>
                <c:pt idx="118">
                  <c:v>55564</c:v>
                </c:pt>
                <c:pt idx="119">
                  <c:v>55654</c:v>
                </c:pt>
                <c:pt idx="120">
                  <c:v>55746</c:v>
                </c:pt>
                <c:pt idx="121">
                  <c:v>55841</c:v>
                </c:pt>
                <c:pt idx="122">
                  <c:v>55934</c:v>
                </c:pt>
                <c:pt idx="123">
                  <c:v>56019</c:v>
                </c:pt>
                <c:pt idx="124">
                  <c:v>56111</c:v>
                </c:pt>
                <c:pt idx="125">
                  <c:v>56205</c:v>
                </c:pt>
                <c:pt idx="126">
                  <c:v>56296</c:v>
                </c:pt>
                <c:pt idx="127">
                  <c:v>56384</c:v>
                </c:pt>
                <c:pt idx="128">
                  <c:v>56478</c:v>
                </c:pt>
                <c:pt idx="129">
                  <c:v>56569</c:v>
                </c:pt>
                <c:pt idx="130">
                  <c:v>56660</c:v>
                </c:pt>
                <c:pt idx="131">
                  <c:v>56751</c:v>
                </c:pt>
                <c:pt idx="132">
                  <c:v>56842</c:v>
                </c:pt>
                <c:pt idx="133">
                  <c:v>57026</c:v>
                </c:pt>
                <c:pt idx="134">
                  <c:v>57207</c:v>
                </c:pt>
                <c:pt idx="135">
                  <c:v>57391</c:v>
                </c:pt>
                <c:pt idx="136">
                  <c:v>57572</c:v>
                </c:pt>
                <c:pt idx="137">
                  <c:v>57756</c:v>
                </c:pt>
                <c:pt idx="138">
                  <c:v>57937</c:v>
                </c:pt>
                <c:pt idx="139">
                  <c:v>58123</c:v>
                </c:pt>
                <c:pt idx="140">
                  <c:v>58302</c:v>
                </c:pt>
                <c:pt idx="141">
                  <c:v>58487</c:v>
                </c:pt>
                <c:pt idx="142">
                  <c:v>58669</c:v>
                </c:pt>
              </c:numCache>
            </c:numRef>
          </c:cat>
          <c:val>
            <c:numRef>
              <c:f>Simulador!$M$5:$M$147</c:f>
              <c:numCache>
                <c:formatCode>0.00%</c:formatCode>
                <c:ptCount val="143"/>
                <c:pt idx="0">
                  <c:v>3.9260043860060989E-2</c:v>
                </c:pt>
                <c:pt idx="1">
                  <c:v>4.5724704287595008E-2</c:v>
                </c:pt>
                <c:pt idx="2">
                  <c:v>4.6895451319471704E-2</c:v>
                </c:pt>
                <c:pt idx="3">
                  <c:v>4.8774403248048603E-2</c:v>
                </c:pt>
                <c:pt idx="4">
                  <c:v>5.0400974841755763E-2</c:v>
                </c:pt>
                <c:pt idx="5">
                  <c:v>5.1052336771006734E-2</c:v>
                </c:pt>
                <c:pt idx="6">
                  <c:v>5.1308537686221012E-2</c:v>
                </c:pt>
                <c:pt idx="7">
                  <c:v>5.145750573058927E-2</c:v>
                </c:pt>
                <c:pt idx="8">
                  <c:v>5.1636418386285854E-2</c:v>
                </c:pt>
                <c:pt idx="9">
                  <c:v>5.1902571978476253E-2</c:v>
                </c:pt>
                <c:pt idx="10">
                  <c:v>5.2245707571055622E-2</c:v>
                </c:pt>
                <c:pt idx="11">
                  <c:v>5.2626601395276529E-2</c:v>
                </c:pt>
                <c:pt idx="12">
                  <c:v>5.3104968591759505E-2</c:v>
                </c:pt>
                <c:pt idx="13">
                  <c:v>5.3651431773697356E-2</c:v>
                </c:pt>
                <c:pt idx="14">
                  <c:v>5.4141996542348858E-2</c:v>
                </c:pt>
                <c:pt idx="15">
                  <c:v>5.4589692520684352E-2</c:v>
                </c:pt>
                <c:pt idx="16">
                  <c:v>5.5066564562549658E-2</c:v>
                </c:pt>
                <c:pt idx="17">
                  <c:v>5.5484848781022444E-2</c:v>
                </c:pt>
                <c:pt idx="18">
                  <c:v>5.5866933897950277E-2</c:v>
                </c:pt>
                <c:pt idx="19">
                  <c:v>5.6218908932760714E-2</c:v>
                </c:pt>
                <c:pt idx="20">
                  <c:v>5.6538828426135002E-2</c:v>
                </c:pt>
                <c:pt idx="21">
                  <c:v>5.6808529739978075E-2</c:v>
                </c:pt>
                <c:pt idx="22">
                  <c:v>5.7054164176732813E-2</c:v>
                </c:pt>
                <c:pt idx="23">
                  <c:v>5.724503337137854E-2</c:v>
                </c:pt>
                <c:pt idx="24">
                  <c:v>5.742304317837621E-2</c:v>
                </c:pt>
                <c:pt idx="25">
                  <c:v>5.7567744841153123E-2</c:v>
                </c:pt>
                <c:pt idx="26">
                  <c:v>5.7683163424037343E-2</c:v>
                </c:pt>
                <c:pt idx="27">
                  <c:v>5.7779762342214047E-2</c:v>
                </c:pt>
                <c:pt idx="28">
                  <c:v>5.7860887908244507E-2</c:v>
                </c:pt>
                <c:pt idx="29">
                  <c:v>5.7924849221559604E-2</c:v>
                </c:pt>
                <c:pt idx="30">
                  <c:v>5.7973532188232424E-2</c:v>
                </c:pt>
                <c:pt idx="31">
                  <c:v>5.8010297393168875E-2</c:v>
                </c:pt>
                <c:pt idx="32">
                  <c:v>5.8039061744824538E-2</c:v>
                </c:pt>
                <c:pt idx="33">
                  <c:v>5.8061291362325296E-2</c:v>
                </c:pt>
                <c:pt idx="34">
                  <c:v>5.8075178529090499E-2</c:v>
                </c:pt>
                <c:pt idx="35">
                  <c:v>5.8084434014569641E-2</c:v>
                </c:pt>
                <c:pt idx="36">
                  <c:v>5.8089895028151872E-2</c:v>
                </c:pt>
                <c:pt idx="37">
                  <c:v>5.8093103419797343E-2</c:v>
                </c:pt>
                <c:pt idx="38">
                  <c:v>5.8093588183373734E-2</c:v>
                </c:pt>
                <c:pt idx="39">
                  <c:v>5.8093166894075399E-2</c:v>
                </c:pt>
                <c:pt idx="40">
                  <c:v>5.8091578017454903E-2</c:v>
                </c:pt>
                <c:pt idx="41">
                  <c:v>5.8089951278503804E-2</c:v>
                </c:pt>
                <c:pt idx="42">
                  <c:v>5.8088111866002823E-2</c:v>
                </c:pt>
                <c:pt idx="43">
                  <c:v>5.8086840033223508E-2</c:v>
                </c:pt>
                <c:pt idx="44">
                  <c:v>5.8086017122378264E-2</c:v>
                </c:pt>
                <c:pt idx="45">
                  <c:v>5.8085960589666641E-2</c:v>
                </c:pt>
                <c:pt idx="46">
                  <c:v>5.8086868517013501E-2</c:v>
                </c:pt>
                <c:pt idx="47">
                  <c:v>5.8088485012417923E-2</c:v>
                </c:pt>
                <c:pt idx="48">
                  <c:v>5.809152730404965E-2</c:v>
                </c:pt>
                <c:pt idx="49">
                  <c:v>5.8095387399661913E-2</c:v>
                </c:pt>
                <c:pt idx="50">
                  <c:v>5.810037436798976E-2</c:v>
                </c:pt>
                <c:pt idx="51">
                  <c:v>5.8106093860155639E-2</c:v>
                </c:pt>
                <c:pt idx="52">
                  <c:v>5.8113662146890954E-2</c:v>
                </c:pt>
                <c:pt idx="53">
                  <c:v>5.8121726259442674E-2</c:v>
                </c:pt>
                <c:pt idx="54">
                  <c:v>5.8131103872528289E-2</c:v>
                </c:pt>
                <c:pt idx="55">
                  <c:v>5.8140396215799139E-2</c:v>
                </c:pt>
                <c:pt idx="56">
                  <c:v>5.8152005046111732E-2</c:v>
                </c:pt>
                <c:pt idx="57">
                  <c:v>5.8164335714771864E-2</c:v>
                </c:pt>
                <c:pt idx="58">
                  <c:v>5.8177190059257589E-2</c:v>
                </c:pt>
                <c:pt idx="59">
                  <c:v>5.8189597608516941E-2</c:v>
                </c:pt>
                <c:pt idx="60">
                  <c:v>5.8204320020614153E-2</c:v>
                </c:pt>
                <c:pt idx="61">
                  <c:v>5.8218636843994753E-2</c:v>
                </c:pt>
                <c:pt idx="62">
                  <c:v>5.8234064269589547E-2</c:v>
                </c:pt>
                <c:pt idx="63">
                  <c:v>5.8249146813281527E-2</c:v>
                </c:pt>
                <c:pt idx="64">
                  <c:v>5.8265780259018296E-2</c:v>
                </c:pt>
                <c:pt idx="65">
                  <c:v>5.8281950568933816E-2</c:v>
                </c:pt>
                <c:pt idx="66">
                  <c:v>5.8299588626735677E-2</c:v>
                </c:pt>
                <c:pt idx="67">
                  <c:v>5.8315858446627677E-2</c:v>
                </c:pt>
                <c:pt idx="68">
                  <c:v>5.8333783790841975E-2</c:v>
                </c:pt>
                <c:pt idx="69">
                  <c:v>5.8351355071909472E-2</c:v>
                </c:pt>
                <c:pt idx="70">
                  <c:v>5.8369365588984978E-2</c:v>
                </c:pt>
                <c:pt idx="71">
                  <c:v>5.8386966646712279E-2</c:v>
                </c:pt>
                <c:pt idx="72">
                  <c:v>5.8405778317638379E-2</c:v>
                </c:pt>
                <c:pt idx="73">
                  <c:v>5.8423866606378105E-2</c:v>
                </c:pt>
                <c:pt idx="74">
                  <c:v>5.8442186408470986E-2</c:v>
                </c:pt>
                <c:pt idx="75">
                  <c:v>5.8459157769596759E-2</c:v>
                </c:pt>
                <c:pt idx="76">
                  <c:v>5.8478069407634115E-2</c:v>
                </c:pt>
                <c:pt idx="77">
                  <c:v>5.8497046040423495E-2</c:v>
                </c:pt>
                <c:pt idx="78">
                  <c:v>5.8515239987320333E-2</c:v>
                </c:pt>
                <c:pt idx="79">
                  <c:v>5.8531779802490691E-2</c:v>
                </c:pt>
                <c:pt idx="80">
                  <c:v>5.8550394858682964E-2</c:v>
                </c:pt>
                <c:pt idx="81">
                  <c:v>5.8569033512437585E-2</c:v>
                </c:pt>
                <c:pt idx="82">
                  <c:v>5.8586246244419105E-2</c:v>
                </c:pt>
                <c:pt idx="83">
                  <c:v>5.8603215109393147E-2</c:v>
                </c:pt>
                <c:pt idx="84">
                  <c:v>5.862126756361441E-2</c:v>
                </c:pt>
                <c:pt idx="85">
                  <c:v>5.8638222729547884E-2</c:v>
                </c:pt>
                <c:pt idx="86">
                  <c:v>5.8655385857119935E-2</c:v>
                </c:pt>
                <c:pt idx="87">
                  <c:v>5.8671739477065055E-2</c:v>
                </c:pt>
                <c:pt idx="88">
                  <c:v>5.8688814240932752E-2</c:v>
                </c:pt>
                <c:pt idx="89">
                  <c:v>5.8705343244700003E-2</c:v>
                </c:pt>
                <c:pt idx="90">
                  <c:v>5.8722275893555054E-2</c:v>
                </c:pt>
                <c:pt idx="91">
                  <c:v>5.8737133598216307E-2</c:v>
                </c:pt>
                <c:pt idx="92">
                  <c:v>5.8753667551804112E-2</c:v>
                </c:pt>
                <c:pt idx="93">
                  <c:v>5.8769413621907463E-2</c:v>
                </c:pt>
                <c:pt idx="94">
                  <c:v>5.8784528716759432E-2</c:v>
                </c:pt>
                <c:pt idx="95">
                  <c:v>5.8799381721219346E-2</c:v>
                </c:pt>
                <c:pt idx="96">
                  <c:v>5.8815064940877626E-2</c:v>
                </c:pt>
                <c:pt idx="97">
                  <c:v>5.8829992912210027E-2</c:v>
                </c:pt>
                <c:pt idx="98">
                  <c:v>5.88447660979734E-2</c:v>
                </c:pt>
                <c:pt idx="99">
                  <c:v>5.8858358842431624E-2</c:v>
                </c:pt>
                <c:pt idx="100">
                  <c:v>5.8873180945232306E-2</c:v>
                </c:pt>
                <c:pt idx="101">
                  <c:v>5.8887956867165414E-2</c:v>
                </c:pt>
                <c:pt idx="102">
                  <c:v>5.8901887570582678E-2</c:v>
                </c:pt>
                <c:pt idx="103">
                  <c:v>5.8914710998978048E-2</c:v>
                </c:pt>
                <c:pt idx="104">
                  <c:v>5.8928673007986543E-2</c:v>
                </c:pt>
                <c:pt idx="105">
                  <c:v>5.8941755679680075E-2</c:v>
                </c:pt>
                <c:pt idx="106">
                  <c:v>5.8954884267646168E-2</c:v>
                </c:pt>
                <c:pt idx="107">
                  <c:v>5.8967376894799139E-2</c:v>
                </c:pt>
                <c:pt idx="108">
                  <c:v>5.8980318541968391E-2</c:v>
                </c:pt>
                <c:pt idx="109">
                  <c:v>5.8992638071407866E-2</c:v>
                </c:pt>
                <c:pt idx="110">
                  <c:v>5.9005382648950055E-2</c:v>
                </c:pt>
                <c:pt idx="111">
                  <c:v>5.9016945962957701E-2</c:v>
                </c:pt>
                <c:pt idx="112">
                  <c:v>5.9029119259779605E-2</c:v>
                </c:pt>
                <c:pt idx="113">
                  <c:v>5.9040897327267139E-2</c:v>
                </c:pt>
                <c:pt idx="114">
                  <c:v>5.9052515136362116E-2</c:v>
                </c:pt>
                <c:pt idx="115">
                  <c:v>5.9063396879898145E-2</c:v>
                </c:pt>
                <c:pt idx="116">
                  <c:v>5.9075026627574356E-2</c:v>
                </c:pt>
                <c:pt idx="117">
                  <c:v>5.9086108247865088E-2</c:v>
                </c:pt>
                <c:pt idx="118">
                  <c:v>5.9097036281481996E-2</c:v>
                </c:pt>
                <c:pt idx="119">
                  <c:v>5.9107276027694944E-2</c:v>
                </c:pt>
                <c:pt idx="120">
                  <c:v>5.9118217242231763E-2</c:v>
                </c:pt>
                <c:pt idx="121">
                  <c:v>5.9129140582113937E-2</c:v>
                </c:pt>
                <c:pt idx="122">
                  <c:v>5.9139416421125635E-2</c:v>
                </c:pt>
                <c:pt idx="123">
                  <c:v>5.9148730934770466E-2</c:v>
                </c:pt>
                <c:pt idx="124">
                  <c:v>5.9159027917921936E-2</c:v>
                </c:pt>
                <c:pt idx="125">
                  <c:v>5.9169312630432236E-2</c:v>
                </c:pt>
                <c:pt idx="126">
                  <c:v>5.9178682816678041E-2</c:v>
                </c:pt>
                <c:pt idx="127">
                  <c:v>5.9187911643766133E-2</c:v>
                </c:pt>
                <c:pt idx="128">
                  <c:v>5.9197608042833805E-2</c:v>
                </c:pt>
                <c:pt idx="129">
                  <c:v>5.9206713820925794E-2</c:v>
                </c:pt>
                <c:pt idx="130">
                  <c:v>5.9215838179056624E-2</c:v>
                </c:pt>
                <c:pt idx="131">
                  <c:v>5.9224540838497486E-2</c:v>
                </c:pt>
                <c:pt idx="132">
                  <c:v>5.92335457572577E-2</c:v>
                </c:pt>
                <c:pt idx="133">
                  <c:v>5.9250885939442277E-2</c:v>
                </c:pt>
                <c:pt idx="134">
                  <c:v>5.9267602491539062E-2</c:v>
                </c:pt>
                <c:pt idx="135">
                  <c:v>5.9283981376885508E-2</c:v>
                </c:pt>
                <c:pt idx="136">
                  <c:v>5.9299655612397473E-2</c:v>
                </c:pt>
                <c:pt idx="137">
                  <c:v>5.9315147837361915E-2</c:v>
                </c:pt>
                <c:pt idx="138">
                  <c:v>5.9329982265626136E-2</c:v>
                </c:pt>
                <c:pt idx="139">
                  <c:v>5.9344767976036161E-2</c:v>
                </c:pt>
                <c:pt idx="140">
                  <c:v>5.9358933106441247E-2</c:v>
                </c:pt>
                <c:pt idx="141">
                  <c:v>5.9373163394883077E-2</c:v>
                </c:pt>
                <c:pt idx="142">
                  <c:v>5.938659037320515E-2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9-B742-816B-FC6052538417}"/>
            </c:ext>
          </c:extLst>
        </c:ser>
        <c:ser>
          <c:idx val="2"/>
          <c:order val="1"/>
          <c:tx>
            <c:strRef>
              <c:f>Simulador!$O$4</c:f>
              <c:strCache>
                <c:ptCount val="1"/>
                <c:pt idx="0">
                  <c:v>Implícita Simulada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Simulador!$B$5:$B$147</c:f>
              <c:numCache>
                <c:formatCode>m/d/yy</c:formatCode>
                <c:ptCount val="143"/>
                <c:pt idx="0">
                  <c:v>44881</c:v>
                </c:pt>
                <c:pt idx="1">
                  <c:v>44972</c:v>
                </c:pt>
                <c:pt idx="2">
                  <c:v>45000</c:v>
                </c:pt>
                <c:pt idx="3">
                  <c:v>45061</c:v>
                </c:pt>
                <c:pt idx="4">
                  <c:v>45153</c:v>
                </c:pt>
                <c:pt idx="5">
                  <c:v>45246</c:v>
                </c:pt>
                <c:pt idx="6">
                  <c:v>45337</c:v>
                </c:pt>
                <c:pt idx="7">
                  <c:v>45427</c:v>
                </c:pt>
                <c:pt idx="8">
                  <c:v>45519</c:v>
                </c:pt>
                <c:pt idx="9">
                  <c:v>45614</c:v>
                </c:pt>
                <c:pt idx="10">
                  <c:v>45705</c:v>
                </c:pt>
                <c:pt idx="11">
                  <c:v>45792</c:v>
                </c:pt>
                <c:pt idx="12">
                  <c:v>45884</c:v>
                </c:pt>
                <c:pt idx="13">
                  <c:v>45978</c:v>
                </c:pt>
                <c:pt idx="14">
                  <c:v>46071</c:v>
                </c:pt>
                <c:pt idx="15">
                  <c:v>46157</c:v>
                </c:pt>
                <c:pt idx="16">
                  <c:v>46251</c:v>
                </c:pt>
                <c:pt idx="17">
                  <c:v>46342</c:v>
                </c:pt>
                <c:pt idx="18">
                  <c:v>46433</c:v>
                </c:pt>
                <c:pt idx="19">
                  <c:v>46524</c:v>
                </c:pt>
                <c:pt idx="20">
                  <c:v>46615</c:v>
                </c:pt>
                <c:pt idx="21">
                  <c:v>46707</c:v>
                </c:pt>
                <c:pt idx="22">
                  <c:v>46798</c:v>
                </c:pt>
                <c:pt idx="23">
                  <c:v>46888</c:v>
                </c:pt>
                <c:pt idx="24">
                  <c:v>46980</c:v>
                </c:pt>
                <c:pt idx="25">
                  <c:v>47073</c:v>
                </c:pt>
                <c:pt idx="26">
                  <c:v>47164</c:v>
                </c:pt>
                <c:pt idx="27">
                  <c:v>47253</c:v>
                </c:pt>
                <c:pt idx="28">
                  <c:v>47345</c:v>
                </c:pt>
                <c:pt idx="29">
                  <c:v>47438</c:v>
                </c:pt>
                <c:pt idx="30">
                  <c:v>47529</c:v>
                </c:pt>
                <c:pt idx="31">
                  <c:v>47618</c:v>
                </c:pt>
                <c:pt idx="32">
                  <c:v>47710</c:v>
                </c:pt>
                <c:pt idx="33">
                  <c:v>47805</c:v>
                </c:pt>
                <c:pt idx="34">
                  <c:v>47896</c:v>
                </c:pt>
                <c:pt idx="35">
                  <c:v>47983</c:v>
                </c:pt>
                <c:pt idx="36">
                  <c:v>48075</c:v>
                </c:pt>
                <c:pt idx="37">
                  <c:v>48169</c:v>
                </c:pt>
                <c:pt idx="38">
                  <c:v>48260</c:v>
                </c:pt>
                <c:pt idx="39">
                  <c:v>48351</c:v>
                </c:pt>
                <c:pt idx="40">
                  <c:v>48442</c:v>
                </c:pt>
                <c:pt idx="41">
                  <c:v>48534</c:v>
                </c:pt>
                <c:pt idx="42">
                  <c:v>48625</c:v>
                </c:pt>
                <c:pt idx="43">
                  <c:v>48715</c:v>
                </c:pt>
                <c:pt idx="44">
                  <c:v>48806</c:v>
                </c:pt>
                <c:pt idx="45">
                  <c:v>48899</c:v>
                </c:pt>
                <c:pt idx="46">
                  <c:v>48990</c:v>
                </c:pt>
                <c:pt idx="47">
                  <c:v>49079</c:v>
                </c:pt>
                <c:pt idx="48">
                  <c:v>49171</c:v>
                </c:pt>
                <c:pt idx="49">
                  <c:v>49264</c:v>
                </c:pt>
                <c:pt idx="50">
                  <c:v>49355</c:v>
                </c:pt>
                <c:pt idx="51">
                  <c:v>49444</c:v>
                </c:pt>
                <c:pt idx="52">
                  <c:v>49536</c:v>
                </c:pt>
                <c:pt idx="53">
                  <c:v>49629</c:v>
                </c:pt>
                <c:pt idx="54">
                  <c:v>49720</c:v>
                </c:pt>
                <c:pt idx="55">
                  <c:v>49810</c:v>
                </c:pt>
                <c:pt idx="56">
                  <c:v>49902</c:v>
                </c:pt>
                <c:pt idx="57">
                  <c:v>49996</c:v>
                </c:pt>
                <c:pt idx="58">
                  <c:v>50089</c:v>
                </c:pt>
                <c:pt idx="59">
                  <c:v>50175</c:v>
                </c:pt>
                <c:pt idx="60">
                  <c:v>50269</c:v>
                </c:pt>
                <c:pt idx="61">
                  <c:v>50360</c:v>
                </c:pt>
                <c:pt idx="62">
                  <c:v>50451</c:v>
                </c:pt>
                <c:pt idx="63">
                  <c:v>50542</c:v>
                </c:pt>
                <c:pt idx="64">
                  <c:v>50633</c:v>
                </c:pt>
                <c:pt idx="65">
                  <c:v>50725</c:v>
                </c:pt>
                <c:pt idx="66">
                  <c:v>50816</c:v>
                </c:pt>
                <c:pt idx="67">
                  <c:v>50906</c:v>
                </c:pt>
                <c:pt idx="68">
                  <c:v>50997</c:v>
                </c:pt>
                <c:pt idx="69">
                  <c:v>51090</c:v>
                </c:pt>
                <c:pt idx="70">
                  <c:v>51181</c:v>
                </c:pt>
                <c:pt idx="71">
                  <c:v>51271</c:v>
                </c:pt>
                <c:pt idx="72">
                  <c:v>51363</c:v>
                </c:pt>
                <c:pt idx="73">
                  <c:v>51456</c:v>
                </c:pt>
                <c:pt idx="74">
                  <c:v>51547</c:v>
                </c:pt>
                <c:pt idx="75">
                  <c:v>51636</c:v>
                </c:pt>
                <c:pt idx="76">
                  <c:v>51728</c:v>
                </c:pt>
                <c:pt idx="77">
                  <c:v>51823</c:v>
                </c:pt>
                <c:pt idx="78">
                  <c:v>51916</c:v>
                </c:pt>
                <c:pt idx="79">
                  <c:v>52001</c:v>
                </c:pt>
                <c:pt idx="80">
                  <c:v>52093</c:v>
                </c:pt>
                <c:pt idx="81">
                  <c:v>52187</c:v>
                </c:pt>
                <c:pt idx="82">
                  <c:v>52278</c:v>
                </c:pt>
                <c:pt idx="83">
                  <c:v>52366</c:v>
                </c:pt>
                <c:pt idx="84">
                  <c:v>52460</c:v>
                </c:pt>
                <c:pt idx="85">
                  <c:v>52551</c:v>
                </c:pt>
                <c:pt idx="86">
                  <c:v>52642</c:v>
                </c:pt>
                <c:pt idx="87">
                  <c:v>52733</c:v>
                </c:pt>
                <c:pt idx="88">
                  <c:v>52824</c:v>
                </c:pt>
                <c:pt idx="89">
                  <c:v>52917</c:v>
                </c:pt>
                <c:pt idx="90">
                  <c:v>53008</c:v>
                </c:pt>
                <c:pt idx="91">
                  <c:v>53097</c:v>
                </c:pt>
                <c:pt idx="92">
                  <c:v>53189</c:v>
                </c:pt>
                <c:pt idx="93">
                  <c:v>53282</c:v>
                </c:pt>
                <c:pt idx="94">
                  <c:v>53373</c:v>
                </c:pt>
                <c:pt idx="95">
                  <c:v>53462</c:v>
                </c:pt>
                <c:pt idx="96">
                  <c:v>53554</c:v>
                </c:pt>
                <c:pt idx="97">
                  <c:v>53647</c:v>
                </c:pt>
                <c:pt idx="98">
                  <c:v>53738</c:v>
                </c:pt>
                <c:pt idx="99">
                  <c:v>53827</c:v>
                </c:pt>
                <c:pt idx="100">
                  <c:v>53919</c:v>
                </c:pt>
                <c:pt idx="101">
                  <c:v>54014</c:v>
                </c:pt>
                <c:pt idx="102">
                  <c:v>54107</c:v>
                </c:pt>
                <c:pt idx="103">
                  <c:v>54193</c:v>
                </c:pt>
                <c:pt idx="104">
                  <c:v>54287</c:v>
                </c:pt>
                <c:pt idx="105">
                  <c:v>54378</c:v>
                </c:pt>
                <c:pt idx="106">
                  <c:v>54469</c:v>
                </c:pt>
                <c:pt idx="107">
                  <c:v>54560</c:v>
                </c:pt>
                <c:pt idx="108">
                  <c:v>54651</c:v>
                </c:pt>
                <c:pt idx="109">
                  <c:v>54743</c:v>
                </c:pt>
                <c:pt idx="110">
                  <c:v>54834</c:v>
                </c:pt>
                <c:pt idx="111">
                  <c:v>54924</c:v>
                </c:pt>
                <c:pt idx="112">
                  <c:v>55015</c:v>
                </c:pt>
                <c:pt idx="113">
                  <c:v>55108</c:v>
                </c:pt>
                <c:pt idx="114">
                  <c:v>55199</c:v>
                </c:pt>
                <c:pt idx="115">
                  <c:v>55288</c:v>
                </c:pt>
                <c:pt idx="116">
                  <c:v>55380</c:v>
                </c:pt>
                <c:pt idx="117">
                  <c:v>55473</c:v>
                </c:pt>
                <c:pt idx="118">
                  <c:v>55564</c:v>
                </c:pt>
                <c:pt idx="119">
                  <c:v>55654</c:v>
                </c:pt>
                <c:pt idx="120">
                  <c:v>55746</c:v>
                </c:pt>
                <c:pt idx="121">
                  <c:v>55841</c:v>
                </c:pt>
                <c:pt idx="122">
                  <c:v>55934</c:v>
                </c:pt>
                <c:pt idx="123">
                  <c:v>56019</c:v>
                </c:pt>
                <c:pt idx="124">
                  <c:v>56111</c:v>
                </c:pt>
                <c:pt idx="125">
                  <c:v>56205</c:v>
                </c:pt>
                <c:pt idx="126">
                  <c:v>56296</c:v>
                </c:pt>
                <c:pt idx="127">
                  <c:v>56384</c:v>
                </c:pt>
                <c:pt idx="128">
                  <c:v>56478</c:v>
                </c:pt>
                <c:pt idx="129">
                  <c:v>56569</c:v>
                </c:pt>
                <c:pt idx="130">
                  <c:v>56660</c:v>
                </c:pt>
                <c:pt idx="131">
                  <c:v>56751</c:v>
                </c:pt>
                <c:pt idx="132">
                  <c:v>56842</c:v>
                </c:pt>
                <c:pt idx="133">
                  <c:v>57026</c:v>
                </c:pt>
                <c:pt idx="134">
                  <c:v>57207</c:v>
                </c:pt>
                <c:pt idx="135">
                  <c:v>57391</c:v>
                </c:pt>
                <c:pt idx="136">
                  <c:v>57572</c:v>
                </c:pt>
                <c:pt idx="137">
                  <c:v>57756</c:v>
                </c:pt>
                <c:pt idx="138">
                  <c:v>57937</c:v>
                </c:pt>
                <c:pt idx="139">
                  <c:v>58123</c:v>
                </c:pt>
                <c:pt idx="140">
                  <c:v>58302</c:v>
                </c:pt>
                <c:pt idx="141">
                  <c:v>58487</c:v>
                </c:pt>
                <c:pt idx="142">
                  <c:v>58669</c:v>
                </c:pt>
              </c:numCache>
            </c:numRef>
          </c:cat>
          <c:val>
            <c:numRef>
              <c:f>Simulador!$O$5:$O$147</c:f>
              <c:numCache>
                <c:formatCode>0.00%</c:formatCode>
                <c:ptCount val="143"/>
                <c:pt idx="0">
                  <c:v>3.9260043860060989E-2</c:v>
                </c:pt>
                <c:pt idx="1">
                  <c:v>4.5724704287595008E-2</c:v>
                </c:pt>
                <c:pt idx="2">
                  <c:v>4.6895451319471704E-2</c:v>
                </c:pt>
                <c:pt idx="3">
                  <c:v>4.8774403248048603E-2</c:v>
                </c:pt>
                <c:pt idx="4">
                  <c:v>5.0400974841755763E-2</c:v>
                </c:pt>
                <c:pt idx="5">
                  <c:v>5.1052336771006734E-2</c:v>
                </c:pt>
                <c:pt idx="6">
                  <c:v>5.1308537686221012E-2</c:v>
                </c:pt>
                <c:pt idx="7">
                  <c:v>5.145750573058927E-2</c:v>
                </c:pt>
                <c:pt idx="8">
                  <c:v>5.1636418386285854E-2</c:v>
                </c:pt>
                <c:pt idx="9">
                  <c:v>5.1902571978476253E-2</c:v>
                </c:pt>
                <c:pt idx="10">
                  <c:v>5.2245707571055622E-2</c:v>
                </c:pt>
                <c:pt idx="11">
                  <c:v>5.2626601395276529E-2</c:v>
                </c:pt>
                <c:pt idx="12">
                  <c:v>5.3104968591759505E-2</c:v>
                </c:pt>
                <c:pt idx="13">
                  <c:v>5.3651431773697356E-2</c:v>
                </c:pt>
                <c:pt idx="14">
                  <c:v>5.4141996542348858E-2</c:v>
                </c:pt>
                <c:pt idx="15">
                  <c:v>5.4589692520684352E-2</c:v>
                </c:pt>
                <c:pt idx="16">
                  <c:v>5.5066564562549658E-2</c:v>
                </c:pt>
                <c:pt idx="17">
                  <c:v>5.5484848781022444E-2</c:v>
                </c:pt>
                <c:pt idx="18">
                  <c:v>5.5866933897950277E-2</c:v>
                </c:pt>
                <c:pt idx="19">
                  <c:v>5.6218908932760714E-2</c:v>
                </c:pt>
                <c:pt idx="20">
                  <c:v>5.6538828426135002E-2</c:v>
                </c:pt>
                <c:pt idx="21">
                  <c:v>5.6808529739978075E-2</c:v>
                </c:pt>
                <c:pt idx="22">
                  <c:v>5.7054164176732813E-2</c:v>
                </c:pt>
                <c:pt idx="23">
                  <c:v>5.724503337137854E-2</c:v>
                </c:pt>
                <c:pt idx="24">
                  <c:v>5.742304317837621E-2</c:v>
                </c:pt>
                <c:pt idx="25">
                  <c:v>5.7567744841153123E-2</c:v>
                </c:pt>
                <c:pt idx="26">
                  <c:v>5.7683163424037343E-2</c:v>
                </c:pt>
                <c:pt idx="27">
                  <c:v>5.7779762342214047E-2</c:v>
                </c:pt>
                <c:pt idx="28">
                  <c:v>5.7860887908244507E-2</c:v>
                </c:pt>
                <c:pt idx="29">
                  <c:v>5.7924849221559604E-2</c:v>
                </c:pt>
                <c:pt idx="30">
                  <c:v>5.7973532188232424E-2</c:v>
                </c:pt>
                <c:pt idx="31">
                  <c:v>5.8010297393168875E-2</c:v>
                </c:pt>
                <c:pt idx="32">
                  <c:v>5.8039061744824538E-2</c:v>
                </c:pt>
                <c:pt idx="33">
                  <c:v>5.8061291362325296E-2</c:v>
                </c:pt>
                <c:pt idx="34">
                  <c:v>5.8075178529090499E-2</c:v>
                </c:pt>
                <c:pt idx="35">
                  <c:v>5.8084434014569641E-2</c:v>
                </c:pt>
                <c:pt idx="36">
                  <c:v>5.8089895028151872E-2</c:v>
                </c:pt>
                <c:pt idx="37">
                  <c:v>5.8093103419797343E-2</c:v>
                </c:pt>
                <c:pt idx="38">
                  <c:v>5.8093588183373734E-2</c:v>
                </c:pt>
                <c:pt idx="39">
                  <c:v>5.8093166894075399E-2</c:v>
                </c:pt>
                <c:pt idx="40">
                  <c:v>5.8091578017454903E-2</c:v>
                </c:pt>
                <c:pt idx="41">
                  <c:v>5.8089951278503804E-2</c:v>
                </c:pt>
                <c:pt idx="42">
                  <c:v>5.8088111866002823E-2</c:v>
                </c:pt>
                <c:pt idx="43">
                  <c:v>5.8086840033223508E-2</c:v>
                </c:pt>
                <c:pt idx="44">
                  <c:v>5.8086017122378264E-2</c:v>
                </c:pt>
                <c:pt idx="45">
                  <c:v>5.8085960589666641E-2</c:v>
                </c:pt>
                <c:pt idx="46">
                  <c:v>5.8086868517013501E-2</c:v>
                </c:pt>
                <c:pt idx="47">
                  <c:v>5.8088485012417923E-2</c:v>
                </c:pt>
                <c:pt idx="48">
                  <c:v>5.809152730404965E-2</c:v>
                </c:pt>
                <c:pt idx="49">
                  <c:v>5.8095387399661913E-2</c:v>
                </c:pt>
                <c:pt idx="50">
                  <c:v>5.810037436798976E-2</c:v>
                </c:pt>
                <c:pt idx="51">
                  <c:v>5.8106093860155639E-2</c:v>
                </c:pt>
                <c:pt idx="52">
                  <c:v>5.8113662146890954E-2</c:v>
                </c:pt>
                <c:pt idx="53">
                  <c:v>5.8121726259442674E-2</c:v>
                </c:pt>
                <c:pt idx="54">
                  <c:v>5.8131103872528289E-2</c:v>
                </c:pt>
                <c:pt idx="55">
                  <c:v>5.8140396215799139E-2</c:v>
                </c:pt>
                <c:pt idx="56">
                  <c:v>5.8152005046111732E-2</c:v>
                </c:pt>
                <c:pt idx="57">
                  <c:v>5.8164335714771864E-2</c:v>
                </c:pt>
                <c:pt idx="58">
                  <c:v>5.8177190059257589E-2</c:v>
                </c:pt>
                <c:pt idx="59">
                  <c:v>5.8189597608516941E-2</c:v>
                </c:pt>
                <c:pt idx="60">
                  <c:v>5.8204320020614153E-2</c:v>
                </c:pt>
                <c:pt idx="61">
                  <c:v>5.8218636843994753E-2</c:v>
                </c:pt>
                <c:pt idx="62">
                  <c:v>5.8234064269589547E-2</c:v>
                </c:pt>
                <c:pt idx="63">
                  <c:v>5.8249146813281527E-2</c:v>
                </c:pt>
                <c:pt idx="64">
                  <c:v>5.8265780259018296E-2</c:v>
                </c:pt>
                <c:pt idx="65">
                  <c:v>5.8281950568933816E-2</c:v>
                </c:pt>
                <c:pt idx="66">
                  <c:v>5.8299588626735677E-2</c:v>
                </c:pt>
                <c:pt idx="67">
                  <c:v>5.8315858446627677E-2</c:v>
                </c:pt>
                <c:pt idx="68">
                  <c:v>5.8333783790841975E-2</c:v>
                </c:pt>
                <c:pt idx="69">
                  <c:v>5.8351355071909472E-2</c:v>
                </c:pt>
                <c:pt idx="70">
                  <c:v>5.8369365588984978E-2</c:v>
                </c:pt>
                <c:pt idx="71">
                  <c:v>5.8386966646712279E-2</c:v>
                </c:pt>
                <c:pt idx="72">
                  <c:v>5.8405778317638379E-2</c:v>
                </c:pt>
                <c:pt idx="73">
                  <c:v>5.8423866606378105E-2</c:v>
                </c:pt>
                <c:pt idx="74">
                  <c:v>5.8442186408470986E-2</c:v>
                </c:pt>
                <c:pt idx="75">
                  <c:v>5.8459157769596759E-2</c:v>
                </c:pt>
                <c:pt idx="76">
                  <c:v>5.8478069407634115E-2</c:v>
                </c:pt>
                <c:pt idx="77">
                  <c:v>5.8497046040423495E-2</c:v>
                </c:pt>
                <c:pt idx="78">
                  <c:v>5.8515239987320333E-2</c:v>
                </c:pt>
                <c:pt idx="79">
                  <c:v>5.8531779802490691E-2</c:v>
                </c:pt>
                <c:pt idx="80">
                  <c:v>5.8550394858682964E-2</c:v>
                </c:pt>
                <c:pt idx="81">
                  <c:v>5.8569033512437585E-2</c:v>
                </c:pt>
                <c:pt idx="82">
                  <c:v>5.8586246244419105E-2</c:v>
                </c:pt>
                <c:pt idx="83">
                  <c:v>5.8603215109393147E-2</c:v>
                </c:pt>
                <c:pt idx="84">
                  <c:v>5.862126756361441E-2</c:v>
                </c:pt>
                <c:pt idx="85">
                  <c:v>5.8638222729547884E-2</c:v>
                </c:pt>
                <c:pt idx="86">
                  <c:v>5.8655385857119935E-2</c:v>
                </c:pt>
                <c:pt idx="87">
                  <c:v>5.8671739477065055E-2</c:v>
                </c:pt>
                <c:pt idx="88">
                  <c:v>5.8688814240932752E-2</c:v>
                </c:pt>
                <c:pt idx="89">
                  <c:v>5.8705343244700003E-2</c:v>
                </c:pt>
                <c:pt idx="90">
                  <c:v>5.8722275893555054E-2</c:v>
                </c:pt>
                <c:pt idx="91">
                  <c:v>5.8737133598216307E-2</c:v>
                </c:pt>
                <c:pt idx="92">
                  <c:v>5.8753667551804112E-2</c:v>
                </c:pt>
                <c:pt idx="93">
                  <c:v>5.8769413621907463E-2</c:v>
                </c:pt>
                <c:pt idx="94">
                  <c:v>5.8784528716759432E-2</c:v>
                </c:pt>
                <c:pt idx="95">
                  <c:v>5.8799381721219346E-2</c:v>
                </c:pt>
                <c:pt idx="96">
                  <c:v>5.8815064940877626E-2</c:v>
                </c:pt>
                <c:pt idx="97">
                  <c:v>5.8829992912210027E-2</c:v>
                </c:pt>
                <c:pt idx="98">
                  <c:v>5.88447660979734E-2</c:v>
                </c:pt>
                <c:pt idx="99">
                  <c:v>5.8858358842431624E-2</c:v>
                </c:pt>
                <c:pt idx="100">
                  <c:v>5.8873180945232306E-2</c:v>
                </c:pt>
                <c:pt idx="101">
                  <c:v>5.8887956867165414E-2</c:v>
                </c:pt>
                <c:pt idx="102">
                  <c:v>5.8901887570582678E-2</c:v>
                </c:pt>
                <c:pt idx="103">
                  <c:v>5.8914710998978048E-2</c:v>
                </c:pt>
                <c:pt idx="104">
                  <c:v>5.8928673007986543E-2</c:v>
                </c:pt>
                <c:pt idx="105">
                  <c:v>5.8941755679680075E-2</c:v>
                </c:pt>
                <c:pt idx="106">
                  <c:v>5.8954884267646168E-2</c:v>
                </c:pt>
                <c:pt idx="107">
                  <c:v>5.8967376894799139E-2</c:v>
                </c:pt>
                <c:pt idx="108">
                  <c:v>5.8980318541968391E-2</c:v>
                </c:pt>
                <c:pt idx="109">
                  <c:v>5.8992638071407866E-2</c:v>
                </c:pt>
                <c:pt idx="110">
                  <c:v>5.9005382648950055E-2</c:v>
                </c:pt>
                <c:pt idx="111">
                  <c:v>5.9016945962957701E-2</c:v>
                </c:pt>
                <c:pt idx="112">
                  <c:v>5.9029119259779605E-2</c:v>
                </c:pt>
                <c:pt idx="113">
                  <c:v>5.9040897327267139E-2</c:v>
                </c:pt>
                <c:pt idx="114">
                  <c:v>5.9052515136362116E-2</c:v>
                </c:pt>
                <c:pt idx="115">
                  <c:v>5.9063396879898145E-2</c:v>
                </c:pt>
                <c:pt idx="116">
                  <c:v>5.9075026627574356E-2</c:v>
                </c:pt>
                <c:pt idx="117">
                  <c:v>5.9086108247865088E-2</c:v>
                </c:pt>
                <c:pt idx="118">
                  <c:v>5.9097036281481996E-2</c:v>
                </c:pt>
                <c:pt idx="119">
                  <c:v>5.9107276027694944E-2</c:v>
                </c:pt>
                <c:pt idx="120">
                  <c:v>5.9118217242231763E-2</c:v>
                </c:pt>
                <c:pt idx="121">
                  <c:v>5.9129140582113937E-2</c:v>
                </c:pt>
                <c:pt idx="122">
                  <c:v>5.9139416421125635E-2</c:v>
                </c:pt>
                <c:pt idx="123">
                  <c:v>5.9148730934770466E-2</c:v>
                </c:pt>
                <c:pt idx="124">
                  <c:v>5.9159027917921936E-2</c:v>
                </c:pt>
                <c:pt idx="125">
                  <c:v>5.9169312630432236E-2</c:v>
                </c:pt>
                <c:pt idx="126">
                  <c:v>5.9178682816678041E-2</c:v>
                </c:pt>
                <c:pt idx="127">
                  <c:v>5.9187911643766133E-2</c:v>
                </c:pt>
                <c:pt idx="128">
                  <c:v>5.9197608042833805E-2</c:v>
                </c:pt>
                <c:pt idx="129">
                  <c:v>5.9206713820925794E-2</c:v>
                </c:pt>
                <c:pt idx="130">
                  <c:v>5.9215838179056624E-2</c:v>
                </c:pt>
                <c:pt idx="131">
                  <c:v>5.9224540838497486E-2</c:v>
                </c:pt>
                <c:pt idx="132">
                  <c:v>5.92335457572577E-2</c:v>
                </c:pt>
                <c:pt idx="133">
                  <c:v>5.9250885939442277E-2</c:v>
                </c:pt>
                <c:pt idx="134">
                  <c:v>5.9267602491539062E-2</c:v>
                </c:pt>
                <c:pt idx="135">
                  <c:v>5.9283981376885508E-2</c:v>
                </c:pt>
                <c:pt idx="136">
                  <c:v>5.9299655612397473E-2</c:v>
                </c:pt>
                <c:pt idx="137">
                  <c:v>5.9315147837361915E-2</c:v>
                </c:pt>
                <c:pt idx="138">
                  <c:v>5.9329982265626136E-2</c:v>
                </c:pt>
                <c:pt idx="139">
                  <c:v>5.9344767976036161E-2</c:v>
                </c:pt>
                <c:pt idx="140">
                  <c:v>5.9358933106441247E-2</c:v>
                </c:pt>
                <c:pt idx="141">
                  <c:v>5.9373163394883077E-2</c:v>
                </c:pt>
                <c:pt idx="142">
                  <c:v>5.938659037320515E-2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B9-B742-816B-FC605253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9059567"/>
        <c:axId val="1679061215"/>
      </c:lineChart>
      <c:dateAx>
        <c:axId val="1679059567"/>
        <c:scaling>
          <c:orientation val="minMax"/>
        </c:scaling>
        <c:delete val="0"/>
        <c:axPos val="b"/>
        <c:numFmt formatCode="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79061215"/>
        <c:crosses val="autoZero"/>
        <c:auto val="1"/>
        <c:lblOffset val="100"/>
        <c:baseTimeUnit val="months"/>
        <c:majorUnit val="60"/>
        <c:majorTimeUnit val="months"/>
      </c:dateAx>
      <c:valAx>
        <c:axId val="1679061215"/>
        <c:scaling>
          <c:orientation val="minMax"/>
          <c:min val="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solidFill>
              <a:srgbClr val="00206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79059567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Simulador!$U$6</c:f>
              <c:strCache>
                <c:ptCount val="1"/>
                <c:pt idx="0">
                  <c:v>Pós-choque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rgbClr val="00B0F0"/>
              </a:solidFill>
            </a:ln>
            <a:effectLst/>
          </c:spPr>
          <c:invertIfNegative val="0"/>
          <c:cat>
            <c:strRef>
              <c:f>Simulador!$W$4:$Z$4</c:f>
              <c:strCache>
                <c:ptCount val="4"/>
                <c:pt idx="0">
                  <c:v>𝛿P/𝛿VNA</c:v>
                </c:pt>
                <c:pt idx="1">
                  <c:v>𝛿P/𝛿r_real</c:v>
                </c:pt>
                <c:pt idx="2">
                  <c:v>𝛿P/𝛿r_pre</c:v>
                </c:pt>
                <c:pt idx="3">
                  <c:v>𝛿P/𝛿r_implicita</c:v>
                </c:pt>
              </c:strCache>
            </c:strRef>
          </c:cat>
          <c:val>
            <c:numRef>
              <c:f>Simulador!$W$6:$Z$6</c:f>
              <c:numCache>
                <c:formatCode>#,##0;[Red]\(#,##0\);\-</c:formatCode>
                <c:ptCount val="4"/>
                <c:pt idx="0">
                  <c:v>51399.160793369636</c:v>
                </c:pt>
                <c:pt idx="1">
                  <c:v>-354994.64969914948</c:v>
                </c:pt>
                <c:pt idx="2">
                  <c:v>-335621.61411958688</c:v>
                </c:pt>
                <c:pt idx="3">
                  <c:v>355408.95085360343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AE-0848-B350-B1F2DE169CB5}"/>
            </c:ext>
          </c:extLst>
        </c:ser>
        <c:ser>
          <c:idx val="1"/>
          <c:order val="1"/>
          <c:tx>
            <c:strRef>
              <c:f>Simulador!$U$5</c:f>
              <c:strCache>
                <c:ptCount val="1"/>
                <c:pt idx="0">
                  <c:v>Pré-choque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effectLst/>
          </c:spPr>
          <c:invertIfNegative val="0"/>
          <c:cat>
            <c:strRef>
              <c:f>Simulador!$W$4:$Z$4</c:f>
              <c:strCache>
                <c:ptCount val="4"/>
                <c:pt idx="0">
                  <c:v>𝛿P/𝛿VNA</c:v>
                </c:pt>
                <c:pt idx="1">
                  <c:v>𝛿P/𝛿r_real</c:v>
                </c:pt>
                <c:pt idx="2">
                  <c:v>𝛿P/𝛿r_pre</c:v>
                </c:pt>
                <c:pt idx="3">
                  <c:v>𝛿P/𝛿r_implicita</c:v>
                </c:pt>
              </c:strCache>
            </c:strRef>
          </c:cat>
          <c:val>
            <c:numRef>
              <c:f>Simulador!$W$5:$Z$5</c:f>
              <c:numCache>
                <c:formatCode>#,##0;[Red]\(#,##0\);\-</c:formatCode>
                <c:ptCount val="4"/>
                <c:pt idx="0">
                  <c:v>51399.854409128697</c:v>
                </c:pt>
                <c:pt idx="1">
                  <c:v>-354999.05473709747</c:v>
                </c:pt>
                <c:pt idx="2">
                  <c:v>-335621.61411958688</c:v>
                </c:pt>
                <c:pt idx="3">
                  <c:v>355408.95085360343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AE-0848-B350-B1F2DE169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2306239"/>
        <c:axId val="1830776992"/>
      </c:barChart>
      <c:catAx>
        <c:axId val="16023062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830776992"/>
        <c:crosses val="autoZero"/>
        <c:auto val="1"/>
        <c:lblAlgn val="ctr"/>
        <c:lblOffset val="100"/>
        <c:noMultiLvlLbl val="0"/>
      </c:catAx>
      <c:valAx>
        <c:axId val="183077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#,##0.0;[Red]\(#,##0.0\)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02306239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</c:dispUnitsLbl>
        </c:dispUnits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Simulador!$U$6</c:f>
              <c:strCache>
                <c:ptCount val="1"/>
                <c:pt idx="0">
                  <c:v>Pós-choque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rgbClr val="00B0F0"/>
              </a:solidFill>
            </a:ln>
            <a:effectLst/>
          </c:spPr>
          <c:invertIfNegative val="0"/>
          <c:cat>
            <c:strRef>
              <c:f>Simulador!$V$4</c:f>
              <c:strCache>
                <c:ptCount val="1"/>
                <c:pt idx="0">
                  <c:v>Financeiro ($MM)</c:v>
                </c:pt>
              </c:strCache>
            </c:strRef>
          </c:cat>
          <c:val>
            <c:numRef>
              <c:f>Simulador!$V$6</c:f>
              <c:numCache>
                <c:formatCode>#,##0;[Red]\(#,##0\);\-</c:formatCode>
                <c:ptCount val="1"/>
                <c:pt idx="0">
                  <c:v>513.99160793369651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7D-2349-B53E-6766E1574075}"/>
            </c:ext>
          </c:extLst>
        </c:ser>
        <c:ser>
          <c:idx val="1"/>
          <c:order val="1"/>
          <c:tx>
            <c:strRef>
              <c:f>Simulador!$U$5</c:f>
              <c:strCache>
                <c:ptCount val="1"/>
                <c:pt idx="0">
                  <c:v>Pré-choque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effectLst/>
          </c:spPr>
          <c:invertIfNegative val="0"/>
          <c:cat>
            <c:strRef>
              <c:f>Simulador!$V$4</c:f>
              <c:strCache>
                <c:ptCount val="1"/>
                <c:pt idx="0">
                  <c:v>Financeiro ($MM)</c:v>
                </c:pt>
              </c:strCache>
            </c:strRef>
          </c:cat>
          <c:val>
            <c:numRef>
              <c:f>Simulador!$V$5</c:f>
              <c:numCache>
                <c:formatCode>#,##0;[Red]\(#,##0\);\-</c:formatCode>
                <c:ptCount val="1"/>
                <c:pt idx="0">
                  <c:v>513.99854409128704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7D-2349-B53E-6766E1574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2306239"/>
        <c:axId val="1830776992"/>
      </c:barChart>
      <c:catAx>
        <c:axId val="16023062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830776992"/>
        <c:crosses val="autoZero"/>
        <c:auto val="1"/>
        <c:lblAlgn val="ctr"/>
        <c:lblOffset val="100"/>
        <c:noMultiLvlLbl val="0"/>
      </c:catAx>
      <c:valAx>
        <c:axId val="1830776992"/>
        <c:scaling>
          <c:orientation val="minMax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#,##0.0;[Red]\(#,##0.0\)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02306239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604020202020204" pitchFamily="34" charset="0"/>
                <a:ea typeface="+mn-ea"/>
                <a:cs typeface="Arial Black" panose="020B0604020202020204" pitchFamily="34" charset="0"/>
              </a:defRPr>
            </a:pPr>
            <a:r>
              <a:rPr lang="en-US" sz="2000" b="1" i="0">
                <a:latin typeface="Arial Black" panose="020B0604020202020204" pitchFamily="34" charset="0"/>
                <a:cs typeface="Arial Black" panose="020B0604020202020204" pitchFamily="34" charset="0"/>
              </a:rPr>
              <a:t>ETTJ Pré Mercado vs Simulada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604020202020204" pitchFamily="34" charset="0"/>
              <a:ea typeface="+mn-ea"/>
              <a:cs typeface="Arial Black" panose="020B0604020202020204" pitchFamily="34" charset="0"/>
            </a:defRPr>
          </a:pPr>
          <a:endParaRPr lang="en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Simulador!$G$4</c:f>
              <c:strCache>
                <c:ptCount val="1"/>
                <c:pt idx="0">
                  <c:v>Pré Mercado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Simulador!$B$5:$B$147</c:f>
              <c:numCache>
                <c:formatCode>m/d/yy</c:formatCode>
                <c:ptCount val="143"/>
                <c:pt idx="0">
                  <c:v>44881</c:v>
                </c:pt>
                <c:pt idx="1">
                  <c:v>44972</c:v>
                </c:pt>
                <c:pt idx="2">
                  <c:v>45000</c:v>
                </c:pt>
                <c:pt idx="3">
                  <c:v>45061</c:v>
                </c:pt>
                <c:pt idx="4">
                  <c:v>45153</c:v>
                </c:pt>
                <c:pt idx="5">
                  <c:v>45246</c:v>
                </c:pt>
                <c:pt idx="6">
                  <c:v>45337</c:v>
                </c:pt>
                <c:pt idx="7">
                  <c:v>45427</c:v>
                </c:pt>
                <c:pt idx="8">
                  <c:v>45519</c:v>
                </c:pt>
                <c:pt idx="9">
                  <c:v>45614</c:v>
                </c:pt>
                <c:pt idx="10">
                  <c:v>45705</c:v>
                </c:pt>
                <c:pt idx="11">
                  <c:v>45792</c:v>
                </c:pt>
                <c:pt idx="12">
                  <c:v>45884</c:v>
                </c:pt>
                <c:pt idx="13">
                  <c:v>45978</c:v>
                </c:pt>
                <c:pt idx="14">
                  <c:v>46071</c:v>
                </c:pt>
                <c:pt idx="15">
                  <c:v>46157</c:v>
                </c:pt>
                <c:pt idx="16">
                  <c:v>46251</c:v>
                </c:pt>
                <c:pt idx="17">
                  <c:v>46342</c:v>
                </c:pt>
                <c:pt idx="18">
                  <c:v>46433</c:v>
                </c:pt>
                <c:pt idx="19">
                  <c:v>46524</c:v>
                </c:pt>
                <c:pt idx="20">
                  <c:v>46615</c:v>
                </c:pt>
                <c:pt idx="21">
                  <c:v>46707</c:v>
                </c:pt>
                <c:pt idx="22">
                  <c:v>46798</c:v>
                </c:pt>
                <c:pt idx="23">
                  <c:v>46888</c:v>
                </c:pt>
                <c:pt idx="24">
                  <c:v>46980</c:v>
                </c:pt>
                <c:pt idx="25">
                  <c:v>47073</c:v>
                </c:pt>
                <c:pt idx="26">
                  <c:v>47164</c:v>
                </c:pt>
                <c:pt idx="27">
                  <c:v>47253</c:v>
                </c:pt>
                <c:pt idx="28">
                  <c:v>47345</c:v>
                </c:pt>
                <c:pt idx="29">
                  <c:v>47438</c:v>
                </c:pt>
                <c:pt idx="30">
                  <c:v>47529</c:v>
                </c:pt>
                <c:pt idx="31">
                  <c:v>47618</c:v>
                </c:pt>
                <c:pt idx="32">
                  <c:v>47710</c:v>
                </c:pt>
                <c:pt idx="33">
                  <c:v>47805</c:v>
                </c:pt>
                <c:pt idx="34">
                  <c:v>47896</c:v>
                </c:pt>
                <c:pt idx="35">
                  <c:v>47983</c:v>
                </c:pt>
                <c:pt idx="36">
                  <c:v>48075</c:v>
                </c:pt>
                <c:pt idx="37">
                  <c:v>48169</c:v>
                </c:pt>
                <c:pt idx="38">
                  <c:v>48260</c:v>
                </c:pt>
                <c:pt idx="39">
                  <c:v>48351</c:v>
                </c:pt>
                <c:pt idx="40">
                  <c:v>48442</c:v>
                </c:pt>
                <c:pt idx="41">
                  <c:v>48534</c:v>
                </c:pt>
                <c:pt idx="42">
                  <c:v>48625</c:v>
                </c:pt>
                <c:pt idx="43">
                  <c:v>48715</c:v>
                </c:pt>
                <c:pt idx="44">
                  <c:v>48806</c:v>
                </c:pt>
                <c:pt idx="45">
                  <c:v>48899</c:v>
                </c:pt>
                <c:pt idx="46">
                  <c:v>48990</c:v>
                </c:pt>
                <c:pt idx="47">
                  <c:v>49079</c:v>
                </c:pt>
                <c:pt idx="48">
                  <c:v>49171</c:v>
                </c:pt>
                <c:pt idx="49">
                  <c:v>49264</c:v>
                </c:pt>
                <c:pt idx="50">
                  <c:v>49355</c:v>
                </c:pt>
                <c:pt idx="51">
                  <c:v>49444</c:v>
                </c:pt>
                <c:pt idx="52">
                  <c:v>49536</c:v>
                </c:pt>
                <c:pt idx="53">
                  <c:v>49629</c:v>
                </c:pt>
                <c:pt idx="54">
                  <c:v>49720</c:v>
                </c:pt>
                <c:pt idx="55">
                  <c:v>49810</c:v>
                </c:pt>
                <c:pt idx="56">
                  <c:v>49902</c:v>
                </c:pt>
                <c:pt idx="57">
                  <c:v>49996</c:v>
                </c:pt>
                <c:pt idx="58">
                  <c:v>50089</c:v>
                </c:pt>
                <c:pt idx="59">
                  <c:v>50175</c:v>
                </c:pt>
                <c:pt idx="60">
                  <c:v>50269</c:v>
                </c:pt>
                <c:pt idx="61">
                  <c:v>50360</c:v>
                </c:pt>
                <c:pt idx="62">
                  <c:v>50451</c:v>
                </c:pt>
                <c:pt idx="63">
                  <c:v>50542</c:v>
                </c:pt>
                <c:pt idx="64">
                  <c:v>50633</c:v>
                </c:pt>
                <c:pt idx="65">
                  <c:v>50725</c:v>
                </c:pt>
                <c:pt idx="66">
                  <c:v>50816</c:v>
                </c:pt>
                <c:pt idx="67">
                  <c:v>50906</c:v>
                </c:pt>
                <c:pt idx="68">
                  <c:v>50997</c:v>
                </c:pt>
                <c:pt idx="69">
                  <c:v>51090</c:v>
                </c:pt>
                <c:pt idx="70">
                  <c:v>51181</c:v>
                </c:pt>
                <c:pt idx="71">
                  <c:v>51271</c:v>
                </c:pt>
                <c:pt idx="72">
                  <c:v>51363</c:v>
                </c:pt>
                <c:pt idx="73">
                  <c:v>51456</c:v>
                </c:pt>
                <c:pt idx="74">
                  <c:v>51547</c:v>
                </c:pt>
                <c:pt idx="75">
                  <c:v>51636</c:v>
                </c:pt>
                <c:pt idx="76">
                  <c:v>51728</c:v>
                </c:pt>
                <c:pt idx="77">
                  <c:v>51823</c:v>
                </c:pt>
                <c:pt idx="78">
                  <c:v>51916</c:v>
                </c:pt>
                <c:pt idx="79">
                  <c:v>52001</c:v>
                </c:pt>
                <c:pt idx="80">
                  <c:v>52093</c:v>
                </c:pt>
                <c:pt idx="81">
                  <c:v>52187</c:v>
                </c:pt>
                <c:pt idx="82">
                  <c:v>52278</c:v>
                </c:pt>
                <c:pt idx="83">
                  <c:v>52366</c:v>
                </c:pt>
                <c:pt idx="84">
                  <c:v>52460</c:v>
                </c:pt>
                <c:pt idx="85">
                  <c:v>52551</c:v>
                </c:pt>
                <c:pt idx="86">
                  <c:v>52642</c:v>
                </c:pt>
                <c:pt idx="87">
                  <c:v>52733</c:v>
                </c:pt>
                <c:pt idx="88">
                  <c:v>52824</c:v>
                </c:pt>
                <c:pt idx="89">
                  <c:v>52917</c:v>
                </c:pt>
                <c:pt idx="90">
                  <c:v>53008</c:v>
                </c:pt>
                <c:pt idx="91">
                  <c:v>53097</c:v>
                </c:pt>
                <c:pt idx="92">
                  <c:v>53189</c:v>
                </c:pt>
                <c:pt idx="93">
                  <c:v>53282</c:v>
                </c:pt>
                <c:pt idx="94">
                  <c:v>53373</c:v>
                </c:pt>
                <c:pt idx="95">
                  <c:v>53462</c:v>
                </c:pt>
                <c:pt idx="96">
                  <c:v>53554</c:v>
                </c:pt>
                <c:pt idx="97">
                  <c:v>53647</c:v>
                </c:pt>
                <c:pt idx="98">
                  <c:v>53738</c:v>
                </c:pt>
                <c:pt idx="99">
                  <c:v>53827</c:v>
                </c:pt>
                <c:pt idx="100">
                  <c:v>53919</c:v>
                </c:pt>
                <c:pt idx="101">
                  <c:v>54014</c:v>
                </c:pt>
                <c:pt idx="102">
                  <c:v>54107</c:v>
                </c:pt>
                <c:pt idx="103">
                  <c:v>54193</c:v>
                </c:pt>
                <c:pt idx="104">
                  <c:v>54287</c:v>
                </c:pt>
                <c:pt idx="105">
                  <c:v>54378</c:v>
                </c:pt>
                <c:pt idx="106">
                  <c:v>54469</c:v>
                </c:pt>
                <c:pt idx="107">
                  <c:v>54560</c:v>
                </c:pt>
                <c:pt idx="108">
                  <c:v>54651</c:v>
                </c:pt>
                <c:pt idx="109">
                  <c:v>54743</c:v>
                </c:pt>
                <c:pt idx="110">
                  <c:v>54834</c:v>
                </c:pt>
                <c:pt idx="111">
                  <c:v>54924</c:v>
                </c:pt>
                <c:pt idx="112">
                  <c:v>55015</c:v>
                </c:pt>
                <c:pt idx="113">
                  <c:v>55108</c:v>
                </c:pt>
                <c:pt idx="114">
                  <c:v>55199</c:v>
                </c:pt>
                <c:pt idx="115">
                  <c:v>55288</c:v>
                </c:pt>
                <c:pt idx="116">
                  <c:v>55380</c:v>
                </c:pt>
                <c:pt idx="117">
                  <c:v>55473</c:v>
                </c:pt>
                <c:pt idx="118">
                  <c:v>55564</c:v>
                </c:pt>
                <c:pt idx="119">
                  <c:v>55654</c:v>
                </c:pt>
                <c:pt idx="120">
                  <c:v>55746</c:v>
                </c:pt>
                <c:pt idx="121">
                  <c:v>55841</c:v>
                </c:pt>
                <c:pt idx="122">
                  <c:v>55934</c:v>
                </c:pt>
                <c:pt idx="123">
                  <c:v>56019</c:v>
                </c:pt>
                <c:pt idx="124">
                  <c:v>56111</c:v>
                </c:pt>
                <c:pt idx="125">
                  <c:v>56205</c:v>
                </c:pt>
                <c:pt idx="126">
                  <c:v>56296</c:v>
                </c:pt>
                <c:pt idx="127">
                  <c:v>56384</c:v>
                </c:pt>
                <c:pt idx="128">
                  <c:v>56478</c:v>
                </c:pt>
                <c:pt idx="129">
                  <c:v>56569</c:v>
                </c:pt>
                <c:pt idx="130">
                  <c:v>56660</c:v>
                </c:pt>
                <c:pt idx="131">
                  <c:v>56751</c:v>
                </c:pt>
                <c:pt idx="132">
                  <c:v>56842</c:v>
                </c:pt>
                <c:pt idx="133">
                  <c:v>57026</c:v>
                </c:pt>
                <c:pt idx="134">
                  <c:v>57207</c:v>
                </c:pt>
                <c:pt idx="135">
                  <c:v>57391</c:v>
                </c:pt>
                <c:pt idx="136">
                  <c:v>57572</c:v>
                </c:pt>
                <c:pt idx="137">
                  <c:v>57756</c:v>
                </c:pt>
                <c:pt idx="138">
                  <c:v>57937</c:v>
                </c:pt>
                <c:pt idx="139">
                  <c:v>58123</c:v>
                </c:pt>
                <c:pt idx="140">
                  <c:v>58302</c:v>
                </c:pt>
                <c:pt idx="141">
                  <c:v>58487</c:v>
                </c:pt>
                <c:pt idx="142">
                  <c:v>58669</c:v>
                </c:pt>
              </c:numCache>
            </c:numRef>
          </c:cat>
          <c:val>
            <c:numRef>
              <c:f>Simulador!$G$5:$G$147</c:f>
              <c:numCache>
                <c:formatCode>0.00%</c:formatCode>
                <c:ptCount val="143"/>
                <c:pt idx="0">
                  <c:v>0.13709542415198134</c:v>
                </c:pt>
                <c:pt idx="1">
                  <c:v>0.13824476901041258</c:v>
                </c:pt>
                <c:pt idx="2">
                  <c:v>0.13794751957277054</c:v>
                </c:pt>
                <c:pt idx="3">
                  <c:v>0.1367085106174083</c:v>
                </c:pt>
                <c:pt idx="4">
                  <c:v>0.13372890379553737</c:v>
                </c:pt>
                <c:pt idx="5">
                  <c:v>0.13048300825828854</c:v>
                </c:pt>
                <c:pt idx="6">
                  <c:v>0.12747368770436204</c:v>
                </c:pt>
                <c:pt idx="7">
                  <c:v>0.12477200252598092</c:v>
                </c:pt>
                <c:pt idx="8">
                  <c:v>0.12241457710811354</c:v>
                </c:pt>
                <c:pt idx="9">
                  <c:v>0.1205205679154658</c:v>
                </c:pt>
                <c:pt idx="10">
                  <c:v>0.11913959507080539</c:v>
                </c:pt>
                <c:pt idx="11">
                  <c:v>0.11818582291207119</c:v>
                </c:pt>
                <c:pt idx="12">
                  <c:v>0.11741710508794967</c:v>
                </c:pt>
                <c:pt idx="13">
                  <c:v>0.11689729255746713</c:v>
                </c:pt>
                <c:pt idx="14">
                  <c:v>0.11659182503244317</c:v>
                </c:pt>
                <c:pt idx="15">
                  <c:v>0.11643527123250733</c:v>
                </c:pt>
                <c:pt idx="16">
                  <c:v>0.11637191467183143</c:v>
                </c:pt>
                <c:pt idx="17">
                  <c:v>0.11639008955215797</c:v>
                </c:pt>
                <c:pt idx="18">
                  <c:v>0.11646160743294708</c:v>
                </c:pt>
                <c:pt idx="19">
                  <c:v>0.11657438368857059</c:v>
                </c:pt>
                <c:pt idx="20">
                  <c:v>0.11671586421546679</c:v>
                </c:pt>
                <c:pt idx="21">
                  <c:v>0.11686894003503029</c:v>
                </c:pt>
                <c:pt idx="22">
                  <c:v>0.11703860353993888</c:v>
                </c:pt>
                <c:pt idx="23">
                  <c:v>0.11719588464999479</c:v>
                </c:pt>
                <c:pt idx="24">
                  <c:v>0.11736890213289761</c:v>
                </c:pt>
                <c:pt idx="25">
                  <c:v>0.11753368327278076</c:v>
                </c:pt>
                <c:pt idx="26">
                  <c:v>0.11768880617970637</c:v>
                </c:pt>
                <c:pt idx="27">
                  <c:v>0.1178385328920409</c:v>
                </c:pt>
                <c:pt idx="28">
                  <c:v>0.11799146123194351</c:v>
                </c:pt>
                <c:pt idx="29">
                  <c:v>0.1181328379826086</c:v>
                </c:pt>
                <c:pt idx="30">
                  <c:v>0.11826738921135904</c:v>
                </c:pt>
                <c:pt idx="31">
                  <c:v>0.11838727903530923</c:v>
                </c:pt>
                <c:pt idx="32">
                  <c:v>0.11851270064571921</c:v>
                </c:pt>
                <c:pt idx="33">
                  <c:v>0.11863319273641666</c:v>
                </c:pt>
                <c:pt idx="34">
                  <c:v>0.1187420783777112</c:v>
                </c:pt>
                <c:pt idx="35">
                  <c:v>0.11883731211931328</c:v>
                </c:pt>
                <c:pt idx="36">
                  <c:v>0.11893865889866469</c:v>
                </c:pt>
                <c:pt idx="37">
                  <c:v>0.11903610157038018</c:v>
                </c:pt>
                <c:pt idx="38">
                  <c:v>0.11912158088679581</c:v>
                </c:pt>
                <c:pt idx="39">
                  <c:v>0.11920554230632582</c:v>
                </c:pt>
                <c:pt idx="40">
                  <c:v>0.11928663253884547</c:v>
                </c:pt>
                <c:pt idx="41">
                  <c:v>0.11936141271582239</c:v>
                </c:pt>
                <c:pt idx="42">
                  <c:v>0.11943608482042488</c:v>
                </c:pt>
                <c:pt idx="43">
                  <c:v>0.11950184550850161</c:v>
                </c:pt>
                <c:pt idx="44">
                  <c:v>0.11956885530821211</c:v>
                </c:pt>
                <c:pt idx="45">
                  <c:v>0.11963185756408813</c:v>
                </c:pt>
                <c:pt idx="46">
                  <c:v>0.11969397895680058</c:v>
                </c:pt>
                <c:pt idx="47">
                  <c:v>0.11974709192095902</c:v>
                </c:pt>
                <c:pt idx="48">
                  <c:v>0.11980417582365722</c:v>
                </c:pt>
                <c:pt idx="49">
                  <c:v>0.11985718969671773</c:v>
                </c:pt>
                <c:pt idx="50">
                  <c:v>0.1199064799245569</c:v>
                </c:pt>
                <c:pt idx="51">
                  <c:v>0.11995387783157511</c:v>
                </c:pt>
                <c:pt idx="52">
                  <c:v>0.12000242022926019</c:v>
                </c:pt>
                <c:pt idx="53">
                  <c:v>0.12004764540153573</c:v>
                </c:pt>
                <c:pt idx="54">
                  <c:v>0.1200911767032468</c:v>
                </c:pt>
                <c:pt idx="55">
                  <c:v>0.12013049074279633</c:v>
                </c:pt>
                <c:pt idx="56">
                  <c:v>0.12017226232074725</c:v>
                </c:pt>
                <c:pt idx="57">
                  <c:v>0.12021311213738863</c:v>
                </c:pt>
                <c:pt idx="58">
                  <c:v>0.1202507133679222</c:v>
                </c:pt>
                <c:pt idx="59">
                  <c:v>0.12028475749761516</c:v>
                </c:pt>
                <c:pt idx="60">
                  <c:v>0.12032101936210414</c:v>
                </c:pt>
                <c:pt idx="61">
                  <c:v>0.12035445137264894</c:v>
                </c:pt>
                <c:pt idx="62">
                  <c:v>0.12038732306130104</c:v>
                </c:pt>
                <c:pt idx="63">
                  <c:v>0.12041814511225046</c:v>
                </c:pt>
                <c:pt idx="64">
                  <c:v>0.12044946906148286</c:v>
                </c:pt>
                <c:pt idx="65">
                  <c:v>0.12047886973194637</c:v>
                </c:pt>
                <c:pt idx="66">
                  <c:v>0.12050874137297377</c:v>
                </c:pt>
                <c:pt idx="67">
                  <c:v>0.12053548931732623</c:v>
                </c:pt>
                <c:pt idx="68">
                  <c:v>0.12056318553647621</c:v>
                </c:pt>
                <c:pt idx="69">
                  <c:v>0.1205896438384781</c:v>
                </c:pt>
                <c:pt idx="70">
                  <c:v>0.12061533809566234</c:v>
                </c:pt>
                <c:pt idx="71">
                  <c:v>0.12063991024420911</c:v>
                </c:pt>
                <c:pt idx="72">
                  <c:v>0.12066494275144943</c:v>
                </c:pt>
                <c:pt idx="73">
                  <c:v>0.1206885229680944</c:v>
                </c:pt>
                <c:pt idx="74">
                  <c:v>0.12071145956042587</c:v>
                </c:pt>
                <c:pt idx="75">
                  <c:v>0.1207323793302393</c:v>
                </c:pt>
                <c:pt idx="76">
                  <c:v>0.12075482363669565</c:v>
                </c:pt>
                <c:pt idx="77">
                  <c:v>0.12077699207511866</c:v>
                </c:pt>
                <c:pt idx="78">
                  <c:v>0.12079759224187531</c:v>
                </c:pt>
                <c:pt idx="79">
                  <c:v>0.12081609173336634</c:v>
                </c:pt>
                <c:pt idx="80">
                  <c:v>0.12083631311140945</c:v>
                </c:pt>
                <c:pt idx="81">
                  <c:v>0.12085631382413267</c:v>
                </c:pt>
                <c:pt idx="82">
                  <c:v>0.12087434073037971</c:v>
                </c:pt>
                <c:pt idx="83">
                  <c:v>0.12089194307908858</c:v>
                </c:pt>
                <c:pt idx="84">
                  <c:v>0.1209102491076101</c:v>
                </c:pt>
                <c:pt idx="85">
                  <c:v>0.12092729239975129</c:v>
                </c:pt>
                <c:pt idx="86">
                  <c:v>0.12094420747324264</c:v>
                </c:pt>
                <c:pt idx="87">
                  <c:v>0.12096021162947357</c:v>
                </c:pt>
                <c:pt idx="88">
                  <c:v>0.12097662092087627</c:v>
                </c:pt>
                <c:pt idx="89">
                  <c:v>0.12099240473572977</c:v>
                </c:pt>
                <c:pt idx="90">
                  <c:v>0.12100831893192408</c:v>
                </c:pt>
                <c:pt idx="91">
                  <c:v>0.1210222118472476</c:v>
                </c:pt>
                <c:pt idx="92">
                  <c:v>0.12103744821679596</c:v>
                </c:pt>
                <c:pt idx="93">
                  <c:v>0.12105189038479054</c:v>
                </c:pt>
                <c:pt idx="94">
                  <c:v>0.12106557868345603</c:v>
                </c:pt>
                <c:pt idx="95">
                  <c:v>0.12107898542351173</c:v>
                </c:pt>
                <c:pt idx="96">
                  <c:v>0.12109297109923711</c:v>
                </c:pt>
                <c:pt idx="97">
                  <c:v>0.12110624008976806</c:v>
                </c:pt>
                <c:pt idx="98">
                  <c:v>0.12111923599210093</c:v>
                </c:pt>
                <c:pt idx="99">
                  <c:v>0.1211311665390121</c:v>
                </c:pt>
                <c:pt idx="100">
                  <c:v>0.1211440494286013</c:v>
                </c:pt>
                <c:pt idx="101">
                  <c:v>0.12115685903741628</c:v>
                </c:pt>
                <c:pt idx="102">
                  <c:v>0.12116883897384434</c:v>
                </c:pt>
                <c:pt idx="103">
                  <c:v>0.12117984554722082</c:v>
                </c:pt>
                <c:pt idx="104">
                  <c:v>0.12119174007906819</c:v>
                </c:pt>
                <c:pt idx="105">
                  <c:v>0.12120286602459891</c:v>
                </c:pt>
                <c:pt idx="106">
                  <c:v>0.12121395808482756</c:v>
                </c:pt>
                <c:pt idx="107">
                  <c:v>0.1212244988063953</c:v>
                </c:pt>
                <c:pt idx="108">
                  <c:v>0.12123535310049624</c:v>
                </c:pt>
                <c:pt idx="109">
                  <c:v>0.12124567367891287</c:v>
                </c:pt>
                <c:pt idx="110">
                  <c:v>0.1212562938000236</c:v>
                </c:pt>
                <c:pt idx="111">
                  <c:v>0.12126592032088651</c:v>
                </c:pt>
                <c:pt idx="112">
                  <c:v>0.12127600671886751</c:v>
                </c:pt>
                <c:pt idx="113">
                  <c:v>0.12128575699122889</c:v>
                </c:pt>
                <c:pt idx="114">
                  <c:v>0.1212953348660752</c:v>
                </c:pt>
                <c:pt idx="115">
                  <c:v>0.12130430052127988</c:v>
                </c:pt>
                <c:pt idx="116">
                  <c:v>0.12131384587953117</c:v>
                </c:pt>
                <c:pt idx="117">
                  <c:v>0.12132293562797121</c:v>
                </c:pt>
                <c:pt idx="118">
                  <c:v>0.12133187012609083</c:v>
                </c:pt>
                <c:pt idx="119">
                  <c:v>0.12134023844468485</c:v>
                </c:pt>
                <c:pt idx="120">
                  <c:v>0.12134915307226335</c:v>
                </c:pt>
                <c:pt idx="121">
                  <c:v>0.12135804816776932</c:v>
                </c:pt>
                <c:pt idx="122">
                  <c:v>0.12136639540975604</c:v>
                </c:pt>
                <c:pt idx="123">
                  <c:v>0.12137395924161033</c:v>
                </c:pt>
                <c:pt idx="124">
                  <c:v>0.12138230148854567</c:v>
                </c:pt>
                <c:pt idx="125">
                  <c:v>0.12139063018224593</c:v>
                </c:pt>
                <c:pt idx="126">
                  <c:v>0.12139820387031922</c:v>
                </c:pt>
                <c:pt idx="127">
                  <c:v>0.12140566121868858</c:v>
                </c:pt>
                <c:pt idx="128">
                  <c:v>0.12141348253052206</c:v>
                </c:pt>
                <c:pt idx="129">
                  <c:v>0.12142082544127344</c:v>
                </c:pt>
                <c:pt idx="130">
                  <c:v>0.12142817209738736</c:v>
                </c:pt>
                <c:pt idx="131">
                  <c:v>0.12143517786775368</c:v>
                </c:pt>
                <c:pt idx="132">
                  <c:v>0.12144241691250647</c:v>
                </c:pt>
                <c:pt idx="133">
                  <c:v>0.12145634577105889</c:v>
                </c:pt>
                <c:pt idx="134">
                  <c:v>0.12146975642842052</c:v>
                </c:pt>
                <c:pt idx="135">
                  <c:v>0.1214828813972245</c:v>
                </c:pt>
                <c:pt idx="136">
                  <c:v>0.12149542933080461</c:v>
                </c:pt>
                <c:pt idx="137">
                  <c:v>0.12150782085728758</c:v>
                </c:pt>
                <c:pt idx="138">
                  <c:v>0.12151967725475281</c:v>
                </c:pt>
                <c:pt idx="139">
                  <c:v>0.12153148685005542</c:v>
                </c:pt>
                <c:pt idx="140">
                  <c:v>0.12154279415029962</c:v>
                </c:pt>
                <c:pt idx="141">
                  <c:v>0.12155414760563446</c:v>
                </c:pt>
                <c:pt idx="142">
                  <c:v>0.12156485531103164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DB-A743-8766-569B1025F134}"/>
            </c:ext>
          </c:extLst>
        </c:ser>
        <c:ser>
          <c:idx val="2"/>
          <c:order val="1"/>
          <c:tx>
            <c:strRef>
              <c:f>Simulador!$I$4</c:f>
              <c:strCache>
                <c:ptCount val="1"/>
                <c:pt idx="0">
                  <c:v>Pré Simulada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Simulador!$B$5:$B$147</c:f>
              <c:numCache>
                <c:formatCode>m/d/yy</c:formatCode>
                <c:ptCount val="143"/>
                <c:pt idx="0">
                  <c:v>44881</c:v>
                </c:pt>
                <c:pt idx="1">
                  <c:v>44972</c:v>
                </c:pt>
                <c:pt idx="2">
                  <c:v>45000</c:v>
                </c:pt>
                <c:pt idx="3">
                  <c:v>45061</c:v>
                </c:pt>
                <c:pt idx="4">
                  <c:v>45153</c:v>
                </c:pt>
                <c:pt idx="5">
                  <c:v>45246</c:v>
                </c:pt>
                <c:pt idx="6">
                  <c:v>45337</c:v>
                </c:pt>
                <c:pt idx="7">
                  <c:v>45427</c:v>
                </c:pt>
                <c:pt idx="8">
                  <c:v>45519</c:v>
                </c:pt>
                <c:pt idx="9">
                  <c:v>45614</c:v>
                </c:pt>
                <c:pt idx="10">
                  <c:v>45705</c:v>
                </c:pt>
                <c:pt idx="11">
                  <c:v>45792</c:v>
                </c:pt>
                <c:pt idx="12">
                  <c:v>45884</c:v>
                </c:pt>
                <c:pt idx="13">
                  <c:v>45978</c:v>
                </c:pt>
                <c:pt idx="14">
                  <c:v>46071</c:v>
                </c:pt>
                <c:pt idx="15">
                  <c:v>46157</c:v>
                </c:pt>
                <c:pt idx="16">
                  <c:v>46251</c:v>
                </c:pt>
                <c:pt idx="17">
                  <c:v>46342</c:v>
                </c:pt>
                <c:pt idx="18">
                  <c:v>46433</c:v>
                </c:pt>
                <c:pt idx="19">
                  <c:v>46524</c:v>
                </c:pt>
                <c:pt idx="20">
                  <c:v>46615</c:v>
                </c:pt>
                <c:pt idx="21">
                  <c:v>46707</c:v>
                </c:pt>
                <c:pt idx="22">
                  <c:v>46798</c:v>
                </c:pt>
                <c:pt idx="23">
                  <c:v>46888</c:v>
                </c:pt>
                <c:pt idx="24">
                  <c:v>46980</c:v>
                </c:pt>
                <c:pt idx="25">
                  <c:v>47073</c:v>
                </c:pt>
                <c:pt idx="26">
                  <c:v>47164</c:v>
                </c:pt>
                <c:pt idx="27">
                  <c:v>47253</c:v>
                </c:pt>
                <c:pt idx="28">
                  <c:v>47345</c:v>
                </c:pt>
                <c:pt idx="29">
                  <c:v>47438</c:v>
                </c:pt>
                <c:pt idx="30">
                  <c:v>47529</c:v>
                </c:pt>
                <c:pt idx="31">
                  <c:v>47618</c:v>
                </c:pt>
                <c:pt idx="32">
                  <c:v>47710</c:v>
                </c:pt>
                <c:pt idx="33">
                  <c:v>47805</c:v>
                </c:pt>
                <c:pt idx="34">
                  <c:v>47896</c:v>
                </c:pt>
                <c:pt idx="35">
                  <c:v>47983</c:v>
                </c:pt>
                <c:pt idx="36">
                  <c:v>48075</c:v>
                </c:pt>
                <c:pt idx="37">
                  <c:v>48169</c:v>
                </c:pt>
                <c:pt idx="38">
                  <c:v>48260</c:v>
                </c:pt>
                <c:pt idx="39">
                  <c:v>48351</c:v>
                </c:pt>
                <c:pt idx="40">
                  <c:v>48442</c:v>
                </c:pt>
                <c:pt idx="41">
                  <c:v>48534</c:v>
                </c:pt>
                <c:pt idx="42">
                  <c:v>48625</c:v>
                </c:pt>
                <c:pt idx="43">
                  <c:v>48715</c:v>
                </c:pt>
                <c:pt idx="44">
                  <c:v>48806</c:v>
                </c:pt>
                <c:pt idx="45">
                  <c:v>48899</c:v>
                </c:pt>
                <c:pt idx="46">
                  <c:v>48990</c:v>
                </c:pt>
                <c:pt idx="47">
                  <c:v>49079</c:v>
                </c:pt>
                <c:pt idx="48">
                  <c:v>49171</c:v>
                </c:pt>
                <c:pt idx="49">
                  <c:v>49264</c:v>
                </c:pt>
                <c:pt idx="50">
                  <c:v>49355</c:v>
                </c:pt>
                <c:pt idx="51">
                  <c:v>49444</c:v>
                </c:pt>
                <c:pt idx="52">
                  <c:v>49536</c:v>
                </c:pt>
                <c:pt idx="53">
                  <c:v>49629</c:v>
                </c:pt>
                <c:pt idx="54">
                  <c:v>49720</c:v>
                </c:pt>
                <c:pt idx="55">
                  <c:v>49810</c:v>
                </c:pt>
                <c:pt idx="56">
                  <c:v>49902</c:v>
                </c:pt>
                <c:pt idx="57">
                  <c:v>49996</c:v>
                </c:pt>
                <c:pt idx="58">
                  <c:v>50089</c:v>
                </c:pt>
                <c:pt idx="59">
                  <c:v>50175</c:v>
                </c:pt>
                <c:pt idx="60">
                  <c:v>50269</c:v>
                </c:pt>
                <c:pt idx="61">
                  <c:v>50360</c:v>
                </c:pt>
                <c:pt idx="62">
                  <c:v>50451</c:v>
                </c:pt>
                <c:pt idx="63">
                  <c:v>50542</c:v>
                </c:pt>
                <c:pt idx="64">
                  <c:v>50633</c:v>
                </c:pt>
                <c:pt idx="65">
                  <c:v>50725</c:v>
                </c:pt>
                <c:pt idx="66">
                  <c:v>50816</c:v>
                </c:pt>
                <c:pt idx="67">
                  <c:v>50906</c:v>
                </c:pt>
                <c:pt idx="68">
                  <c:v>50997</c:v>
                </c:pt>
                <c:pt idx="69">
                  <c:v>51090</c:v>
                </c:pt>
                <c:pt idx="70">
                  <c:v>51181</c:v>
                </c:pt>
                <c:pt idx="71">
                  <c:v>51271</c:v>
                </c:pt>
                <c:pt idx="72">
                  <c:v>51363</c:v>
                </c:pt>
                <c:pt idx="73">
                  <c:v>51456</c:v>
                </c:pt>
                <c:pt idx="74">
                  <c:v>51547</c:v>
                </c:pt>
                <c:pt idx="75">
                  <c:v>51636</c:v>
                </c:pt>
                <c:pt idx="76">
                  <c:v>51728</c:v>
                </c:pt>
                <c:pt idx="77">
                  <c:v>51823</c:v>
                </c:pt>
                <c:pt idx="78">
                  <c:v>51916</c:v>
                </c:pt>
                <c:pt idx="79">
                  <c:v>52001</c:v>
                </c:pt>
                <c:pt idx="80">
                  <c:v>52093</c:v>
                </c:pt>
                <c:pt idx="81">
                  <c:v>52187</c:v>
                </c:pt>
                <c:pt idx="82">
                  <c:v>52278</c:v>
                </c:pt>
                <c:pt idx="83">
                  <c:v>52366</c:v>
                </c:pt>
                <c:pt idx="84">
                  <c:v>52460</c:v>
                </c:pt>
                <c:pt idx="85">
                  <c:v>52551</c:v>
                </c:pt>
                <c:pt idx="86">
                  <c:v>52642</c:v>
                </c:pt>
                <c:pt idx="87">
                  <c:v>52733</c:v>
                </c:pt>
                <c:pt idx="88">
                  <c:v>52824</c:v>
                </c:pt>
                <c:pt idx="89">
                  <c:v>52917</c:v>
                </c:pt>
                <c:pt idx="90">
                  <c:v>53008</c:v>
                </c:pt>
                <c:pt idx="91">
                  <c:v>53097</c:v>
                </c:pt>
                <c:pt idx="92">
                  <c:v>53189</c:v>
                </c:pt>
                <c:pt idx="93">
                  <c:v>53282</c:v>
                </c:pt>
                <c:pt idx="94">
                  <c:v>53373</c:v>
                </c:pt>
                <c:pt idx="95">
                  <c:v>53462</c:v>
                </c:pt>
                <c:pt idx="96">
                  <c:v>53554</c:v>
                </c:pt>
                <c:pt idx="97">
                  <c:v>53647</c:v>
                </c:pt>
                <c:pt idx="98">
                  <c:v>53738</c:v>
                </c:pt>
                <c:pt idx="99">
                  <c:v>53827</c:v>
                </c:pt>
                <c:pt idx="100">
                  <c:v>53919</c:v>
                </c:pt>
                <c:pt idx="101">
                  <c:v>54014</c:v>
                </c:pt>
                <c:pt idx="102">
                  <c:v>54107</c:v>
                </c:pt>
                <c:pt idx="103">
                  <c:v>54193</c:v>
                </c:pt>
                <c:pt idx="104">
                  <c:v>54287</c:v>
                </c:pt>
                <c:pt idx="105">
                  <c:v>54378</c:v>
                </c:pt>
                <c:pt idx="106">
                  <c:v>54469</c:v>
                </c:pt>
                <c:pt idx="107">
                  <c:v>54560</c:v>
                </c:pt>
                <c:pt idx="108">
                  <c:v>54651</c:v>
                </c:pt>
                <c:pt idx="109">
                  <c:v>54743</c:v>
                </c:pt>
                <c:pt idx="110">
                  <c:v>54834</c:v>
                </c:pt>
                <c:pt idx="111">
                  <c:v>54924</c:v>
                </c:pt>
                <c:pt idx="112">
                  <c:v>55015</c:v>
                </c:pt>
                <c:pt idx="113">
                  <c:v>55108</c:v>
                </c:pt>
                <c:pt idx="114">
                  <c:v>55199</c:v>
                </c:pt>
                <c:pt idx="115">
                  <c:v>55288</c:v>
                </c:pt>
                <c:pt idx="116">
                  <c:v>55380</c:v>
                </c:pt>
                <c:pt idx="117">
                  <c:v>55473</c:v>
                </c:pt>
                <c:pt idx="118">
                  <c:v>55564</c:v>
                </c:pt>
                <c:pt idx="119">
                  <c:v>55654</c:v>
                </c:pt>
                <c:pt idx="120">
                  <c:v>55746</c:v>
                </c:pt>
                <c:pt idx="121">
                  <c:v>55841</c:v>
                </c:pt>
                <c:pt idx="122">
                  <c:v>55934</c:v>
                </c:pt>
                <c:pt idx="123">
                  <c:v>56019</c:v>
                </c:pt>
                <c:pt idx="124">
                  <c:v>56111</c:v>
                </c:pt>
                <c:pt idx="125">
                  <c:v>56205</c:v>
                </c:pt>
                <c:pt idx="126">
                  <c:v>56296</c:v>
                </c:pt>
                <c:pt idx="127">
                  <c:v>56384</c:v>
                </c:pt>
                <c:pt idx="128">
                  <c:v>56478</c:v>
                </c:pt>
                <c:pt idx="129">
                  <c:v>56569</c:v>
                </c:pt>
                <c:pt idx="130">
                  <c:v>56660</c:v>
                </c:pt>
                <c:pt idx="131">
                  <c:v>56751</c:v>
                </c:pt>
                <c:pt idx="132">
                  <c:v>56842</c:v>
                </c:pt>
                <c:pt idx="133">
                  <c:v>57026</c:v>
                </c:pt>
                <c:pt idx="134">
                  <c:v>57207</c:v>
                </c:pt>
                <c:pt idx="135">
                  <c:v>57391</c:v>
                </c:pt>
                <c:pt idx="136">
                  <c:v>57572</c:v>
                </c:pt>
                <c:pt idx="137">
                  <c:v>57756</c:v>
                </c:pt>
                <c:pt idx="138">
                  <c:v>57937</c:v>
                </c:pt>
                <c:pt idx="139">
                  <c:v>58123</c:v>
                </c:pt>
                <c:pt idx="140">
                  <c:v>58302</c:v>
                </c:pt>
                <c:pt idx="141">
                  <c:v>58487</c:v>
                </c:pt>
                <c:pt idx="142">
                  <c:v>58669</c:v>
                </c:pt>
              </c:numCache>
            </c:numRef>
          </c:cat>
          <c:val>
            <c:numRef>
              <c:f>Simulador!$I$5:$I$147</c:f>
              <c:numCache>
                <c:formatCode>0.00%</c:formatCode>
                <c:ptCount val="143"/>
                <c:pt idx="0">
                  <c:v>0.13709542415198134</c:v>
                </c:pt>
                <c:pt idx="1">
                  <c:v>0.13824476901041258</c:v>
                </c:pt>
                <c:pt idx="2">
                  <c:v>0.13794751957277054</c:v>
                </c:pt>
                <c:pt idx="3">
                  <c:v>0.1367085106174083</c:v>
                </c:pt>
                <c:pt idx="4">
                  <c:v>0.13372890379553737</c:v>
                </c:pt>
                <c:pt idx="5">
                  <c:v>0.13048300825828854</c:v>
                </c:pt>
                <c:pt idx="6">
                  <c:v>0.12747368770436204</c:v>
                </c:pt>
                <c:pt idx="7">
                  <c:v>0.12477200252598092</c:v>
                </c:pt>
                <c:pt idx="8">
                  <c:v>0.12241457710811354</c:v>
                </c:pt>
                <c:pt idx="9">
                  <c:v>0.1205205679154658</c:v>
                </c:pt>
                <c:pt idx="10">
                  <c:v>0.11913959507080539</c:v>
                </c:pt>
                <c:pt idx="11">
                  <c:v>0.11818582291207119</c:v>
                </c:pt>
                <c:pt idx="12">
                  <c:v>0.11741710508794967</c:v>
                </c:pt>
                <c:pt idx="13">
                  <c:v>0.11689729255746713</c:v>
                </c:pt>
                <c:pt idx="14">
                  <c:v>0.11659182503244317</c:v>
                </c:pt>
                <c:pt idx="15">
                  <c:v>0.11643527123250733</c:v>
                </c:pt>
                <c:pt idx="16">
                  <c:v>0.11637191467183143</c:v>
                </c:pt>
                <c:pt idx="17">
                  <c:v>0.11639008955215797</c:v>
                </c:pt>
                <c:pt idx="18">
                  <c:v>0.11646160743294708</c:v>
                </c:pt>
                <c:pt idx="19">
                  <c:v>0.11657438368857059</c:v>
                </c:pt>
                <c:pt idx="20">
                  <c:v>0.11671586421546679</c:v>
                </c:pt>
                <c:pt idx="21">
                  <c:v>0.11686894003503029</c:v>
                </c:pt>
                <c:pt idx="22">
                  <c:v>0.11703860353993888</c:v>
                </c:pt>
                <c:pt idx="23">
                  <c:v>0.11719588464999479</c:v>
                </c:pt>
                <c:pt idx="24">
                  <c:v>0.11736890213289761</c:v>
                </c:pt>
                <c:pt idx="25">
                  <c:v>0.11753368327278076</c:v>
                </c:pt>
                <c:pt idx="26">
                  <c:v>0.11768880617970637</c:v>
                </c:pt>
                <c:pt idx="27">
                  <c:v>0.1178385328920409</c:v>
                </c:pt>
                <c:pt idx="28">
                  <c:v>0.11799146123194351</c:v>
                </c:pt>
                <c:pt idx="29">
                  <c:v>0.1181328379826086</c:v>
                </c:pt>
                <c:pt idx="30">
                  <c:v>0.11826738921135904</c:v>
                </c:pt>
                <c:pt idx="31">
                  <c:v>0.11838727903530923</c:v>
                </c:pt>
                <c:pt idx="32">
                  <c:v>0.11851270064571921</c:v>
                </c:pt>
                <c:pt idx="33">
                  <c:v>0.11863319273641666</c:v>
                </c:pt>
                <c:pt idx="34">
                  <c:v>0.1187420783777112</c:v>
                </c:pt>
                <c:pt idx="35">
                  <c:v>0.11883731211931328</c:v>
                </c:pt>
                <c:pt idx="36">
                  <c:v>0.11893865889866469</c:v>
                </c:pt>
                <c:pt idx="37">
                  <c:v>0.11903610157038018</c:v>
                </c:pt>
                <c:pt idx="38">
                  <c:v>0.11912158088679581</c:v>
                </c:pt>
                <c:pt idx="39">
                  <c:v>0.11920554230632582</c:v>
                </c:pt>
                <c:pt idx="40">
                  <c:v>0.11928663253884547</c:v>
                </c:pt>
                <c:pt idx="41">
                  <c:v>0.11936141271582239</c:v>
                </c:pt>
                <c:pt idx="42">
                  <c:v>0.11943608482042488</c:v>
                </c:pt>
                <c:pt idx="43">
                  <c:v>0.11950184550850161</c:v>
                </c:pt>
                <c:pt idx="44">
                  <c:v>0.11956885530821211</c:v>
                </c:pt>
                <c:pt idx="45">
                  <c:v>0.11963185756408813</c:v>
                </c:pt>
                <c:pt idx="46">
                  <c:v>0.11969397895680058</c:v>
                </c:pt>
                <c:pt idx="47">
                  <c:v>0.11974709192095902</c:v>
                </c:pt>
                <c:pt idx="48">
                  <c:v>0.11980417582365722</c:v>
                </c:pt>
                <c:pt idx="49">
                  <c:v>0.11985718969671773</c:v>
                </c:pt>
                <c:pt idx="50">
                  <c:v>0.1199064799245569</c:v>
                </c:pt>
                <c:pt idx="51">
                  <c:v>0.11995387783157511</c:v>
                </c:pt>
                <c:pt idx="52">
                  <c:v>0.12000242022926019</c:v>
                </c:pt>
                <c:pt idx="53">
                  <c:v>0.12004764540153573</c:v>
                </c:pt>
                <c:pt idx="54">
                  <c:v>0.1200911767032468</c:v>
                </c:pt>
                <c:pt idx="55">
                  <c:v>0.12013049074279633</c:v>
                </c:pt>
                <c:pt idx="56">
                  <c:v>0.12017226232074725</c:v>
                </c:pt>
                <c:pt idx="57">
                  <c:v>0.12021311213738863</c:v>
                </c:pt>
                <c:pt idx="58">
                  <c:v>0.1202507133679222</c:v>
                </c:pt>
                <c:pt idx="59">
                  <c:v>0.12028475749761516</c:v>
                </c:pt>
                <c:pt idx="60">
                  <c:v>0.12032101936210414</c:v>
                </c:pt>
                <c:pt idx="61">
                  <c:v>0.12035445137264894</c:v>
                </c:pt>
                <c:pt idx="62">
                  <c:v>0.12038732306130104</c:v>
                </c:pt>
                <c:pt idx="63">
                  <c:v>0.12041814511225046</c:v>
                </c:pt>
                <c:pt idx="64">
                  <c:v>0.12044946906148286</c:v>
                </c:pt>
                <c:pt idx="65">
                  <c:v>0.12047886973194637</c:v>
                </c:pt>
                <c:pt idx="66">
                  <c:v>0.12050874137297377</c:v>
                </c:pt>
                <c:pt idx="67">
                  <c:v>0.12053548931732623</c:v>
                </c:pt>
                <c:pt idx="68">
                  <c:v>0.12056318553647621</c:v>
                </c:pt>
                <c:pt idx="69">
                  <c:v>0.1205896438384781</c:v>
                </c:pt>
                <c:pt idx="70">
                  <c:v>0.12061533809566234</c:v>
                </c:pt>
                <c:pt idx="71">
                  <c:v>0.12063991024420911</c:v>
                </c:pt>
                <c:pt idx="72">
                  <c:v>0.12066494275144943</c:v>
                </c:pt>
                <c:pt idx="73">
                  <c:v>0.1206885229680944</c:v>
                </c:pt>
                <c:pt idx="74">
                  <c:v>0.12071145956042587</c:v>
                </c:pt>
                <c:pt idx="75">
                  <c:v>0.1207323793302393</c:v>
                </c:pt>
                <c:pt idx="76">
                  <c:v>0.12075482363669565</c:v>
                </c:pt>
                <c:pt idx="77">
                  <c:v>0.12077699207511866</c:v>
                </c:pt>
                <c:pt idx="78">
                  <c:v>0.12079759224187531</c:v>
                </c:pt>
                <c:pt idx="79">
                  <c:v>0.12081609173336634</c:v>
                </c:pt>
                <c:pt idx="80">
                  <c:v>0.12083631311140945</c:v>
                </c:pt>
                <c:pt idx="81">
                  <c:v>0.12085631382413267</c:v>
                </c:pt>
                <c:pt idx="82">
                  <c:v>0.12087434073037971</c:v>
                </c:pt>
                <c:pt idx="83">
                  <c:v>0.12089194307908858</c:v>
                </c:pt>
                <c:pt idx="84">
                  <c:v>0.1209102491076101</c:v>
                </c:pt>
                <c:pt idx="85">
                  <c:v>0.12092729239975129</c:v>
                </c:pt>
                <c:pt idx="86">
                  <c:v>0.12094420747324264</c:v>
                </c:pt>
                <c:pt idx="87">
                  <c:v>0.12096021162947357</c:v>
                </c:pt>
                <c:pt idx="88">
                  <c:v>0.12097662092087627</c:v>
                </c:pt>
                <c:pt idx="89">
                  <c:v>0.12099240473572977</c:v>
                </c:pt>
                <c:pt idx="90">
                  <c:v>0.12100831893192408</c:v>
                </c:pt>
                <c:pt idx="91">
                  <c:v>0.1210222118472476</c:v>
                </c:pt>
                <c:pt idx="92">
                  <c:v>0.12103744821679596</c:v>
                </c:pt>
                <c:pt idx="93">
                  <c:v>0.12105189038479054</c:v>
                </c:pt>
                <c:pt idx="94">
                  <c:v>0.12106557868345603</c:v>
                </c:pt>
                <c:pt idx="95">
                  <c:v>0.12107898542351173</c:v>
                </c:pt>
                <c:pt idx="96">
                  <c:v>0.12109297109923711</c:v>
                </c:pt>
                <c:pt idx="97">
                  <c:v>0.12110624008976806</c:v>
                </c:pt>
                <c:pt idx="98">
                  <c:v>0.12111923599210093</c:v>
                </c:pt>
                <c:pt idx="99">
                  <c:v>0.1211311665390121</c:v>
                </c:pt>
                <c:pt idx="100">
                  <c:v>0.1211440494286013</c:v>
                </c:pt>
                <c:pt idx="101">
                  <c:v>0.12115685903741628</c:v>
                </c:pt>
                <c:pt idx="102">
                  <c:v>0.12116883897384434</c:v>
                </c:pt>
                <c:pt idx="103">
                  <c:v>0.12117984554722082</c:v>
                </c:pt>
                <c:pt idx="104">
                  <c:v>0.12119174007906819</c:v>
                </c:pt>
                <c:pt idx="105">
                  <c:v>0.12120286602459891</c:v>
                </c:pt>
                <c:pt idx="106">
                  <c:v>0.12121395808482756</c:v>
                </c:pt>
                <c:pt idx="107">
                  <c:v>0.1212244988063953</c:v>
                </c:pt>
                <c:pt idx="108">
                  <c:v>0.12123535310049624</c:v>
                </c:pt>
                <c:pt idx="109">
                  <c:v>0.12124567367891287</c:v>
                </c:pt>
                <c:pt idx="110">
                  <c:v>0.1212562938000236</c:v>
                </c:pt>
                <c:pt idx="111">
                  <c:v>0.12126592032088651</c:v>
                </c:pt>
                <c:pt idx="112">
                  <c:v>0.12127600671886751</c:v>
                </c:pt>
                <c:pt idx="113">
                  <c:v>0.12128575699122889</c:v>
                </c:pt>
                <c:pt idx="114">
                  <c:v>0.1212953348660752</c:v>
                </c:pt>
                <c:pt idx="115">
                  <c:v>0.12130430052127988</c:v>
                </c:pt>
                <c:pt idx="116">
                  <c:v>0.12131384587953117</c:v>
                </c:pt>
                <c:pt idx="117">
                  <c:v>0.12132293562797121</c:v>
                </c:pt>
                <c:pt idx="118">
                  <c:v>0.12133187012609083</c:v>
                </c:pt>
                <c:pt idx="119">
                  <c:v>0.12134023844468485</c:v>
                </c:pt>
                <c:pt idx="120">
                  <c:v>0.12134915307226335</c:v>
                </c:pt>
                <c:pt idx="121">
                  <c:v>0.12135804816776932</c:v>
                </c:pt>
                <c:pt idx="122">
                  <c:v>0.12136639540975604</c:v>
                </c:pt>
                <c:pt idx="123">
                  <c:v>0.12137395924161033</c:v>
                </c:pt>
                <c:pt idx="124">
                  <c:v>0.12138230148854567</c:v>
                </c:pt>
                <c:pt idx="125">
                  <c:v>0.12139063018224593</c:v>
                </c:pt>
                <c:pt idx="126">
                  <c:v>0.12139820387031922</c:v>
                </c:pt>
                <c:pt idx="127">
                  <c:v>0.12140566121868858</c:v>
                </c:pt>
                <c:pt idx="128">
                  <c:v>0.12141348253052206</c:v>
                </c:pt>
                <c:pt idx="129">
                  <c:v>0.12142082544127344</c:v>
                </c:pt>
                <c:pt idx="130">
                  <c:v>0.12142817209738736</c:v>
                </c:pt>
                <c:pt idx="131">
                  <c:v>0.12143517786775368</c:v>
                </c:pt>
                <c:pt idx="132">
                  <c:v>0.12144241691250647</c:v>
                </c:pt>
                <c:pt idx="133">
                  <c:v>0.12145634577105889</c:v>
                </c:pt>
                <c:pt idx="134">
                  <c:v>0.12146975642842052</c:v>
                </c:pt>
                <c:pt idx="135">
                  <c:v>0.1214828813972245</c:v>
                </c:pt>
                <c:pt idx="136">
                  <c:v>0.12149542933080461</c:v>
                </c:pt>
                <c:pt idx="137">
                  <c:v>0.12150782085728758</c:v>
                </c:pt>
                <c:pt idx="138">
                  <c:v>0.12151967725475281</c:v>
                </c:pt>
                <c:pt idx="139">
                  <c:v>0.12153148685005542</c:v>
                </c:pt>
                <c:pt idx="140">
                  <c:v>0.12154279415029962</c:v>
                </c:pt>
                <c:pt idx="141">
                  <c:v>0.12155414760563446</c:v>
                </c:pt>
                <c:pt idx="142">
                  <c:v>0.12156485531103164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DB-A743-8766-569B1025F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9059567"/>
        <c:axId val="1679061215"/>
      </c:lineChart>
      <c:dateAx>
        <c:axId val="1679059567"/>
        <c:scaling>
          <c:orientation val="minMax"/>
        </c:scaling>
        <c:delete val="0"/>
        <c:axPos val="b"/>
        <c:numFmt formatCode="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79061215"/>
        <c:crosses val="autoZero"/>
        <c:auto val="1"/>
        <c:lblOffset val="100"/>
        <c:baseTimeUnit val="months"/>
        <c:majorUnit val="60"/>
        <c:majorTimeUnit val="months"/>
      </c:dateAx>
      <c:valAx>
        <c:axId val="1679061215"/>
        <c:scaling>
          <c:orientation val="minMax"/>
          <c:min val="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solidFill>
              <a:srgbClr val="00206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79059567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604020202020204" pitchFamily="34" charset="0"/>
                <a:ea typeface="+mn-ea"/>
                <a:cs typeface="Arial Black" panose="020B0604020202020204" pitchFamily="34" charset="0"/>
              </a:defRPr>
            </a:pPr>
            <a:r>
              <a:rPr lang="en-US" sz="2000" b="1" i="0">
                <a:latin typeface="Arial Black" panose="020B0604020202020204" pitchFamily="34" charset="0"/>
                <a:cs typeface="Arial Black" panose="020B0604020202020204" pitchFamily="34" charset="0"/>
              </a:rPr>
              <a:t>ETTJ Real Mercado vs Simulada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604020202020204" pitchFamily="34" charset="0"/>
              <a:ea typeface="+mn-ea"/>
              <a:cs typeface="Arial Black" panose="020B0604020202020204" pitchFamily="34" charset="0"/>
            </a:defRPr>
          </a:pPr>
          <a:endParaRPr lang="en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Simulador!$J$4</c:f>
              <c:strCache>
                <c:ptCount val="1"/>
                <c:pt idx="0">
                  <c:v>Real Mercado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Simulador!$B$5:$B$147</c:f>
              <c:numCache>
                <c:formatCode>m/d/yy</c:formatCode>
                <c:ptCount val="143"/>
                <c:pt idx="0">
                  <c:v>44881</c:v>
                </c:pt>
                <c:pt idx="1">
                  <c:v>44972</c:v>
                </c:pt>
                <c:pt idx="2">
                  <c:v>45000</c:v>
                </c:pt>
                <c:pt idx="3">
                  <c:v>45061</c:v>
                </c:pt>
                <c:pt idx="4">
                  <c:v>45153</c:v>
                </c:pt>
                <c:pt idx="5">
                  <c:v>45246</c:v>
                </c:pt>
                <c:pt idx="6">
                  <c:v>45337</c:v>
                </c:pt>
                <c:pt idx="7">
                  <c:v>45427</c:v>
                </c:pt>
                <c:pt idx="8">
                  <c:v>45519</c:v>
                </c:pt>
                <c:pt idx="9">
                  <c:v>45614</c:v>
                </c:pt>
                <c:pt idx="10">
                  <c:v>45705</c:v>
                </c:pt>
                <c:pt idx="11">
                  <c:v>45792</c:v>
                </c:pt>
                <c:pt idx="12">
                  <c:v>45884</c:v>
                </c:pt>
                <c:pt idx="13">
                  <c:v>45978</c:v>
                </c:pt>
                <c:pt idx="14">
                  <c:v>46071</c:v>
                </c:pt>
                <c:pt idx="15">
                  <c:v>46157</c:v>
                </c:pt>
                <c:pt idx="16">
                  <c:v>46251</c:v>
                </c:pt>
                <c:pt idx="17">
                  <c:v>46342</c:v>
                </c:pt>
                <c:pt idx="18">
                  <c:v>46433</c:v>
                </c:pt>
                <c:pt idx="19">
                  <c:v>46524</c:v>
                </c:pt>
                <c:pt idx="20">
                  <c:v>46615</c:v>
                </c:pt>
                <c:pt idx="21">
                  <c:v>46707</c:v>
                </c:pt>
                <c:pt idx="22">
                  <c:v>46798</c:v>
                </c:pt>
                <c:pt idx="23">
                  <c:v>46888</c:v>
                </c:pt>
                <c:pt idx="24">
                  <c:v>46980</c:v>
                </c:pt>
                <c:pt idx="25">
                  <c:v>47073</c:v>
                </c:pt>
                <c:pt idx="26">
                  <c:v>47164</c:v>
                </c:pt>
                <c:pt idx="27">
                  <c:v>47253</c:v>
                </c:pt>
                <c:pt idx="28">
                  <c:v>47345</c:v>
                </c:pt>
                <c:pt idx="29">
                  <c:v>47438</c:v>
                </c:pt>
                <c:pt idx="30">
                  <c:v>47529</c:v>
                </c:pt>
                <c:pt idx="31">
                  <c:v>47618</c:v>
                </c:pt>
                <c:pt idx="32">
                  <c:v>47710</c:v>
                </c:pt>
                <c:pt idx="33">
                  <c:v>47805</c:v>
                </c:pt>
                <c:pt idx="34">
                  <c:v>47896</c:v>
                </c:pt>
                <c:pt idx="35">
                  <c:v>47983</c:v>
                </c:pt>
                <c:pt idx="36">
                  <c:v>48075</c:v>
                </c:pt>
                <c:pt idx="37">
                  <c:v>48169</c:v>
                </c:pt>
                <c:pt idx="38">
                  <c:v>48260</c:v>
                </c:pt>
                <c:pt idx="39">
                  <c:v>48351</c:v>
                </c:pt>
                <c:pt idx="40">
                  <c:v>48442</c:v>
                </c:pt>
                <c:pt idx="41">
                  <c:v>48534</c:v>
                </c:pt>
                <c:pt idx="42">
                  <c:v>48625</c:v>
                </c:pt>
                <c:pt idx="43">
                  <c:v>48715</c:v>
                </c:pt>
                <c:pt idx="44">
                  <c:v>48806</c:v>
                </c:pt>
                <c:pt idx="45">
                  <c:v>48899</c:v>
                </c:pt>
                <c:pt idx="46">
                  <c:v>48990</c:v>
                </c:pt>
                <c:pt idx="47">
                  <c:v>49079</c:v>
                </c:pt>
                <c:pt idx="48">
                  <c:v>49171</c:v>
                </c:pt>
                <c:pt idx="49">
                  <c:v>49264</c:v>
                </c:pt>
                <c:pt idx="50">
                  <c:v>49355</c:v>
                </c:pt>
                <c:pt idx="51">
                  <c:v>49444</c:v>
                </c:pt>
                <c:pt idx="52">
                  <c:v>49536</c:v>
                </c:pt>
                <c:pt idx="53">
                  <c:v>49629</c:v>
                </c:pt>
                <c:pt idx="54">
                  <c:v>49720</c:v>
                </c:pt>
                <c:pt idx="55">
                  <c:v>49810</c:v>
                </c:pt>
                <c:pt idx="56">
                  <c:v>49902</c:v>
                </c:pt>
                <c:pt idx="57">
                  <c:v>49996</c:v>
                </c:pt>
                <c:pt idx="58">
                  <c:v>50089</c:v>
                </c:pt>
                <c:pt idx="59">
                  <c:v>50175</c:v>
                </c:pt>
                <c:pt idx="60">
                  <c:v>50269</c:v>
                </c:pt>
                <c:pt idx="61">
                  <c:v>50360</c:v>
                </c:pt>
                <c:pt idx="62">
                  <c:v>50451</c:v>
                </c:pt>
                <c:pt idx="63">
                  <c:v>50542</c:v>
                </c:pt>
                <c:pt idx="64">
                  <c:v>50633</c:v>
                </c:pt>
                <c:pt idx="65">
                  <c:v>50725</c:v>
                </c:pt>
                <c:pt idx="66">
                  <c:v>50816</c:v>
                </c:pt>
                <c:pt idx="67">
                  <c:v>50906</c:v>
                </c:pt>
                <c:pt idx="68">
                  <c:v>50997</c:v>
                </c:pt>
                <c:pt idx="69">
                  <c:v>51090</c:v>
                </c:pt>
                <c:pt idx="70">
                  <c:v>51181</c:v>
                </c:pt>
                <c:pt idx="71">
                  <c:v>51271</c:v>
                </c:pt>
                <c:pt idx="72">
                  <c:v>51363</c:v>
                </c:pt>
                <c:pt idx="73">
                  <c:v>51456</c:v>
                </c:pt>
                <c:pt idx="74">
                  <c:v>51547</c:v>
                </c:pt>
                <c:pt idx="75">
                  <c:v>51636</c:v>
                </c:pt>
                <c:pt idx="76">
                  <c:v>51728</c:v>
                </c:pt>
                <c:pt idx="77">
                  <c:v>51823</c:v>
                </c:pt>
                <c:pt idx="78">
                  <c:v>51916</c:v>
                </c:pt>
                <c:pt idx="79">
                  <c:v>52001</c:v>
                </c:pt>
                <c:pt idx="80">
                  <c:v>52093</c:v>
                </c:pt>
                <c:pt idx="81">
                  <c:v>52187</c:v>
                </c:pt>
                <c:pt idx="82">
                  <c:v>52278</c:v>
                </c:pt>
                <c:pt idx="83">
                  <c:v>52366</c:v>
                </c:pt>
                <c:pt idx="84">
                  <c:v>52460</c:v>
                </c:pt>
                <c:pt idx="85">
                  <c:v>52551</c:v>
                </c:pt>
                <c:pt idx="86">
                  <c:v>52642</c:v>
                </c:pt>
                <c:pt idx="87">
                  <c:v>52733</c:v>
                </c:pt>
                <c:pt idx="88">
                  <c:v>52824</c:v>
                </c:pt>
                <c:pt idx="89">
                  <c:v>52917</c:v>
                </c:pt>
                <c:pt idx="90">
                  <c:v>53008</c:v>
                </c:pt>
                <c:pt idx="91">
                  <c:v>53097</c:v>
                </c:pt>
                <c:pt idx="92">
                  <c:v>53189</c:v>
                </c:pt>
                <c:pt idx="93">
                  <c:v>53282</c:v>
                </c:pt>
                <c:pt idx="94">
                  <c:v>53373</c:v>
                </c:pt>
                <c:pt idx="95">
                  <c:v>53462</c:v>
                </c:pt>
                <c:pt idx="96">
                  <c:v>53554</c:v>
                </c:pt>
                <c:pt idx="97">
                  <c:v>53647</c:v>
                </c:pt>
                <c:pt idx="98">
                  <c:v>53738</c:v>
                </c:pt>
                <c:pt idx="99">
                  <c:v>53827</c:v>
                </c:pt>
                <c:pt idx="100">
                  <c:v>53919</c:v>
                </c:pt>
                <c:pt idx="101">
                  <c:v>54014</c:v>
                </c:pt>
                <c:pt idx="102">
                  <c:v>54107</c:v>
                </c:pt>
                <c:pt idx="103">
                  <c:v>54193</c:v>
                </c:pt>
                <c:pt idx="104">
                  <c:v>54287</c:v>
                </c:pt>
                <c:pt idx="105">
                  <c:v>54378</c:v>
                </c:pt>
                <c:pt idx="106">
                  <c:v>54469</c:v>
                </c:pt>
                <c:pt idx="107">
                  <c:v>54560</c:v>
                </c:pt>
                <c:pt idx="108">
                  <c:v>54651</c:v>
                </c:pt>
                <c:pt idx="109">
                  <c:v>54743</c:v>
                </c:pt>
                <c:pt idx="110">
                  <c:v>54834</c:v>
                </c:pt>
                <c:pt idx="111">
                  <c:v>54924</c:v>
                </c:pt>
                <c:pt idx="112">
                  <c:v>55015</c:v>
                </c:pt>
                <c:pt idx="113">
                  <c:v>55108</c:v>
                </c:pt>
                <c:pt idx="114">
                  <c:v>55199</c:v>
                </c:pt>
                <c:pt idx="115">
                  <c:v>55288</c:v>
                </c:pt>
                <c:pt idx="116">
                  <c:v>55380</c:v>
                </c:pt>
                <c:pt idx="117">
                  <c:v>55473</c:v>
                </c:pt>
                <c:pt idx="118">
                  <c:v>55564</c:v>
                </c:pt>
                <c:pt idx="119">
                  <c:v>55654</c:v>
                </c:pt>
                <c:pt idx="120">
                  <c:v>55746</c:v>
                </c:pt>
                <c:pt idx="121">
                  <c:v>55841</c:v>
                </c:pt>
                <c:pt idx="122">
                  <c:v>55934</c:v>
                </c:pt>
                <c:pt idx="123">
                  <c:v>56019</c:v>
                </c:pt>
                <c:pt idx="124">
                  <c:v>56111</c:v>
                </c:pt>
                <c:pt idx="125">
                  <c:v>56205</c:v>
                </c:pt>
                <c:pt idx="126">
                  <c:v>56296</c:v>
                </c:pt>
                <c:pt idx="127">
                  <c:v>56384</c:v>
                </c:pt>
                <c:pt idx="128">
                  <c:v>56478</c:v>
                </c:pt>
                <c:pt idx="129">
                  <c:v>56569</c:v>
                </c:pt>
                <c:pt idx="130">
                  <c:v>56660</c:v>
                </c:pt>
                <c:pt idx="131">
                  <c:v>56751</c:v>
                </c:pt>
                <c:pt idx="132">
                  <c:v>56842</c:v>
                </c:pt>
                <c:pt idx="133">
                  <c:v>57026</c:v>
                </c:pt>
                <c:pt idx="134">
                  <c:v>57207</c:v>
                </c:pt>
                <c:pt idx="135">
                  <c:v>57391</c:v>
                </c:pt>
                <c:pt idx="136">
                  <c:v>57572</c:v>
                </c:pt>
                <c:pt idx="137">
                  <c:v>57756</c:v>
                </c:pt>
                <c:pt idx="138">
                  <c:v>57937</c:v>
                </c:pt>
                <c:pt idx="139">
                  <c:v>58123</c:v>
                </c:pt>
                <c:pt idx="140">
                  <c:v>58302</c:v>
                </c:pt>
                <c:pt idx="141">
                  <c:v>58487</c:v>
                </c:pt>
                <c:pt idx="142">
                  <c:v>58669</c:v>
                </c:pt>
              </c:numCache>
            </c:numRef>
          </c:cat>
          <c:val>
            <c:numRef>
              <c:f>Simulador!$J$5:$J$147</c:f>
              <c:numCache>
                <c:formatCode>0.00%</c:formatCode>
                <c:ptCount val="143"/>
                <c:pt idx="0">
                  <c:v>9.4238501847281109E-2</c:v>
                </c:pt>
                <c:pt idx="1">
                  <c:v>8.8437815039086765E-2</c:v>
                </c:pt>
                <c:pt idx="2">
                  <c:v>8.6926612886886856E-2</c:v>
                </c:pt>
                <c:pt idx="3">
                  <c:v>8.3802406981866362E-2</c:v>
                </c:pt>
                <c:pt idx="4">
                  <c:v>7.9302041272826251E-2</c:v>
                </c:pt>
                <c:pt idx="5">
                  <c:v>7.5555946570935895E-2</c:v>
                </c:pt>
                <c:pt idx="6">
                  <c:v>7.2438747759168143E-2</c:v>
                </c:pt>
                <c:pt idx="7">
                  <c:v>6.9722414488002649E-2</c:v>
                </c:pt>
                <c:pt idx="8">
                  <c:v>6.730173834988129E-2</c:v>
                </c:pt>
                <c:pt idx="9">
                  <c:v>6.5232770467420487E-2</c:v>
                </c:pt>
                <c:pt idx="10">
                  <c:v>6.3573730880697621E-2</c:v>
                </c:pt>
                <c:pt idx="11">
                  <c:v>6.2283233879442124E-2</c:v>
                </c:pt>
                <c:pt idx="12">
                  <c:v>6.1070807198248644E-2</c:v>
                </c:pt>
                <c:pt idx="13">
                  <c:v>6.0071388550429816E-2</c:v>
                </c:pt>
                <c:pt idx="14">
                  <c:v>5.927838770503624E-2</c:v>
                </c:pt>
                <c:pt idx="15">
                  <c:v>5.8675502773394728E-2</c:v>
                </c:pt>
                <c:pt idx="16">
                  <c:v>5.8133069907817969E-2</c:v>
                </c:pt>
                <c:pt idx="17">
                  <c:v>5.7724810900317891E-2</c:v>
                </c:pt>
                <c:pt idx="18">
                  <c:v>5.7407981869316727E-2</c:v>
                </c:pt>
                <c:pt idx="19">
                  <c:v>5.715583461245699E-2</c:v>
                </c:pt>
                <c:pt idx="20">
                  <c:v>5.6968724466762044E-2</c:v>
                </c:pt>
                <c:pt idx="21">
                  <c:v>5.6839715309690009E-2</c:v>
                </c:pt>
                <c:pt idx="22">
                  <c:v>5.675390529669766E-2</c:v>
                </c:pt>
                <c:pt idx="23">
                  <c:v>5.6709240208270062E-2</c:v>
                </c:pt>
                <c:pt idx="24">
                  <c:v>5.6694932019935917E-2</c:v>
                </c:pt>
                <c:pt idx="25">
                  <c:v>5.6704466377620388E-2</c:v>
                </c:pt>
                <c:pt idx="26">
                  <c:v>5.6735781893983983E-2</c:v>
                </c:pt>
                <c:pt idx="27">
                  <c:v>5.6779566995880826E-2</c:v>
                </c:pt>
                <c:pt idx="28">
                  <c:v>5.6843208866909523E-2</c:v>
                </c:pt>
                <c:pt idx="29">
                  <c:v>5.6912256341070222E-2</c:v>
                </c:pt>
                <c:pt idx="30">
                  <c:v>5.699082751972151E-2</c:v>
                </c:pt>
                <c:pt idx="31">
                  <c:v>5.7066966659098606E-2</c:v>
                </c:pt>
                <c:pt idx="32">
                  <c:v>5.7156852715572137E-2</c:v>
                </c:pt>
                <c:pt idx="33">
                  <c:v>5.7248282474742007E-2</c:v>
                </c:pt>
                <c:pt idx="34">
                  <c:v>5.7337312092009096E-2</c:v>
                </c:pt>
                <c:pt idx="35">
                  <c:v>5.7417931184525317E-2</c:v>
                </c:pt>
                <c:pt idx="36">
                  <c:v>5.7508281745383361E-2</c:v>
                </c:pt>
                <c:pt idx="37">
                  <c:v>5.7597092218049317E-2</c:v>
                </c:pt>
                <c:pt idx="38">
                  <c:v>5.7677395986454938E-2</c:v>
                </c:pt>
                <c:pt idx="39">
                  <c:v>5.7757126301591022E-2</c:v>
                </c:pt>
                <c:pt idx="40">
                  <c:v>5.7835355150152479E-2</c:v>
                </c:pt>
                <c:pt idx="41">
                  <c:v>5.7907633774759049E-2</c:v>
                </c:pt>
                <c:pt idx="42">
                  <c:v>5.7980046197837254E-2</c:v>
                </c:pt>
                <c:pt idx="43">
                  <c:v>5.8043456490650902E-2</c:v>
                </c:pt>
                <c:pt idx="44">
                  <c:v>5.810761154270061E-2</c:v>
                </c:pt>
                <c:pt idx="45">
                  <c:v>5.8167204978008868E-2</c:v>
                </c:pt>
                <c:pt idx="46">
                  <c:v>5.8225008086649765E-2</c:v>
                </c:pt>
                <c:pt idx="47">
                  <c:v>5.8273585043413068E-2</c:v>
                </c:pt>
                <c:pt idx="48">
                  <c:v>5.8324492388269089E-2</c:v>
                </c:pt>
                <c:pt idx="49">
                  <c:v>5.8370732786934276E-2</c:v>
                </c:pt>
                <c:pt idx="50">
                  <c:v>5.8412328241514766E-2</c:v>
                </c:pt>
                <c:pt idx="51">
                  <c:v>5.845140132792781E-2</c:v>
                </c:pt>
                <c:pt idx="52">
                  <c:v>5.8489706848831924E-2</c:v>
                </c:pt>
                <c:pt idx="53">
                  <c:v>5.8524380683759647E-2</c:v>
                </c:pt>
                <c:pt idx="54">
                  <c:v>5.8556139186790812E-2</c:v>
                </c:pt>
                <c:pt idx="55">
                  <c:v>5.8583997211028471E-2</c:v>
                </c:pt>
                <c:pt idx="56">
                  <c:v>5.8611859295576219E-2</c:v>
                </c:pt>
                <c:pt idx="57">
                  <c:v>5.8638128010987556E-2</c:v>
                </c:pt>
                <c:pt idx="58">
                  <c:v>5.8660801841484034E-2</c:v>
                </c:pt>
                <c:pt idx="59">
                  <c:v>5.8680561097130379E-2</c:v>
                </c:pt>
                <c:pt idx="60">
                  <c:v>5.8700099138915718E-2</c:v>
                </c:pt>
                <c:pt idx="61">
                  <c:v>5.8717368819042326E-2</c:v>
                </c:pt>
                <c:pt idx="62">
                  <c:v>5.8732996877415289E-2</c:v>
                </c:pt>
                <c:pt idx="63">
                  <c:v>5.8747033276694616E-2</c:v>
                </c:pt>
                <c:pt idx="64">
                  <c:v>5.8759991321506444E-2</c:v>
                </c:pt>
                <c:pt idx="65">
                  <c:v>5.8771595525586973E-2</c:v>
                </c:pt>
                <c:pt idx="66">
                  <c:v>5.8782175441086881E-2</c:v>
                </c:pt>
                <c:pt idx="67">
                  <c:v>5.8791172804259162E-2</c:v>
                </c:pt>
                <c:pt idx="68">
                  <c:v>5.8799409120790624E-2</c:v>
                </c:pt>
                <c:pt idx="69">
                  <c:v>5.8806830204646721E-2</c:v>
                </c:pt>
                <c:pt idx="70">
                  <c:v>5.8813089255010942E-2</c:v>
                </c:pt>
                <c:pt idx="71">
                  <c:v>5.8818697956210642E-2</c:v>
                </c:pt>
                <c:pt idx="72">
                  <c:v>5.8823529904745264E-2</c:v>
                </c:pt>
                <c:pt idx="73">
                  <c:v>5.8827713592402908E-2</c:v>
                </c:pt>
                <c:pt idx="74">
                  <c:v>5.8831057113176932E-2</c:v>
                </c:pt>
                <c:pt idx="75">
                  <c:v>5.8833844360887788E-2</c:v>
                </c:pt>
                <c:pt idx="76">
                  <c:v>5.8836130507560425E-2</c:v>
                </c:pt>
                <c:pt idx="77">
                  <c:v>5.8838091267736203E-2</c:v>
                </c:pt>
                <c:pt idx="78">
                  <c:v>5.8839353044422005E-2</c:v>
                </c:pt>
                <c:pt idx="79">
                  <c:v>5.8840285146379401E-2</c:v>
                </c:pt>
                <c:pt idx="80">
                  <c:v>5.8840767743566058E-2</c:v>
                </c:pt>
                <c:pt idx="81">
                  <c:v>5.8841018534799838E-2</c:v>
                </c:pt>
                <c:pt idx="82">
                  <c:v>5.8840830793824406E-2</c:v>
                </c:pt>
                <c:pt idx="83">
                  <c:v>5.8840486155436134E-2</c:v>
                </c:pt>
                <c:pt idx="84">
                  <c:v>5.8839722183360088E-2</c:v>
                </c:pt>
                <c:pt idx="85">
                  <c:v>5.8838863167042232E-2</c:v>
                </c:pt>
                <c:pt idx="86">
                  <c:v>5.8837674852689537E-2</c:v>
                </c:pt>
                <c:pt idx="87">
                  <c:v>5.8836435992123626E-2</c:v>
                </c:pt>
                <c:pt idx="88">
                  <c:v>5.8834858382543764E-2</c:v>
                </c:pt>
                <c:pt idx="89">
                  <c:v>5.8833236062737715E-2</c:v>
                </c:pt>
                <c:pt idx="90">
                  <c:v>5.8831333067622671E-2</c:v>
                </c:pt>
                <c:pt idx="91">
                  <c:v>5.882959630430995E-2</c:v>
                </c:pt>
                <c:pt idx="92">
                  <c:v>5.8827451923642471E-2</c:v>
                </c:pt>
                <c:pt idx="93">
                  <c:v>5.8825345606740242E-2</c:v>
                </c:pt>
                <c:pt idx="94">
                  <c:v>5.8823158160998368E-2</c:v>
                </c:pt>
                <c:pt idx="95">
                  <c:v>5.8820967137688029E-2</c:v>
                </c:pt>
                <c:pt idx="96">
                  <c:v>5.8818492538714739E-2</c:v>
                </c:pt>
                <c:pt idx="97">
                  <c:v>5.8816096566091547E-2</c:v>
                </c:pt>
                <c:pt idx="98">
                  <c:v>5.8813597365411585E-2</c:v>
                </c:pt>
                <c:pt idx="99">
                  <c:v>5.8811272659216041E-2</c:v>
                </c:pt>
                <c:pt idx="100">
                  <c:v>5.8808617939406949E-2</c:v>
                </c:pt>
                <c:pt idx="101">
                  <c:v>5.88059404263781E-2</c:v>
                </c:pt>
                <c:pt idx="102">
                  <c:v>5.8803324471326635E-2</c:v>
                </c:pt>
                <c:pt idx="103">
                  <c:v>5.8800896670873293E-2</c:v>
                </c:pt>
                <c:pt idx="104">
                  <c:v>5.879816888569378E-2</c:v>
                </c:pt>
                <c:pt idx="105">
                  <c:v>5.8795594722495181E-2</c:v>
                </c:pt>
                <c:pt idx="106">
                  <c:v>5.8792942581760599E-2</c:v>
                </c:pt>
                <c:pt idx="107">
                  <c:v>5.8790405857079397E-2</c:v>
                </c:pt>
                <c:pt idx="108">
                  <c:v>5.8787716226643916E-2</c:v>
                </c:pt>
                <c:pt idx="109">
                  <c:v>5.8785144804037959E-2</c:v>
                </c:pt>
                <c:pt idx="110">
                  <c:v>5.8782431209977171E-2</c:v>
                </c:pt>
                <c:pt idx="111">
                  <c:v>5.8779960573704049E-2</c:v>
                </c:pt>
                <c:pt idx="112">
                  <c:v>5.8777314275879178E-2</c:v>
                </c:pt>
                <c:pt idx="113">
                  <c:v>5.8774745898205305E-2</c:v>
                </c:pt>
                <c:pt idx="114">
                  <c:v>5.8772174898984231E-2</c:v>
                </c:pt>
                <c:pt idx="115">
                  <c:v>5.8769761853198155E-2</c:v>
                </c:pt>
                <c:pt idx="116">
                  <c:v>5.8767148322258267E-2</c:v>
                </c:pt>
                <c:pt idx="117">
                  <c:v>5.8764652725868061E-2</c:v>
                </c:pt>
                <c:pt idx="118">
                  <c:v>5.8762164032261532E-2</c:v>
                </c:pt>
                <c:pt idx="119">
                  <c:v>5.8759828971758798E-2</c:v>
                </c:pt>
                <c:pt idx="120">
                  <c:v>5.8757308437127342E-2</c:v>
                </c:pt>
                <c:pt idx="121">
                  <c:v>5.8754787474419201E-2</c:v>
                </c:pt>
                <c:pt idx="122">
                  <c:v>5.8752396484521574E-2</c:v>
                </c:pt>
                <c:pt idx="123">
                  <c:v>5.8750226928858895E-2</c:v>
                </c:pt>
                <c:pt idx="124">
                  <c:v>5.8747810169011316E-2</c:v>
                </c:pt>
                <c:pt idx="125">
                  <c:v>5.8745393007364699E-2</c:v>
                </c:pt>
                <c:pt idx="126">
                  <c:v>5.8743177149762404E-2</c:v>
                </c:pt>
                <c:pt idx="127">
                  <c:v>5.8740992866322284E-2</c:v>
                </c:pt>
                <c:pt idx="128">
                  <c:v>5.8738684795924589E-2</c:v>
                </c:pt>
                <c:pt idx="129">
                  <c:v>5.8736515540337653E-2</c:v>
                </c:pt>
                <c:pt idx="130">
                  <c:v>5.8734331216131475E-2</c:v>
                </c:pt>
                <c:pt idx="131">
                  <c:v>5.8732246677280608E-2</c:v>
                </c:pt>
                <c:pt idx="132">
                  <c:v>5.8730080214894009E-2</c:v>
                </c:pt>
                <c:pt idx="133">
                  <c:v>5.8725898286665412E-2</c:v>
                </c:pt>
                <c:pt idx="134">
                  <c:v>5.8721850596649583E-2</c:v>
                </c:pt>
                <c:pt idx="135">
                  <c:v>5.871787082096791E-2</c:v>
                </c:pt>
                <c:pt idx="136">
                  <c:v>5.8714050695392261E-2</c:v>
                </c:pt>
                <c:pt idx="137">
                  <c:v>5.8710264940315726E-2</c:v>
                </c:pt>
                <c:pt idx="138">
                  <c:v>5.8706631547225108E-2</c:v>
                </c:pt>
                <c:pt idx="139">
                  <c:v>5.8703002764025847E-2</c:v>
                </c:pt>
                <c:pt idx="140">
                  <c:v>5.8699520125501836E-2</c:v>
                </c:pt>
                <c:pt idx="141">
                  <c:v>5.8696016032179221E-2</c:v>
                </c:pt>
                <c:pt idx="142">
                  <c:v>5.869270526563386E-2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E-C542-9AC5-79D1065B45CB}"/>
            </c:ext>
          </c:extLst>
        </c:ser>
        <c:ser>
          <c:idx val="2"/>
          <c:order val="1"/>
          <c:tx>
            <c:strRef>
              <c:f>Simulador!$L$4</c:f>
              <c:strCache>
                <c:ptCount val="1"/>
                <c:pt idx="0">
                  <c:v>Real Simulada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Simulador!$B$5:$B$147</c:f>
              <c:numCache>
                <c:formatCode>m/d/yy</c:formatCode>
                <c:ptCount val="143"/>
                <c:pt idx="0">
                  <c:v>44881</c:v>
                </c:pt>
                <c:pt idx="1">
                  <c:v>44972</c:v>
                </c:pt>
                <c:pt idx="2">
                  <c:v>45000</c:v>
                </c:pt>
                <c:pt idx="3">
                  <c:v>45061</c:v>
                </c:pt>
                <c:pt idx="4">
                  <c:v>45153</c:v>
                </c:pt>
                <c:pt idx="5">
                  <c:v>45246</c:v>
                </c:pt>
                <c:pt idx="6">
                  <c:v>45337</c:v>
                </c:pt>
                <c:pt idx="7">
                  <c:v>45427</c:v>
                </c:pt>
                <c:pt idx="8">
                  <c:v>45519</c:v>
                </c:pt>
                <c:pt idx="9">
                  <c:v>45614</c:v>
                </c:pt>
                <c:pt idx="10">
                  <c:v>45705</c:v>
                </c:pt>
                <c:pt idx="11">
                  <c:v>45792</c:v>
                </c:pt>
                <c:pt idx="12">
                  <c:v>45884</c:v>
                </c:pt>
                <c:pt idx="13">
                  <c:v>45978</c:v>
                </c:pt>
                <c:pt idx="14">
                  <c:v>46071</c:v>
                </c:pt>
                <c:pt idx="15">
                  <c:v>46157</c:v>
                </c:pt>
                <c:pt idx="16">
                  <c:v>46251</c:v>
                </c:pt>
                <c:pt idx="17">
                  <c:v>46342</c:v>
                </c:pt>
                <c:pt idx="18">
                  <c:v>46433</c:v>
                </c:pt>
                <c:pt idx="19">
                  <c:v>46524</c:v>
                </c:pt>
                <c:pt idx="20">
                  <c:v>46615</c:v>
                </c:pt>
                <c:pt idx="21">
                  <c:v>46707</c:v>
                </c:pt>
                <c:pt idx="22">
                  <c:v>46798</c:v>
                </c:pt>
                <c:pt idx="23">
                  <c:v>46888</c:v>
                </c:pt>
                <c:pt idx="24">
                  <c:v>46980</c:v>
                </c:pt>
                <c:pt idx="25">
                  <c:v>47073</c:v>
                </c:pt>
                <c:pt idx="26">
                  <c:v>47164</c:v>
                </c:pt>
                <c:pt idx="27">
                  <c:v>47253</c:v>
                </c:pt>
                <c:pt idx="28">
                  <c:v>47345</c:v>
                </c:pt>
                <c:pt idx="29">
                  <c:v>47438</c:v>
                </c:pt>
                <c:pt idx="30">
                  <c:v>47529</c:v>
                </c:pt>
                <c:pt idx="31">
                  <c:v>47618</c:v>
                </c:pt>
                <c:pt idx="32">
                  <c:v>47710</c:v>
                </c:pt>
                <c:pt idx="33">
                  <c:v>47805</c:v>
                </c:pt>
                <c:pt idx="34">
                  <c:v>47896</c:v>
                </c:pt>
                <c:pt idx="35">
                  <c:v>47983</c:v>
                </c:pt>
                <c:pt idx="36">
                  <c:v>48075</c:v>
                </c:pt>
                <c:pt idx="37">
                  <c:v>48169</c:v>
                </c:pt>
                <c:pt idx="38">
                  <c:v>48260</c:v>
                </c:pt>
                <c:pt idx="39">
                  <c:v>48351</c:v>
                </c:pt>
                <c:pt idx="40">
                  <c:v>48442</c:v>
                </c:pt>
                <c:pt idx="41">
                  <c:v>48534</c:v>
                </c:pt>
                <c:pt idx="42">
                  <c:v>48625</c:v>
                </c:pt>
                <c:pt idx="43">
                  <c:v>48715</c:v>
                </c:pt>
                <c:pt idx="44">
                  <c:v>48806</c:v>
                </c:pt>
                <c:pt idx="45">
                  <c:v>48899</c:v>
                </c:pt>
                <c:pt idx="46">
                  <c:v>48990</c:v>
                </c:pt>
                <c:pt idx="47">
                  <c:v>49079</c:v>
                </c:pt>
                <c:pt idx="48">
                  <c:v>49171</c:v>
                </c:pt>
                <c:pt idx="49">
                  <c:v>49264</c:v>
                </c:pt>
                <c:pt idx="50">
                  <c:v>49355</c:v>
                </c:pt>
                <c:pt idx="51">
                  <c:v>49444</c:v>
                </c:pt>
                <c:pt idx="52">
                  <c:v>49536</c:v>
                </c:pt>
                <c:pt idx="53">
                  <c:v>49629</c:v>
                </c:pt>
                <c:pt idx="54">
                  <c:v>49720</c:v>
                </c:pt>
                <c:pt idx="55">
                  <c:v>49810</c:v>
                </c:pt>
                <c:pt idx="56">
                  <c:v>49902</c:v>
                </c:pt>
                <c:pt idx="57">
                  <c:v>49996</c:v>
                </c:pt>
                <c:pt idx="58">
                  <c:v>50089</c:v>
                </c:pt>
                <c:pt idx="59">
                  <c:v>50175</c:v>
                </c:pt>
                <c:pt idx="60">
                  <c:v>50269</c:v>
                </c:pt>
                <c:pt idx="61">
                  <c:v>50360</c:v>
                </c:pt>
                <c:pt idx="62">
                  <c:v>50451</c:v>
                </c:pt>
                <c:pt idx="63">
                  <c:v>50542</c:v>
                </c:pt>
                <c:pt idx="64">
                  <c:v>50633</c:v>
                </c:pt>
                <c:pt idx="65">
                  <c:v>50725</c:v>
                </c:pt>
                <c:pt idx="66">
                  <c:v>50816</c:v>
                </c:pt>
                <c:pt idx="67">
                  <c:v>50906</c:v>
                </c:pt>
                <c:pt idx="68">
                  <c:v>50997</c:v>
                </c:pt>
                <c:pt idx="69">
                  <c:v>51090</c:v>
                </c:pt>
                <c:pt idx="70">
                  <c:v>51181</c:v>
                </c:pt>
                <c:pt idx="71">
                  <c:v>51271</c:v>
                </c:pt>
                <c:pt idx="72">
                  <c:v>51363</c:v>
                </c:pt>
                <c:pt idx="73">
                  <c:v>51456</c:v>
                </c:pt>
                <c:pt idx="74">
                  <c:v>51547</c:v>
                </c:pt>
                <c:pt idx="75">
                  <c:v>51636</c:v>
                </c:pt>
                <c:pt idx="76">
                  <c:v>51728</c:v>
                </c:pt>
                <c:pt idx="77">
                  <c:v>51823</c:v>
                </c:pt>
                <c:pt idx="78">
                  <c:v>51916</c:v>
                </c:pt>
                <c:pt idx="79">
                  <c:v>52001</c:v>
                </c:pt>
                <c:pt idx="80">
                  <c:v>52093</c:v>
                </c:pt>
                <c:pt idx="81">
                  <c:v>52187</c:v>
                </c:pt>
                <c:pt idx="82">
                  <c:v>52278</c:v>
                </c:pt>
                <c:pt idx="83">
                  <c:v>52366</c:v>
                </c:pt>
                <c:pt idx="84">
                  <c:v>52460</c:v>
                </c:pt>
                <c:pt idx="85">
                  <c:v>52551</c:v>
                </c:pt>
                <c:pt idx="86">
                  <c:v>52642</c:v>
                </c:pt>
                <c:pt idx="87">
                  <c:v>52733</c:v>
                </c:pt>
                <c:pt idx="88">
                  <c:v>52824</c:v>
                </c:pt>
                <c:pt idx="89">
                  <c:v>52917</c:v>
                </c:pt>
                <c:pt idx="90">
                  <c:v>53008</c:v>
                </c:pt>
                <c:pt idx="91">
                  <c:v>53097</c:v>
                </c:pt>
                <c:pt idx="92">
                  <c:v>53189</c:v>
                </c:pt>
                <c:pt idx="93">
                  <c:v>53282</c:v>
                </c:pt>
                <c:pt idx="94">
                  <c:v>53373</c:v>
                </c:pt>
                <c:pt idx="95">
                  <c:v>53462</c:v>
                </c:pt>
                <c:pt idx="96">
                  <c:v>53554</c:v>
                </c:pt>
                <c:pt idx="97">
                  <c:v>53647</c:v>
                </c:pt>
                <c:pt idx="98">
                  <c:v>53738</c:v>
                </c:pt>
                <c:pt idx="99">
                  <c:v>53827</c:v>
                </c:pt>
                <c:pt idx="100">
                  <c:v>53919</c:v>
                </c:pt>
                <c:pt idx="101">
                  <c:v>54014</c:v>
                </c:pt>
                <c:pt idx="102">
                  <c:v>54107</c:v>
                </c:pt>
                <c:pt idx="103">
                  <c:v>54193</c:v>
                </c:pt>
                <c:pt idx="104">
                  <c:v>54287</c:v>
                </c:pt>
                <c:pt idx="105">
                  <c:v>54378</c:v>
                </c:pt>
                <c:pt idx="106">
                  <c:v>54469</c:v>
                </c:pt>
                <c:pt idx="107">
                  <c:v>54560</c:v>
                </c:pt>
                <c:pt idx="108">
                  <c:v>54651</c:v>
                </c:pt>
                <c:pt idx="109">
                  <c:v>54743</c:v>
                </c:pt>
                <c:pt idx="110">
                  <c:v>54834</c:v>
                </c:pt>
                <c:pt idx="111">
                  <c:v>54924</c:v>
                </c:pt>
                <c:pt idx="112">
                  <c:v>55015</c:v>
                </c:pt>
                <c:pt idx="113">
                  <c:v>55108</c:v>
                </c:pt>
                <c:pt idx="114">
                  <c:v>55199</c:v>
                </c:pt>
                <c:pt idx="115">
                  <c:v>55288</c:v>
                </c:pt>
                <c:pt idx="116">
                  <c:v>55380</c:v>
                </c:pt>
                <c:pt idx="117">
                  <c:v>55473</c:v>
                </c:pt>
                <c:pt idx="118">
                  <c:v>55564</c:v>
                </c:pt>
                <c:pt idx="119">
                  <c:v>55654</c:v>
                </c:pt>
                <c:pt idx="120">
                  <c:v>55746</c:v>
                </c:pt>
                <c:pt idx="121">
                  <c:v>55841</c:v>
                </c:pt>
                <c:pt idx="122">
                  <c:v>55934</c:v>
                </c:pt>
                <c:pt idx="123">
                  <c:v>56019</c:v>
                </c:pt>
                <c:pt idx="124">
                  <c:v>56111</c:v>
                </c:pt>
                <c:pt idx="125">
                  <c:v>56205</c:v>
                </c:pt>
                <c:pt idx="126">
                  <c:v>56296</c:v>
                </c:pt>
                <c:pt idx="127">
                  <c:v>56384</c:v>
                </c:pt>
                <c:pt idx="128">
                  <c:v>56478</c:v>
                </c:pt>
                <c:pt idx="129">
                  <c:v>56569</c:v>
                </c:pt>
                <c:pt idx="130">
                  <c:v>56660</c:v>
                </c:pt>
                <c:pt idx="131">
                  <c:v>56751</c:v>
                </c:pt>
                <c:pt idx="132">
                  <c:v>56842</c:v>
                </c:pt>
                <c:pt idx="133">
                  <c:v>57026</c:v>
                </c:pt>
                <c:pt idx="134">
                  <c:v>57207</c:v>
                </c:pt>
                <c:pt idx="135">
                  <c:v>57391</c:v>
                </c:pt>
                <c:pt idx="136">
                  <c:v>57572</c:v>
                </c:pt>
                <c:pt idx="137">
                  <c:v>57756</c:v>
                </c:pt>
                <c:pt idx="138">
                  <c:v>57937</c:v>
                </c:pt>
                <c:pt idx="139">
                  <c:v>58123</c:v>
                </c:pt>
                <c:pt idx="140">
                  <c:v>58302</c:v>
                </c:pt>
                <c:pt idx="141">
                  <c:v>58487</c:v>
                </c:pt>
                <c:pt idx="142">
                  <c:v>58669</c:v>
                </c:pt>
              </c:numCache>
            </c:numRef>
          </c:cat>
          <c:val>
            <c:numRef>
              <c:f>Simulador!$L$5:$L$147</c:f>
              <c:numCache>
                <c:formatCode>0.00%</c:formatCode>
                <c:ptCount val="143"/>
                <c:pt idx="0">
                  <c:v>9.4238501847281109E-2</c:v>
                </c:pt>
                <c:pt idx="1">
                  <c:v>8.8437815039086765E-2</c:v>
                </c:pt>
                <c:pt idx="2">
                  <c:v>8.6926612886886856E-2</c:v>
                </c:pt>
                <c:pt idx="3">
                  <c:v>8.3802406981866362E-2</c:v>
                </c:pt>
                <c:pt idx="4">
                  <c:v>7.9302041272826251E-2</c:v>
                </c:pt>
                <c:pt idx="5">
                  <c:v>7.5555946570935895E-2</c:v>
                </c:pt>
                <c:pt idx="6">
                  <c:v>7.2438747759168143E-2</c:v>
                </c:pt>
                <c:pt idx="7">
                  <c:v>6.9722414488002649E-2</c:v>
                </c:pt>
                <c:pt idx="8">
                  <c:v>6.730173834988129E-2</c:v>
                </c:pt>
                <c:pt idx="9">
                  <c:v>6.5232770467420487E-2</c:v>
                </c:pt>
                <c:pt idx="10">
                  <c:v>6.3573730880697621E-2</c:v>
                </c:pt>
                <c:pt idx="11">
                  <c:v>6.2283233879442124E-2</c:v>
                </c:pt>
                <c:pt idx="12">
                  <c:v>6.1070807198248644E-2</c:v>
                </c:pt>
                <c:pt idx="13">
                  <c:v>6.0071388550429816E-2</c:v>
                </c:pt>
                <c:pt idx="14">
                  <c:v>5.927838770503624E-2</c:v>
                </c:pt>
                <c:pt idx="15">
                  <c:v>5.8675502773394728E-2</c:v>
                </c:pt>
                <c:pt idx="16">
                  <c:v>5.8133069907817969E-2</c:v>
                </c:pt>
                <c:pt idx="17">
                  <c:v>5.7724810900317891E-2</c:v>
                </c:pt>
                <c:pt idx="18">
                  <c:v>5.7407981869316727E-2</c:v>
                </c:pt>
                <c:pt idx="19">
                  <c:v>5.715583461245699E-2</c:v>
                </c:pt>
                <c:pt idx="20">
                  <c:v>5.6968724466762044E-2</c:v>
                </c:pt>
                <c:pt idx="21">
                  <c:v>5.6839715309690009E-2</c:v>
                </c:pt>
                <c:pt idx="22">
                  <c:v>5.675390529669766E-2</c:v>
                </c:pt>
                <c:pt idx="23">
                  <c:v>5.6709240208270062E-2</c:v>
                </c:pt>
                <c:pt idx="24">
                  <c:v>5.6694932019935917E-2</c:v>
                </c:pt>
                <c:pt idx="25">
                  <c:v>5.6704466377620388E-2</c:v>
                </c:pt>
                <c:pt idx="26">
                  <c:v>5.6735781893983983E-2</c:v>
                </c:pt>
                <c:pt idx="27">
                  <c:v>5.6779566995880826E-2</c:v>
                </c:pt>
                <c:pt idx="28">
                  <c:v>5.6843208866909523E-2</c:v>
                </c:pt>
                <c:pt idx="29">
                  <c:v>5.6912256341070222E-2</c:v>
                </c:pt>
                <c:pt idx="30">
                  <c:v>5.699082751972151E-2</c:v>
                </c:pt>
                <c:pt idx="31">
                  <c:v>5.7066966659098606E-2</c:v>
                </c:pt>
                <c:pt idx="32">
                  <c:v>5.7156852715572137E-2</c:v>
                </c:pt>
                <c:pt idx="33">
                  <c:v>5.7248282474742007E-2</c:v>
                </c:pt>
                <c:pt idx="34">
                  <c:v>5.7337312092009096E-2</c:v>
                </c:pt>
                <c:pt idx="35">
                  <c:v>5.7417931184525317E-2</c:v>
                </c:pt>
                <c:pt idx="36">
                  <c:v>5.7508281745383361E-2</c:v>
                </c:pt>
                <c:pt idx="37">
                  <c:v>5.7597092218049317E-2</c:v>
                </c:pt>
                <c:pt idx="38">
                  <c:v>5.7677395986454938E-2</c:v>
                </c:pt>
                <c:pt idx="39">
                  <c:v>5.7757126301591022E-2</c:v>
                </c:pt>
                <c:pt idx="40">
                  <c:v>5.7835355150152479E-2</c:v>
                </c:pt>
                <c:pt idx="41">
                  <c:v>5.7907633774759049E-2</c:v>
                </c:pt>
                <c:pt idx="42">
                  <c:v>5.7980046197837254E-2</c:v>
                </c:pt>
                <c:pt idx="43">
                  <c:v>5.8043456490650902E-2</c:v>
                </c:pt>
                <c:pt idx="44">
                  <c:v>5.810761154270061E-2</c:v>
                </c:pt>
                <c:pt idx="45">
                  <c:v>5.8167204978008868E-2</c:v>
                </c:pt>
                <c:pt idx="46">
                  <c:v>5.8225008086649765E-2</c:v>
                </c:pt>
                <c:pt idx="47">
                  <c:v>5.8273585043413068E-2</c:v>
                </c:pt>
                <c:pt idx="48">
                  <c:v>5.8324492388269089E-2</c:v>
                </c:pt>
                <c:pt idx="49">
                  <c:v>5.8370732786934276E-2</c:v>
                </c:pt>
                <c:pt idx="50">
                  <c:v>5.8412328241514766E-2</c:v>
                </c:pt>
                <c:pt idx="51">
                  <c:v>5.845140132792781E-2</c:v>
                </c:pt>
                <c:pt idx="52">
                  <c:v>5.8489706848831924E-2</c:v>
                </c:pt>
                <c:pt idx="53">
                  <c:v>5.8524380683759647E-2</c:v>
                </c:pt>
                <c:pt idx="54">
                  <c:v>5.8556139186790812E-2</c:v>
                </c:pt>
                <c:pt idx="55">
                  <c:v>5.8583997211028471E-2</c:v>
                </c:pt>
                <c:pt idx="56">
                  <c:v>5.8611859295576219E-2</c:v>
                </c:pt>
                <c:pt idx="57">
                  <c:v>5.8638128010987556E-2</c:v>
                </c:pt>
                <c:pt idx="58">
                  <c:v>5.8660801841484034E-2</c:v>
                </c:pt>
                <c:pt idx="59">
                  <c:v>5.8680561097130379E-2</c:v>
                </c:pt>
                <c:pt idx="60">
                  <c:v>5.8700099138915718E-2</c:v>
                </c:pt>
                <c:pt idx="61">
                  <c:v>5.8717368819042326E-2</c:v>
                </c:pt>
                <c:pt idx="62">
                  <c:v>5.8732996877415289E-2</c:v>
                </c:pt>
                <c:pt idx="63">
                  <c:v>5.8747033276694616E-2</c:v>
                </c:pt>
                <c:pt idx="64">
                  <c:v>5.8759991321506444E-2</c:v>
                </c:pt>
                <c:pt idx="65">
                  <c:v>5.8771595525586973E-2</c:v>
                </c:pt>
                <c:pt idx="66">
                  <c:v>5.8782175441086881E-2</c:v>
                </c:pt>
                <c:pt idx="67">
                  <c:v>5.8791172804259162E-2</c:v>
                </c:pt>
                <c:pt idx="68">
                  <c:v>5.8799409120790624E-2</c:v>
                </c:pt>
                <c:pt idx="69">
                  <c:v>5.8806830204646721E-2</c:v>
                </c:pt>
                <c:pt idx="70">
                  <c:v>5.8813089255010942E-2</c:v>
                </c:pt>
                <c:pt idx="71">
                  <c:v>5.8818697956210642E-2</c:v>
                </c:pt>
                <c:pt idx="72">
                  <c:v>5.8823529904745264E-2</c:v>
                </c:pt>
                <c:pt idx="73">
                  <c:v>5.8827713592402908E-2</c:v>
                </c:pt>
                <c:pt idx="74">
                  <c:v>5.8831057113176932E-2</c:v>
                </c:pt>
                <c:pt idx="75">
                  <c:v>5.8833844360887788E-2</c:v>
                </c:pt>
                <c:pt idx="76">
                  <c:v>5.8836130507560425E-2</c:v>
                </c:pt>
                <c:pt idx="77">
                  <c:v>5.8838091267736203E-2</c:v>
                </c:pt>
                <c:pt idx="78">
                  <c:v>5.8839353044422005E-2</c:v>
                </c:pt>
                <c:pt idx="79">
                  <c:v>5.8840285146379401E-2</c:v>
                </c:pt>
                <c:pt idx="80">
                  <c:v>5.8840767743566058E-2</c:v>
                </c:pt>
                <c:pt idx="81">
                  <c:v>5.8841018534799838E-2</c:v>
                </c:pt>
                <c:pt idx="82">
                  <c:v>5.8840830793824406E-2</c:v>
                </c:pt>
                <c:pt idx="83">
                  <c:v>5.8840486155436134E-2</c:v>
                </c:pt>
                <c:pt idx="84">
                  <c:v>5.8839722183360088E-2</c:v>
                </c:pt>
                <c:pt idx="85">
                  <c:v>5.8838863167042232E-2</c:v>
                </c:pt>
                <c:pt idx="86">
                  <c:v>5.8837674852689537E-2</c:v>
                </c:pt>
                <c:pt idx="87">
                  <c:v>5.8836435992123626E-2</c:v>
                </c:pt>
                <c:pt idx="88">
                  <c:v>5.8834858382543764E-2</c:v>
                </c:pt>
                <c:pt idx="89">
                  <c:v>5.8833236062737715E-2</c:v>
                </c:pt>
                <c:pt idx="90">
                  <c:v>5.8831333067622671E-2</c:v>
                </c:pt>
                <c:pt idx="91">
                  <c:v>5.882959630430995E-2</c:v>
                </c:pt>
                <c:pt idx="92">
                  <c:v>5.8827451923642471E-2</c:v>
                </c:pt>
                <c:pt idx="93">
                  <c:v>5.8825345606740242E-2</c:v>
                </c:pt>
                <c:pt idx="94">
                  <c:v>5.8823158160998368E-2</c:v>
                </c:pt>
                <c:pt idx="95">
                  <c:v>5.8820967137688029E-2</c:v>
                </c:pt>
                <c:pt idx="96">
                  <c:v>5.8818492538714739E-2</c:v>
                </c:pt>
                <c:pt idx="97">
                  <c:v>5.8816096566091547E-2</c:v>
                </c:pt>
                <c:pt idx="98">
                  <c:v>5.8813597365411585E-2</c:v>
                </c:pt>
                <c:pt idx="99">
                  <c:v>5.8811272659216041E-2</c:v>
                </c:pt>
                <c:pt idx="100">
                  <c:v>5.8808617939406949E-2</c:v>
                </c:pt>
                <c:pt idx="101">
                  <c:v>5.88059404263781E-2</c:v>
                </c:pt>
                <c:pt idx="102">
                  <c:v>5.8803324471326635E-2</c:v>
                </c:pt>
                <c:pt idx="103">
                  <c:v>5.8800896670873293E-2</c:v>
                </c:pt>
                <c:pt idx="104">
                  <c:v>5.879816888569378E-2</c:v>
                </c:pt>
                <c:pt idx="105">
                  <c:v>5.8795594722495181E-2</c:v>
                </c:pt>
                <c:pt idx="106">
                  <c:v>5.8792942581760599E-2</c:v>
                </c:pt>
                <c:pt idx="107">
                  <c:v>5.8790405857079397E-2</c:v>
                </c:pt>
                <c:pt idx="108">
                  <c:v>5.8787716226643916E-2</c:v>
                </c:pt>
                <c:pt idx="109">
                  <c:v>5.8785144804037959E-2</c:v>
                </c:pt>
                <c:pt idx="110">
                  <c:v>5.8782431209977171E-2</c:v>
                </c:pt>
                <c:pt idx="111">
                  <c:v>5.8779960573704049E-2</c:v>
                </c:pt>
                <c:pt idx="112">
                  <c:v>5.8777314275879178E-2</c:v>
                </c:pt>
                <c:pt idx="113">
                  <c:v>5.8774745898205305E-2</c:v>
                </c:pt>
                <c:pt idx="114">
                  <c:v>5.8772174898984231E-2</c:v>
                </c:pt>
                <c:pt idx="115">
                  <c:v>5.8769761853198155E-2</c:v>
                </c:pt>
                <c:pt idx="116">
                  <c:v>5.8767148322258267E-2</c:v>
                </c:pt>
                <c:pt idx="117">
                  <c:v>5.8764652725868061E-2</c:v>
                </c:pt>
                <c:pt idx="118">
                  <c:v>5.8762164032261532E-2</c:v>
                </c:pt>
                <c:pt idx="119">
                  <c:v>5.8759828971758798E-2</c:v>
                </c:pt>
                <c:pt idx="120">
                  <c:v>5.8757308437127342E-2</c:v>
                </c:pt>
                <c:pt idx="121">
                  <c:v>5.8754787474419201E-2</c:v>
                </c:pt>
                <c:pt idx="122">
                  <c:v>5.8752396484521574E-2</c:v>
                </c:pt>
                <c:pt idx="123">
                  <c:v>5.8750226928858895E-2</c:v>
                </c:pt>
                <c:pt idx="124">
                  <c:v>5.8747810169011316E-2</c:v>
                </c:pt>
                <c:pt idx="125">
                  <c:v>5.8745393007364699E-2</c:v>
                </c:pt>
                <c:pt idx="126">
                  <c:v>5.8743177149762404E-2</c:v>
                </c:pt>
                <c:pt idx="127">
                  <c:v>5.8740992866322284E-2</c:v>
                </c:pt>
                <c:pt idx="128">
                  <c:v>5.8738684795924589E-2</c:v>
                </c:pt>
                <c:pt idx="129">
                  <c:v>5.8736515540337653E-2</c:v>
                </c:pt>
                <c:pt idx="130">
                  <c:v>5.8734331216131475E-2</c:v>
                </c:pt>
                <c:pt idx="131">
                  <c:v>5.8732246677280608E-2</c:v>
                </c:pt>
                <c:pt idx="132">
                  <c:v>5.8730080214894009E-2</c:v>
                </c:pt>
                <c:pt idx="133">
                  <c:v>5.8725898286665412E-2</c:v>
                </c:pt>
                <c:pt idx="134">
                  <c:v>5.8721850596649583E-2</c:v>
                </c:pt>
                <c:pt idx="135">
                  <c:v>5.871787082096791E-2</c:v>
                </c:pt>
                <c:pt idx="136">
                  <c:v>5.8714050695392261E-2</c:v>
                </c:pt>
                <c:pt idx="137">
                  <c:v>5.8710264940315726E-2</c:v>
                </c:pt>
                <c:pt idx="138">
                  <c:v>5.8706631547225108E-2</c:v>
                </c:pt>
                <c:pt idx="139">
                  <c:v>5.8703002764025847E-2</c:v>
                </c:pt>
                <c:pt idx="140">
                  <c:v>5.8699520125501836E-2</c:v>
                </c:pt>
                <c:pt idx="141">
                  <c:v>5.8696016032179221E-2</c:v>
                </c:pt>
                <c:pt idx="142">
                  <c:v>5.869270526563386E-2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3E-C542-9AC5-79D1065B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9059567"/>
        <c:axId val="1679061215"/>
      </c:lineChart>
      <c:dateAx>
        <c:axId val="1679059567"/>
        <c:scaling>
          <c:orientation val="minMax"/>
        </c:scaling>
        <c:delete val="0"/>
        <c:axPos val="b"/>
        <c:numFmt formatCode="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79061215"/>
        <c:crosses val="autoZero"/>
        <c:auto val="1"/>
        <c:lblOffset val="100"/>
        <c:baseTimeUnit val="months"/>
        <c:majorUnit val="60"/>
        <c:majorTimeUnit val="months"/>
      </c:dateAx>
      <c:valAx>
        <c:axId val="1679061215"/>
        <c:scaling>
          <c:orientation val="minMax"/>
          <c:min val="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solidFill>
              <a:srgbClr val="00206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79059567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604020202020204" pitchFamily="34" charset="0"/>
                <a:ea typeface="+mn-ea"/>
                <a:cs typeface="Arial Black" panose="020B0604020202020204" pitchFamily="34" charset="0"/>
              </a:defRPr>
            </a:pPr>
            <a:r>
              <a:rPr lang="en-US" sz="2000" b="1" i="0">
                <a:latin typeface="Arial Black" panose="020B0604020202020204" pitchFamily="34" charset="0"/>
                <a:cs typeface="Arial Black" panose="020B0604020202020204" pitchFamily="34" charset="0"/>
              </a:rPr>
              <a:t>ETTJ Implícita Mercado vs Simulada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604020202020204" pitchFamily="34" charset="0"/>
              <a:ea typeface="+mn-ea"/>
              <a:cs typeface="Arial Black" panose="020B0604020202020204" pitchFamily="34" charset="0"/>
            </a:defRPr>
          </a:pPr>
          <a:endParaRPr lang="en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Simulador!$M$4</c:f>
              <c:strCache>
                <c:ptCount val="1"/>
                <c:pt idx="0">
                  <c:v>Implícita Mercado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Simulador!$B$5:$B$147</c:f>
              <c:numCache>
                <c:formatCode>m/d/yy</c:formatCode>
                <c:ptCount val="143"/>
                <c:pt idx="0">
                  <c:v>44881</c:v>
                </c:pt>
                <c:pt idx="1">
                  <c:v>44972</c:v>
                </c:pt>
                <c:pt idx="2">
                  <c:v>45000</c:v>
                </c:pt>
                <c:pt idx="3">
                  <c:v>45061</c:v>
                </c:pt>
                <c:pt idx="4">
                  <c:v>45153</c:v>
                </c:pt>
                <c:pt idx="5">
                  <c:v>45246</c:v>
                </c:pt>
                <c:pt idx="6">
                  <c:v>45337</c:v>
                </c:pt>
                <c:pt idx="7">
                  <c:v>45427</c:v>
                </c:pt>
                <c:pt idx="8">
                  <c:v>45519</c:v>
                </c:pt>
                <c:pt idx="9">
                  <c:v>45614</c:v>
                </c:pt>
                <c:pt idx="10">
                  <c:v>45705</c:v>
                </c:pt>
                <c:pt idx="11">
                  <c:v>45792</c:v>
                </c:pt>
                <c:pt idx="12">
                  <c:v>45884</c:v>
                </c:pt>
                <c:pt idx="13">
                  <c:v>45978</c:v>
                </c:pt>
                <c:pt idx="14">
                  <c:v>46071</c:v>
                </c:pt>
                <c:pt idx="15">
                  <c:v>46157</c:v>
                </c:pt>
                <c:pt idx="16">
                  <c:v>46251</c:v>
                </c:pt>
                <c:pt idx="17">
                  <c:v>46342</c:v>
                </c:pt>
                <c:pt idx="18">
                  <c:v>46433</c:v>
                </c:pt>
                <c:pt idx="19">
                  <c:v>46524</c:v>
                </c:pt>
                <c:pt idx="20">
                  <c:v>46615</c:v>
                </c:pt>
                <c:pt idx="21">
                  <c:v>46707</c:v>
                </c:pt>
                <c:pt idx="22">
                  <c:v>46798</c:v>
                </c:pt>
                <c:pt idx="23">
                  <c:v>46888</c:v>
                </c:pt>
                <c:pt idx="24">
                  <c:v>46980</c:v>
                </c:pt>
                <c:pt idx="25">
                  <c:v>47073</c:v>
                </c:pt>
                <c:pt idx="26">
                  <c:v>47164</c:v>
                </c:pt>
                <c:pt idx="27">
                  <c:v>47253</c:v>
                </c:pt>
                <c:pt idx="28">
                  <c:v>47345</c:v>
                </c:pt>
                <c:pt idx="29">
                  <c:v>47438</c:v>
                </c:pt>
                <c:pt idx="30">
                  <c:v>47529</c:v>
                </c:pt>
                <c:pt idx="31">
                  <c:v>47618</c:v>
                </c:pt>
                <c:pt idx="32">
                  <c:v>47710</c:v>
                </c:pt>
                <c:pt idx="33">
                  <c:v>47805</c:v>
                </c:pt>
                <c:pt idx="34">
                  <c:v>47896</c:v>
                </c:pt>
                <c:pt idx="35">
                  <c:v>47983</c:v>
                </c:pt>
                <c:pt idx="36">
                  <c:v>48075</c:v>
                </c:pt>
                <c:pt idx="37">
                  <c:v>48169</c:v>
                </c:pt>
                <c:pt idx="38">
                  <c:v>48260</c:v>
                </c:pt>
                <c:pt idx="39">
                  <c:v>48351</c:v>
                </c:pt>
                <c:pt idx="40">
                  <c:v>48442</c:v>
                </c:pt>
                <c:pt idx="41">
                  <c:v>48534</c:v>
                </c:pt>
                <c:pt idx="42">
                  <c:v>48625</c:v>
                </c:pt>
                <c:pt idx="43">
                  <c:v>48715</c:v>
                </c:pt>
                <c:pt idx="44">
                  <c:v>48806</c:v>
                </c:pt>
                <c:pt idx="45">
                  <c:v>48899</c:v>
                </c:pt>
                <c:pt idx="46">
                  <c:v>48990</c:v>
                </c:pt>
                <c:pt idx="47">
                  <c:v>49079</c:v>
                </c:pt>
                <c:pt idx="48">
                  <c:v>49171</c:v>
                </c:pt>
                <c:pt idx="49">
                  <c:v>49264</c:v>
                </c:pt>
                <c:pt idx="50">
                  <c:v>49355</c:v>
                </c:pt>
                <c:pt idx="51">
                  <c:v>49444</c:v>
                </c:pt>
                <c:pt idx="52">
                  <c:v>49536</c:v>
                </c:pt>
                <c:pt idx="53">
                  <c:v>49629</c:v>
                </c:pt>
                <c:pt idx="54">
                  <c:v>49720</c:v>
                </c:pt>
                <c:pt idx="55">
                  <c:v>49810</c:v>
                </c:pt>
                <c:pt idx="56">
                  <c:v>49902</c:v>
                </c:pt>
                <c:pt idx="57">
                  <c:v>49996</c:v>
                </c:pt>
                <c:pt idx="58">
                  <c:v>50089</c:v>
                </c:pt>
                <c:pt idx="59">
                  <c:v>50175</c:v>
                </c:pt>
                <c:pt idx="60">
                  <c:v>50269</c:v>
                </c:pt>
                <c:pt idx="61">
                  <c:v>50360</c:v>
                </c:pt>
                <c:pt idx="62">
                  <c:v>50451</c:v>
                </c:pt>
                <c:pt idx="63">
                  <c:v>50542</c:v>
                </c:pt>
                <c:pt idx="64">
                  <c:v>50633</c:v>
                </c:pt>
                <c:pt idx="65">
                  <c:v>50725</c:v>
                </c:pt>
                <c:pt idx="66">
                  <c:v>50816</c:v>
                </c:pt>
                <c:pt idx="67">
                  <c:v>50906</c:v>
                </c:pt>
                <c:pt idx="68">
                  <c:v>50997</c:v>
                </c:pt>
                <c:pt idx="69">
                  <c:v>51090</c:v>
                </c:pt>
                <c:pt idx="70">
                  <c:v>51181</c:v>
                </c:pt>
                <c:pt idx="71">
                  <c:v>51271</c:v>
                </c:pt>
                <c:pt idx="72">
                  <c:v>51363</c:v>
                </c:pt>
                <c:pt idx="73">
                  <c:v>51456</c:v>
                </c:pt>
                <c:pt idx="74">
                  <c:v>51547</c:v>
                </c:pt>
                <c:pt idx="75">
                  <c:v>51636</c:v>
                </c:pt>
                <c:pt idx="76">
                  <c:v>51728</c:v>
                </c:pt>
                <c:pt idx="77">
                  <c:v>51823</c:v>
                </c:pt>
                <c:pt idx="78">
                  <c:v>51916</c:v>
                </c:pt>
                <c:pt idx="79">
                  <c:v>52001</c:v>
                </c:pt>
                <c:pt idx="80">
                  <c:v>52093</c:v>
                </c:pt>
                <c:pt idx="81">
                  <c:v>52187</c:v>
                </c:pt>
                <c:pt idx="82">
                  <c:v>52278</c:v>
                </c:pt>
                <c:pt idx="83">
                  <c:v>52366</c:v>
                </c:pt>
                <c:pt idx="84">
                  <c:v>52460</c:v>
                </c:pt>
                <c:pt idx="85">
                  <c:v>52551</c:v>
                </c:pt>
                <c:pt idx="86">
                  <c:v>52642</c:v>
                </c:pt>
                <c:pt idx="87">
                  <c:v>52733</c:v>
                </c:pt>
                <c:pt idx="88">
                  <c:v>52824</c:v>
                </c:pt>
                <c:pt idx="89">
                  <c:v>52917</c:v>
                </c:pt>
                <c:pt idx="90">
                  <c:v>53008</c:v>
                </c:pt>
                <c:pt idx="91">
                  <c:v>53097</c:v>
                </c:pt>
                <c:pt idx="92">
                  <c:v>53189</c:v>
                </c:pt>
                <c:pt idx="93">
                  <c:v>53282</c:v>
                </c:pt>
                <c:pt idx="94">
                  <c:v>53373</c:v>
                </c:pt>
                <c:pt idx="95">
                  <c:v>53462</c:v>
                </c:pt>
                <c:pt idx="96">
                  <c:v>53554</c:v>
                </c:pt>
                <c:pt idx="97">
                  <c:v>53647</c:v>
                </c:pt>
                <c:pt idx="98">
                  <c:v>53738</c:v>
                </c:pt>
                <c:pt idx="99">
                  <c:v>53827</c:v>
                </c:pt>
                <c:pt idx="100">
                  <c:v>53919</c:v>
                </c:pt>
                <c:pt idx="101">
                  <c:v>54014</c:v>
                </c:pt>
                <c:pt idx="102">
                  <c:v>54107</c:v>
                </c:pt>
                <c:pt idx="103">
                  <c:v>54193</c:v>
                </c:pt>
                <c:pt idx="104">
                  <c:v>54287</c:v>
                </c:pt>
                <c:pt idx="105">
                  <c:v>54378</c:v>
                </c:pt>
                <c:pt idx="106">
                  <c:v>54469</c:v>
                </c:pt>
                <c:pt idx="107">
                  <c:v>54560</c:v>
                </c:pt>
                <c:pt idx="108">
                  <c:v>54651</c:v>
                </c:pt>
                <c:pt idx="109">
                  <c:v>54743</c:v>
                </c:pt>
                <c:pt idx="110">
                  <c:v>54834</c:v>
                </c:pt>
                <c:pt idx="111">
                  <c:v>54924</c:v>
                </c:pt>
                <c:pt idx="112">
                  <c:v>55015</c:v>
                </c:pt>
                <c:pt idx="113">
                  <c:v>55108</c:v>
                </c:pt>
                <c:pt idx="114">
                  <c:v>55199</c:v>
                </c:pt>
                <c:pt idx="115">
                  <c:v>55288</c:v>
                </c:pt>
                <c:pt idx="116">
                  <c:v>55380</c:v>
                </c:pt>
                <c:pt idx="117">
                  <c:v>55473</c:v>
                </c:pt>
                <c:pt idx="118">
                  <c:v>55564</c:v>
                </c:pt>
                <c:pt idx="119">
                  <c:v>55654</c:v>
                </c:pt>
                <c:pt idx="120">
                  <c:v>55746</c:v>
                </c:pt>
                <c:pt idx="121">
                  <c:v>55841</c:v>
                </c:pt>
                <c:pt idx="122">
                  <c:v>55934</c:v>
                </c:pt>
                <c:pt idx="123">
                  <c:v>56019</c:v>
                </c:pt>
                <c:pt idx="124">
                  <c:v>56111</c:v>
                </c:pt>
                <c:pt idx="125">
                  <c:v>56205</c:v>
                </c:pt>
                <c:pt idx="126">
                  <c:v>56296</c:v>
                </c:pt>
                <c:pt idx="127">
                  <c:v>56384</c:v>
                </c:pt>
                <c:pt idx="128">
                  <c:v>56478</c:v>
                </c:pt>
                <c:pt idx="129">
                  <c:v>56569</c:v>
                </c:pt>
                <c:pt idx="130">
                  <c:v>56660</c:v>
                </c:pt>
                <c:pt idx="131">
                  <c:v>56751</c:v>
                </c:pt>
                <c:pt idx="132">
                  <c:v>56842</c:v>
                </c:pt>
                <c:pt idx="133">
                  <c:v>57026</c:v>
                </c:pt>
                <c:pt idx="134">
                  <c:v>57207</c:v>
                </c:pt>
                <c:pt idx="135">
                  <c:v>57391</c:v>
                </c:pt>
                <c:pt idx="136">
                  <c:v>57572</c:v>
                </c:pt>
                <c:pt idx="137">
                  <c:v>57756</c:v>
                </c:pt>
                <c:pt idx="138">
                  <c:v>57937</c:v>
                </c:pt>
                <c:pt idx="139">
                  <c:v>58123</c:v>
                </c:pt>
                <c:pt idx="140">
                  <c:v>58302</c:v>
                </c:pt>
                <c:pt idx="141">
                  <c:v>58487</c:v>
                </c:pt>
                <c:pt idx="142">
                  <c:v>58669</c:v>
                </c:pt>
              </c:numCache>
            </c:numRef>
          </c:cat>
          <c:val>
            <c:numRef>
              <c:f>Simulador!$M$5:$M$147</c:f>
              <c:numCache>
                <c:formatCode>0.00%</c:formatCode>
                <c:ptCount val="143"/>
                <c:pt idx="0">
                  <c:v>3.9260043860060989E-2</c:v>
                </c:pt>
                <c:pt idx="1">
                  <c:v>4.5724704287595008E-2</c:v>
                </c:pt>
                <c:pt idx="2">
                  <c:v>4.6895451319471704E-2</c:v>
                </c:pt>
                <c:pt idx="3">
                  <c:v>4.8774403248048603E-2</c:v>
                </c:pt>
                <c:pt idx="4">
                  <c:v>5.0400974841755763E-2</c:v>
                </c:pt>
                <c:pt idx="5">
                  <c:v>5.1052336771006734E-2</c:v>
                </c:pt>
                <c:pt idx="6">
                  <c:v>5.1308537686221012E-2</c:v>
                </c:pt>
                <c:pt idx="7">
                  <c:v>5.145750573058927E-2</c:v>
                </c:pt>
                <c:pt idx="8">
                  <c:v>5.1636418386285854E-2</c:v>
                </c:pt>
                <c:pt idx="9">
                  <c:v>5.1902571978476253E-2</c:v>
                </c:pt>
                <c:pt idx="10">
                  <c:v>5.2245707571055622E-2</c:v>
                </c:pt>
                <c:pt idx="11">
                  <c:v>5.2626601395276529E-2</c:v>
                </c:pt>
                <c:pt idx="12">
                  <c:v>5.3104968591759505E-2</c:v>
                </c:pt>
                <c:pt idx="13">
                  <c:v>5.3651431773697356E-2</c:v>
                </c:pt>
                <c:pt idx="14">
                  <c:v>5.4141996542348858E-2</c:v>
                </c:pt>
                <c:pt idx="15">
                  <c:v>5.4589692520684352E-2</c:v>
                </c:pt>
                <c:pt idx="16">
                  <c:v>5.5066564562549658E-2</c:v>
                </c:pt>
                <c:pt idx="17">
                  <c:v>5.5484848781022444E-2</c:v>
                </c:pt>
                <c:pt idx="18">
                  <c:v>5.5866933897950277E-2</c:v>
                </c:pt>
                <c:pt idx="19">
                  <c:v>5.6218908932760714E-2</c:v>
                </c:pt>
                <c:pt idx="20">
                  <c:v>5.6538828426135002E-2</c:v>
                </c:pt>
                <c:pt idx="21">
                  <c:v>5.6808529739978075E-2</c:v>
                </c:pt>
                <c:pt idx="22">
                  <c:v>5.7054164176732813E-2</c:v>
                </c:pt>
                <c:pt idx="23">
                  <c:v>5.724503337137854E-2</c:v>
                </c:pt>
                <c:pt idx="24">
                  <c:v>5.742304317837621E-2</c:v>
                </c:pt>
                <c:pt idx="25">
                  <c:v>5.7567744841153123E-2</c:v>
                </c:pt>
                <c:pt idx="26">
                  <c:v>5.7683163424037343E-2</c:v>
                </c:pt>
                <c:pt idx="27">
                  <c:v>5.7779762342214047E-2</c:v>
                </c:pt>
                <c:pt idx="28">
                  <c:v>5.7860887908244507E-2</c:v>
                </c:pt>
                <c:pt idx="29">
                  <c:v>5.7924849221559604E-2</c:v>
                </c:pt>
                <c:pt idx="30">
                  <c:v>5.7973532188232424E-2</c:v>
                </c:pt>
                <c:pt idx="31">
                  <c:v>5.8010297393168875E-2</c:v>
                </c:pt>
                <c:pt idx="32">
                  <c:v>5.8039061744824538E-2</c:v>
                </c:pt>
                <c:pt idx="33">
                  <c:v>5.8061291362325296E-2</c:v>
                </c:pt>
                <c:pt idx="34">
                  <c:v>5.8075178529090499E-2</c:v>
                </c:pt>
                <c:pt idx="35">
                  <c:v>5.8084434014569641E-2</c:v>
                </c:pt>
                <c:pt idx="36">
                  <c:v>5.8089895028151872E-2</c:v>
                </c:pt>
                <c:pt idx="37">
                  <c:v>5.8093103419797343E-2</c:v>
                </c:pt>
                <c:pt idx="38">
                  <c:v>5.8093588183373734E-2</c:v>
                </c:pt>
                <c:pt idx="39">
                  <c:v>5.8093166894075399E-2</c:v>
                </c:pt>
                <c:pt idx="40">
                  <c:v>5.8091578017454903E-2</c:v>
                </c:pt>
                <c:pt idx="41">
                  <c:v>5.8089951278503804E-2</c:v>
                </c:pt>
                <c:pt idx="42">
                  <c:v>5.8088111866002823E-2</c:v>
                </c:pt>
                <c:pt idx="43">
                  <c:v>5.8086840033223508E-2</c:v>
                </c:pt>
                <c:pt idx="44">
                  <c:v>5.8086017122378264E-2</c:v>
                </c:pt>
                <c:pt idx="45">
                  <c:v>5.8085960589666641E-2</c:v>
                </c:pt>
                <c:pt idx="46">
                  <c:v>5.8086868517013501E-2</c:v>
                </c:pt>
                <c:pt idx="47">
                  <c:v>5.8088485012417923E-2</c:v>
                </c:pt>
                <c:pt idx="48">
                  <c:v>5.809152730404965E-2</c:v>
                </c:pt>
                <c:pt idx="49">
                  <c:v>5.8095387399661913E-2</c:v>
                </c:pt>
                <c:pt idx="50">
                  <c:v>5.810037436798976E-2</c:v>
                </c:pt>
                <c:pt idx="51">
                  <c:v>5.8106093860155639E-2</c:v>
                </c:pt>
                <c:pt idx="52">
                  <c:v>5.8113662146890954E-2</c:v>
                </c:pt>
                <c:pt idx="53">
                  <c:v>5.8121726259442674E-2</c:v>
                </c:pt>
                <c:pt idx="54">
                  <c:v>5.8131103872528289E-2</c:v>
                </c:pt>
                <c:pt idx="55">
                  <c:v>5.8140396215799139E-2</c:v>
                </c:pt>
                <c:pt idx="56">
                  <c:v>5.8152005046111732E-2</c:v>
                </c:pt>
                <c:pt idx="57">
                  <c:v>5.8164335714771864E-2</c:v>
                </c:pt>
                <c:pt idx="58">
                  <c:v>5.8177190059257589E-2</c:v>
                </c:pt>
                <c:pt idx="59">
                  <c:v>5.8189597608516941E-2</c:v>
                </c:pt>
                <c:pt idx="60">
                  <c:v>5.8204320020614153E-2</c:v>
                </c:pt>
                <c:pt idx="61">
                  <c:v>5.8218636843994753E-2</c:v>
                </c:pt>
                <c:pt idx="62">
                  <c:v>5.8234064269589547E-2</c:v>
                </c:pt>
                <c:pt idx="63">
                  <c:v>5.8249146813281527E-2</c:v>
                </c:pt>
                <c:pt idx="64">
                  <c:v>5.8265780259018296E-2</c:v>
                </c:pt>
                <c:pt idx="65">
                  <c:v>5.8281950568933816E-2</c:v>
                </c:pt>
                <c:pt idx="66">
                  <c:v>5.8299588626735677E-2</c:v>
                </c:pt>
                <c:pt idx="67">
                  <c:v>5.8315858446627677E-2</c:v>
                </c:pt>
                <c:pt idx="68">
                  <c:v>5.8333783790841975E-2</c:v>
                </c:pt>
                <c:pt idx="69">
                  <c:v>5.8351355071909472E-2</c:v>
                </c:pt>
                <c:pt idx="70">
                  <c:v>5.8369365588984978E-2</c:v>
                </c:pt>
                <c:pt idx="71">
                  <c:v>5.8386966646712279E-2</c:v>
                </c:pt>
                <c:pt idx="72">
                  <c:v>5.8405778317638379E-2</c:v>
                </c:pt>
                <c:pt idx="73">
                  <c:v>5.8423866606378105E-2</c:v>
                </c:pt>
                <c:pt idx="74">
                  <c:v>5.8442186408470986E-2</c:v>
                </c:pt>
                <c:pt idx="75">
                  <c:v>5.8459157769596759E-2</c:v>
                </c:pt>
                <c:pt idx="76">
                  <c:v>5.8478069407634115E-2</c:v>
                </c:pt>
                <c:pt idx="77">
                  <c:v>5.8497046040423495E-2</c:v>
                </c:pt>
                <c:pt idx="78">
                  <c:v>5.8515239987320333E-2</c:v>
                </c:pt>
                <c:pt idx="79">
                  <c:v>5.8531779802490691E-2</c:v>
                </c:pt>
                <c:pt idx="80">
                  <c:v>5.8550394858682964E-2</c:v>
                </c:pt>
                <c:pt idx="81">
                  <c:v>5.8569033512437585E-2</c:v>
                </c:pt>
                <c:pt idx="82">
                  <c:v>5.8586246244419105E-2</c:v>
                </c:pt>
                <c:pt idx="83">
                  <c:v>5.8603215109393147E-2</c:v>
                </c:pt>
                <c:pt idx="84">
                  <c:v>5.862126756361441E-2</c:v>
                </c:pt>
                <c:pt idx="85">
                  <c:v>5.8638222729547884E-2</c:v>
                </c:pt>
                <c:pt idx="86">
                  <c:v>5.8655385857119935E-2</c:v>
                </c:pt>
                <c:pt idx="87">
                  <c:v>5.8671739477065055E-2</c:v>
                </c:pt>
                <c:pt idx="88">
                  <c:v>5.8688814240932752E-2</c:v>
                </c:pt>
                <c:pt idx="89">
                  <c:v>5.8705343244700003E-2</c:v>
                </c:pt>
                <c:pt idx="90">
                  <c:v>5.8722275893555054E-2</c:v>
                </c:pt>
                <c:pt idx="91">
                  <c:v>5.8737133598216307E-2</c:v>
                </c:pt>
                <c:pt idx="92">
                  <c:v>5.8753667551804112E-2</c:v>
                </c:pt>
                <c:pt idx="93">
                  <c:v>5.8769413621907463E-2</c:v>
                </c:pt>
                <c:pt idx="94">
                  <c:v>5.8784528716759432E-2</c:v>
                </c:pt>
                <c:pt idx="95">
                  <c:v>5.8799381721219346E-2</c:v>
                </c:pt>
                <c:pt idx="96">
                  <c:v>5.8815064940877626E-2</c:v>
                </c:pt>
                <c:pt idx="97">
                  <c:v>5.8829992912210027E-2</c:v>
                </c:pt>
                <c:pt idx="98">
                  <c:v>5.88447660979734E-2</c:v>
                </c:pt>
                <c:pt idx="99">
                  <c:v>5.8858358842431624E-2</c:v>
                </c:pt>
                <c:pt idx="100">
                  <c:v>5.8873180945232306E-2</c:v>
                </c:pt>
                <c:pt idx="101">
                  <c:v>5.8887956867165414E-2</c:v>
                </c:pt>
                <c:pt idx="102">
                  <c:v>5.8901887570582678E-2</c:v>
                </c:pt>
                <c:pt idx="103">
                  <c:v>5.8914710998978048E-2</c:v>
                </c:pt>
                <c:pt idx="104">
                  <c:v>5.8928673007986543E-2</c:v>
                </c:pt>
                <c:pt idx="105">
                  <c:v>5.8941755679680075E-2</c:v>
                </c:pt>
                <c:pt idx="106">
                  <c:v>5.8954884267646168E-2</c:v>
                </c:pt>
                <c:pt idx="107">
                  <c:v>5.8967376894799139E-2</c:v>
                </c:pt>
                <c:pt idx="108">
                  <c:v>5.8980318541968391E-2</c:v>
                </c:pt>
                <c:pt idx="109">
                  <c:v>5.8992638071407866E-2</c:v>
                </c:pt>
                <c:pt idx="110">
                  <c:v>5.9005382648950055E-2</c:v>
                </c:pt>
                <c:pt idx="111">
                  <c:v>5.9016945962957701E-2</c:v>
                </c:pt>
                <c:pt idx="112">
                  <c:v>5.9029119259779605E-2</c:v>
                </c:pt>
                <c:pt idx="113">
                  <c:v>5.9040897327267139E-2</c:v>
                </c:pt>
                <c:pt idx="114">
                  <c:v>5.9052515136362116E-2</c:v>
                </c:pt>
                <c:pt idx="115">
                  <c:v>5.9063396879898145E-2</c:v>
                </c:pt>
                <c:pt idx="116">
                  <c:v>5.9075026627574356E-2</c:v>
                </c:pt>
                <c:pt idx="117">
                  <c:v>5.9086108247865088E-2</c:v>
                </c:pt>
                <c:pt idx="118">
                  <c:v>5.9097036281481996E-2</c:v>
                </c:pt>
                <c:pt idx="119">
                  <c:v>5.9107276027694944E-2</c:v>
                </c:pt>
                <c:pt idx="120">
                  <c:v>5.9118217242231763E-2</c:v>
                </c:pt>
                <c:pt idx="121">
                  <c:v>5.9129140582113937E-2</c:v>
                </c:pt>
                <c:pt idx="122">
                  <c:v>5.9139416421125635E-2</c:v>
                </c:pt>
                <c:pt idx="123">
                  <c:v>5.9148730934770466E-2</c:v>
                </c:pt>
                <c:pt idx="124">
                  <c:v>5.9159027917921936E-2</c:v>
                </c:pt>
                <c:pt idx="125">
                  <c:v>5.9169312630432236E-2</c:v>
                </c:pt>
                <c:pt idx="126">
                  <c:v>5.9178682816678041E-2</c:v>
                </c:pt>
                <c:pt idx="127">
                  <c:v>5.9187911643766133E-2</c:v>
                </c:pt>
                <c:pt idx="128">
                  <c:v>5.9197608042833805E-2</c:v>
                </c:pt>
                <c:pt idx="129">
                  <c:v>5.9206713820925794E-2</c:v>
                </c:pt>
                <c:pt idx="130">
                  <c:v>5.9215838179056624E-2</c:v>
                </c:pt>
                <c:pt idx="131">
                  <c:v>5.9224540838497486E-2</c:v>
                </c:pt>
                <c:pt idx="132">
                  <c:v>5.92335457572577E-2</c:v>
                </c:pt>
                <c:pt idx="133">
                  <c:v>5.9250885939442277E-2</c:v>
                </c:pt>
                <c:pt idx="134">
                  <c:v>5.9267602491539062E-2</c:v>
                </c:pt>
                <c:pt idx="135">
                  <c:v>5.9283981376885508E-2</c:v>
                </c:pt>
                <c:pt idx="136">
                  <c:v>5.9299655612397473E-2</c:v>
                </c:pt>
                <c:pt idx="137">
                  <c:v>5.9315147837361915E-2</c:v>
                </c:pt>
                <c:pt idx="138">
                  <c:v>5.9329982265626136E-2</c:v>
                </c:pt>
                <c:pt idx="139">
                  <c:v>5.9344767976036161E-2</c:v>
                </c:pt>
                <c:pt idx="140">
                  <c:v>5.9358933106441247E-2</c:v>
                </c:pt>
                <c:pt idx="141">
                  <c:v>5.9373163394883077E-2</c:v>
                </c:pt>
                <c:pt idx="142">
                  <c:v>5.938659037320515E-2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7-DA4C-A36B-D6C899280F85}"/>
            </c:ext>
          </c:extLst>
        </c:ser>
        <c:ser>
          <c:idx val="2"/>
          <c:order val="1"/>
          <c:tx>
            <c:strRef>
              <c:f>Simulador!$O$4</c:f>
              <c:strCache>
                <c:ptCount val="1"/>
                <c:pt idx="0">
                  <c:v>Implícita Simulada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Simulador!$B$5:$B$147</c:f>
              <c:numCache>
                <c:formatCode>m/d/yy</c:formatCode>
                <c:ptCount val="143"/>
                <c:pt idx="0">
                  <c:v>44881</c:v>
                </c:pt>
                <c:pt idx="1">
                  <c:v>44972</c:v>
                </c:pt>
                <c:pt idx="2">
                  <c:v>45000</c:v>
                </c:pt>
                <c:pt idx="3">
                  <c:v>45061</c:v>
                </c:pt>
                <c:pt idx="4">
                  <c:v>45153</c:v>
                </c:pt>
                <c:pt idx="5">
                  <c:v>45246</c:v>
                </c:pt>
                <c:pt idx="6">
                  <c:v>45337</c:v>
                </c:pt>
                <c:pt idx="7">
                  <c:v>45427</c:v>
                </c:pt>
                <c:pt idx="8">
                  <c:v>45519</c:v>
                </c:pt>
                <c:pt idx="9">
                  <c:v>45614</c:v>
                </c:pt>
                <c:pt idx="10">
                  <c:v>45705</c:v>
                </c:pt>
                <c:pt idx="11">
                  <c:v>45792</c:v>
                </c:pt>
                <c:pt idx="12">
                  <c:v>45884</c:v>
                </c:pt>
                <c:pt idx="13">
                  <c:v>45978</c:v>
                </c:pt>
                <c:pt idx="14">
                  <c:v>46071</c:v>
                </c:pt>
                <c:pt idx="15">
                  <c:v>46157</c:v>
                </c:pt>
                <c:pt idx="16">
                  <c:v>46251</c:v>
                </c:pt>
                <c:pt idx="17">
                  <c:v>46342</c:v>
                </c:pt>
                <c:pt idx="18">
                  <c:v>46433</c:v>
                </c:pt>
                <c:pt idx="19">
                  <c:v>46524</c:v>
                </c:pt>
                <c:pt idx="20">
                  <c:v>46615</c:v>
                </c:pt>
                <c:pt idx="21">
                  <c:v>46707</c:v>
                </c:pt>
                <c:pt idx="22">
                  <c:v>46798</c:v>
                </c:pt>
                <c:pt idx="23">
                  <c:v>46888</c:v>
                </c:pt>
                <c:pt idx="24">
                  <c:v>46980</c:v>
                </c:pt>
                <c:pt idx="25">
                  <c:v>47073</c:v>
                </c:pt>
                <c:pt idx="26">
                  <c:v>47164</c:v>
                </c:pt>
                <c:pt idx="27">
                  <c:v>47253</c:v>
                </c:pt>
                <c:pt idx="28">
                  <c:v>47345</c:v>
                </c:pt>
                <c:pt idx="29">
                  <c:v>47438</c:v>
                </c:pt>
                <c:pt idx="30">
                  <c:v>47529</c:v>
                </c:pt>
                <c:pt idx="31">
                  <c:v>47618</c:v>
                </c:pt>
                <c:pt idx="32">
                  <c:v>47710</c:v>
                </c:pt>
                <c:pt idx="33">
                  <c:v>47805</c:v>
                </c:pt>
                <c:pt idx="34">
                  <c:v>47896</c:v>
                </c:pt>
                <c:pt idx="35">
                  <c:v>47983</c:v>
                </c:pt>
                <c:pt idx="36">
                  <c:v>48075</c:v>
                </c:pt>
                <c:pt idx="37">
                  <c:v>48169</c:v>
                </c:pt>
                <c:pt idx="38">
                  <c:v>48260</c:v>
                </c:pt>
                <c:pt idx="39">
                  <c:v>48351</c:v>
                </c:pt>
                <c:pt idx="40">
                  <c:v>48442</c:v>
                </c:pt>
                <c:pt idx="41">
                  <c:v>48534</c:v>
                </c:pt>
                <c:pt idx="42">
                  <c:v>48625</c:v>
                </c:pt>
                <c:pt idx="43">
                  <c:v>48715</c:v>
                </c:pt>
                <c:pt idx="44">
                  <c:v>48806</c:v>
                </c:pt>
                <c:pt idx="45">
                  <c:v>48899</c:v>
                </c:pt>
                <c:pt idx="46">
                  <c:v>48990</c:v>
                </c:pt>
                <c:pt idx="47">
                  <c:v>49079</c:v>
                </c:pt>
                <c:pt idx="48">
                  <c:v>49171</c:v>
                </c:pt>
                <c:pt idx="49">
                  <c:v>49264</c:v>
                </c:pt>
                <c:pt idx="50">
                  <c:v>49355</c:v>
                </c:pt>
                <c:pt idx="51">
                  <c:v>49444</c:v>
                </c:pt>
                <c:pt idx="52">
                  <c:v>49536</c:v>
                </c:pt>
                <c:pt idx="53">
                  <c:v>49629</c:v>
                </c:pt>
                <c:pt idx="54">
                  <c:v>49720</c:v>
                </c:pt>
                <c:pt idx="55">
                  <c:v>49810</c:v>
                </c:pt>
                <c:pt idx="56">
                  <c:v>49902</c:v>
                </c:pt>
                <c:pt idx="57">
                  <c:v>49996</c:v>
                </c:pt>
                <c:pt idx="58">
                  <c:v>50089</c:v>
                </c:pt>
                <c:pt idx="59">
                  <c:v>50175</c:v>
                </c:pt>
                <c:pt idx="60">
                  <c:v>50269</c:v>
                </c:pt>
                <c:pt idx="61">
                  <c:v>50360</c:v>
                </c:pt>
                <c:pt idx="62">
                  <c:v>50451</c:v>
                </c:pt>
                <c:pt idx="63">
                  <c:v>50542</c:v>
                </c:pt>
                <c:pt idx="64">
                  <c:v>50633</c:v>
                </c:pt>
                <c:pt idx="65">
                  <c:v>50725</c:v>
                </c:pt>
                <c:pt idx="66">
                  <c:v>50816</c:v>
                </c:pt>
                <c:pt idx="67">
                  <c:v>50906</c:v>
                </c:pt>
                <c:pt idx="68">
                  <c:v>50997</c:v>
                </c:pt>
                <c:pt idx="69">
                  <c:v>51090</c:v>
                </c:pt>
                <c:pt idx="70">
                  <c:v>51181</c:v>
                </c:pt>
                <c:pt idx="71">
                  <c:v>51271</c:v>
                </c:pt>
                <c:pt idx="72">
                  <c:v>51363</c:v>
                </c:pt>
                <c:pt idx="73">
                  <c:v>51456</c:v>
                </c:pt>
                <c:pt idx="74">
                  <c:v>51547</c:v>
                </c:pt>
                <c:pt idx="75">
                  <c:v>51636</c:v>
                </c:pt>
                <c:pt idx="76">
                  <c:v>51728</c:v>
                </c:pt>
                <c:pt idx="77">
                  <c:v>51823</c:v>
                </c:pt>
                <c:pt idx="78">
                  <c:v>51916</c:v>
                </c:pt>
                <c:pt idx="79">
                  <c:v>52001</c:v>
                </c:pt>
                <c:pt idx="80">
                  <c:v>52093</c:v>
                </c:pt>
                <c:pt idx="81">
                  <c:v>52187</c:v>
                </c:pt>
                <c:pt idx="82">
                  <c:v>52278</c:v>
                </c:pt>
                <c:pt idx="83">
                  <c:v>52366</c:v>
                </c:pt>
                <c:pt idx="84">
                  <c:v>52460</c:v>
                </c:pt>
                <c:pt idx="85">
                  <c:v>52551</c:v>
                </c:pt>
                <c:pt idx="86">
                  <c:v>52642</c:v>
                </c:pt>
                <c:pt idx="87">
                  <c:v>52733</c:v>
                </c:pt>
                <c:pt idx="88">
                  <c:v>52824</c:v>
                </c:pt>
                <c:pt idx="89">
                  <c:v>52917</c:v>
                </c:pt>
                <c:pt idx="90">
                  <c:v>53008</c:v>
                </c:pt>
                <c:pt idx="91">
                  <c:v>53097</c:v>
                </c:pt>
                <c:pt idx="92">
                  <c:v>53189</c:v>
                </c:pt>
                <c:pt idx="93">
                  <c:v>53282</c:v>
                </c:pt>
                <c:pt idx="94">
                  <c:v>53373</c:v>
                </c:pt>
                <c:pt idx="95">
                  <c:v>53462</c:v>
                </c:pt>
                <c:pt idx="96">
                  <c:v>53554</c:v>
                </c:pt>
                <c:pt idx="97">
                  <c:v>53647</c:v>
                </c:pt>
                <c:pt idx="98">
                  <c:v>53738</c:v>
                </c:pt>
                <c:pt idx="99">
                  <c:v>53827</c:v>
                </c:pt>
                <c:pt idx="100">
                  <c:v>53919</c:v>
                </c:pt>
                <c:pt idx="101">
                  <c:v>54014</c:v>
                </c:pt>
                <c:pt idx="102">
                  <c:v>54107</c:v>
                </c:pt>
                <c:pt idx="103">
                  <c:v>54193</c:v>
                </c:pt>
                <c:pt idx="104">
                  <c:v>54287</c:v>
                </c:pt>
                <c:pt idx="105">
                  <c:v>54378</c:v>
                </c:pt>
                <c:pt idx="106">
                  <c:v>54469</c:v>
                </c:pt>
                <c:pt idx="107">
                  <c:v>54560</c:v>
                </c:pt>
                <c:pt idx="108">
                  <c:v>54651</c:v>
                </c:pt>
                <c:pt idx="109">
                  <c:v>54743</c:v>
                </c:pt>
                <c:pt idx="110">
                  <c:v>54834</c:v>
                </c:pt>
                <c:pt idx="111">
                  <c:v>54924</c:v>
                </c:pt>
                <c:pt idx="112">
                  <c:v>55015</c:v>
                </c:pt>
                <c:pt idx="113">
                  <c:v>55108</c:v>
                </c:pt>
                <c:pt idx="114">
                  <c:v>55199</c:v>
                </c:pt>
                <c:pt idx="115">
                  <c:v>55288</c:v>
                </c:pt>
                <c:pt idx="116">
                  <c:v>55380</c:v>
                </c:pt>
                <c:pt idx="117">
                  <c:v>55473</c:v>
                </c:pt>
                <c:pt idx="118">
                  <c:v>55564</c:v>
                </c:pt>
                <c:pt idx="119">
                  <c:v>55654</c:v>
                </c:pt>
                <c:pt idx="120">
                  <c:v>55746</c:v>
                </c:pt>
                <c:pt idx="121">
                  <c:v>55841</c:v>
                </c:pt>
                <c:pt idx="122">
                  <c:v>55934</c:v>
                </c:pt>
                <c:pt idx="123">
                  <c:v>56019</c:v>
                </c:pt>
                <c:pt idx="124">
                  <c:v>56111</c:v>
                </c:pt>
                <c:pt idx="125">
                  <c:v>56205</c:v>
                </c:pt>
                <c:pt idx="126">
                  <c:v>56296</c:v>
                </c:pt>
                <c:pt idx="127">
                  <c:v>56384</c:v>
                </c:pt>
                <c:pt idx="128">
                  <c:v>56478</c:v>
                </c:pt>
                <c:pt idx="129">
                  <c:v>56569</c:v>
                </c:pt>
                <c:pt idx="130">
                  <c:v>56660</c:v>
                </c:pt>
                <c:pt idx="131">
                  <c:v>56751</c:v>
                </c:pt>
                <c:pt idx="132">
                  <c:v>56842</c:v>
                </c:pt>
                <c:pt idx="133">
                  <c:v>57026</c:v>
                </c:pt>
                <c:pt idx="134">
                  <c:v>57207</c:v>
                </c:pt>
                <c:pt idx="135">
                  <c:v>57391</c:v>
                </c:pt>
                <c:pt idx="136">
                  <c:v>57572</c:v>
                </c:pt>
                <c:pt idx="137">
                  <c:v>57756</c:v>
                </c:pt>
                <c:pt idx="138">
                  <c:v>57937</c:v>
                </c:pt>
                <c:pt idx="139">
                  <c:v>58123</c:v>
                </c:pt>
                <c:pt idx="140">
                  <c:v>58302</c:v>
                </c:pt>
                <c:pt idx="141">
                  <c:v>58487</c:v>
                </c:pt>
                <c:pt idx="142">
                  <c:v>58669</c:v>
                </c:pt>
              </c:numCache>
            </c:numRef>
          </c:cat>
          <c:val>
            <c:numRef>
              <c:f>Simulador!$O$5:$O$147</c:f>
              <c:numCache>
                <c:formatCode>0.00%</c:formatCode>
                <c:ptCount val="143"/>
                <c:pt idx="0">
                  <c:v>3.9260043860060989E-2</c:v>
                </c:pt>
                <c:pt idx="1">
                  <c:v>4.5724704287595008E-2</c:v>
                </c:pt>
                <c:pt idx="2">
                  <c:v>4.6895451319471704E-2</c:v>
                </c:pt>
                <c:pt idx="3">
                  <c:v>4.8774403248048603E-2</c:v>
                </c:pt>
                <c:pt idx="4">
                  <c:v>5.0400974841755763E-2</c:v>
                </c:pt>
                <c:pt idx="5">
                  <c:v>5.1052336771006734E-2</c:v>
                </c:pt>
                <c:pt idx="6">
                  <c:v>5.1308537686221012E-2</c:v>
                </c:pt>
                <c:pt idx="7">
                  <c:v>5.145750573058927E-2</c:v>
                </c:pt>
                <c:pt idx="8">
                  <c:v>5.1636418386285854E-2</c:v>
                </c:pt>
                <c:pt idx="9">
                  <c:v>5.1902571978476253E-2</c:v>
                </c:pt>
                <c:pt idx="10">
                  <c:v>5.2245707571055622E-2</c:v>
                </c:pt>
                <c:pt idx="11">
                  <c:v>5.2626601395276529E-2</c:v>
                </c:pt>
                <c:pt idx="12">
                  <c:v>5.3104968591759505E-2</c:v>
                </c:pt>
                <c:pt idx="13">
                  <c:v>5.3651431773697356E-2</c:v>
                </c:pt>
                <c:pt idx="14">
                  <c:v>5.4141996542348858E-2</c:v>
                </c:pt>
                <c:pt idx="15">
                  <c:v>5.4589692520684352E-2</c:v>
                </c:pt>
                <c:pt idx="16">
                  <c:v>5.5066564562549658E-2</c:v>
                </c:pt>
                <c:pt idx="17">
                  <c:v>5.5484848781022444E-2</c:v>
                </c:pt>
                <c:pt idx="18">
                  <c:v>5.5866933897950277E-2</c:v>
                </c:pt>
                <c:pt idx="19">
                  <c:v>5.6218908932760714E-2</c:v>
                </c:pt>
                <c:pt idx="20">
                  <c:v>5.6538828426135002E-2</c:v>
                </c:pt>
                <c:pt idx="21">
                  <c:v>5.6808529739978075E-2</c:v>
                </c:pt>
                <c:pt idx="22">
                  <c:v>5.7054164176732813E-2</c:v>
                </c:pt>
                <c:pt idx="23">
                  <c:v>5.724503337137854E-2</c:v>
                </c:pt>
                <c:pt idx="24">
                  <c:v>5.742304317837621E-2</c:v>
                </c:pt>
                <c:pt idx="25">
                  <c:v>5.7567744841153123E-2</c:v>
                </c:pt>
                <c:pt idx="26">
                  <c:v>5.7683163424037343E-2</c:v>
                </c:pt>
                <c:pt idx="27">
                  <c:v>5.7779762342214047E-2</c:v>
                </c:pt>
                <c:pt idx="28">
                  <c:v>5.7860887908244507E-2</c:v>
                </c:pt>
                <c:pt idx="29">
                  <c:v>5.7924849221559604E-2</c:v>
                </c:pt>
                <c:pt idx="30">
                  <c:v>5.7973532188232424E-2</c:v>
                </c:pt>
                <c:pt idx="31">
                  <c:v>5.8010297393168875E-2</c:v>
                </c:pt>
                <c:pt idx="32">
                  <c:v>5.8039061744824538E-2</c:v>
                </c:pt>
                <c:pt idx="33">
                  <c:v>5.8061291362325296E-2</c:v>
                </c:pt>
                <c:pt idx="34">
                  <c:v>5.8075178529090499E-2</c:v>
                </c:pt>
                <c:pt idx="35">
                  <c:v>5.8084434014569641E-2</c:v>
                </c:pt>
                <c:pt idx="36">
                  <c:v>5.8089895028151872E-2</c:v>
                </c:pt>
                <c:pt idx="37">
                  <c:v>5.8093103419797343E-2</c:v>
                </c:pt>
                <c:pt idx="38">
                  <c:v>5.8093588183373734E-2</c:v>
                </c:pt>
                <c:pt idx="39">
                  <c:v>5.8093166894075399E-2</c:v>
                </c:pt>
                <c:pt idx="40">
                  <c:v>5.8091578017454903E-2</c:v>
                </c:pt>
                <c:pt idx="41">
                  <c:v>5.8089951278503804E-2</c:v>
                </c:pt>
                <c:pt idx="42">
                  <c:v>5.8088111866002823E-2</c:v>
                </c:pt>
                <c:pt idx="43">
                  <c:v>5.8086840033223508E-2</c:v>
                </c:pt>
                <c:pt idx="44">
                  <c:v>5.8086017122378264E-2</c:v>
                </c:pt>
                <c:pt idx="45">
                  <c:v>5.8085960589666641E-2</c:v>
                </c:pt>
                <c:pt idx="46">
                  <c:v>5.8086868517013501E-2</c:v>
                </c:pt>
                <c:pt idx="47">
                  <c:v>5.8088485012417923E-2</c:v>
                </c:pt>
                <c:pt idx="48">
                  <c:v>5.809152730404965E-2</c:v>
                </c:pt>
                <c:pt idx="49">
                  <c:v>5.8095387399661913E-2</c:v>
                </c:pt>
                <c:pt idx="50">
                  <c:v>5.810037436798976E-2</c:v>
                </c:pt>
                <c:pt idx="51">
                  <c:v>5.8106093860155639E-2</c:v>
                </c:pt>
                <c:pt idx="52">
                  <c:v>5.8113662146890954E-2</c:v>
                </c:pt>
                <c:pt idx="53">
                  <c:v>5.8121726259442674E-2</c:v>
                </c:pt>
                <c:pt idx="54">
                  <c:v>5.8131103872528289E-2</c:v>
                </c:pt>
                <c:pt idx="55">
                  <c:v>5.8140396215799139E-2</c:v>
                </c:pt>
                <c:pt idx="56">
                  <c:v>5.8152005046111732E-2</c:v>
                </c:pt>
                <c:pt idx="57">
                  <c:v>5.8164335714771864E-2</c:v>
                </c:pt>
                <c:pt idx="58">
                  <c:v>5.8177190059257589E-2</c:v>
                </c:pt>
                <c:pt idx="59">
                  <c:v>5.8189597608516941E-2</c:v>
                </c:pt>
                <c:pt idx="60">
                  <c:v>5.8204320020614153E-2</c:v>
                </c:pt>
                <c:pt idx="61">
                  <c:v>5.8218636843994753E-2</c:v>
                </c:pt>
                <c:pt idx="62">
                  <c:v>5.8234064269589547E-2</c:v>
                </c:pt>
                <c:pt idx="63">
                  <c:v>5.8249146813281527E-2</c:v>
                </c:pt>
                <c:pt idx="64">
                  <c:v>5.8265780259018296E-2</c:v>
                </c:pt>
                <c:pt idx="65">
                  <c:v>5.8281950568933816E-2</c:v>
                </c:pt>
                <c:pt idx="66">
                  <c:v>5.8299588626735677E-2</c:v>
                </c:pt>
                <c:pt idx="67">
                  <c:v>5.8315858446627677E-2</c:v>
                </c:pt>
                <c:pt idx="68">
                  <c:v>5.8333783790841975E-2</c:v>
                </c:pt>
                <c:pt idx="69">
                  <c:v>5.8351355071909472E-2</c:v>
                </c:pt>
                <c:pt idx="70">
                  <c:v>5.8369365588984978E-2</c:v>
                </c:pt>
                <c:pt idx="71">
                  <c:v>5.8386966646712279E-2</c:v>
                </c:pt>
                <c:pt idx="72">
                  <c:v>5.8405778317638379E-2</c:v>
                </c:pt>
                <c:pt idx="73">
                  <c:v>5.8423866606378105E-2</c:v>
                </c:pt>
                <c:pt idx="74">
                  <c:v>5.8442186408470986E-2</c:v>
                </c:pt>
                <c:pt idx="75">
                  <c:v>5.8459157769596759E-2</c:v>
                </c:pt>
                <c:pt idx="76">
                  <c:v>5.8478069407634115E-2</c:v>
                </c:pt>
                <c:pt idx="77">
                  <c:v>5.8497046040423495E-2</c:v>
                </c:pt>
                <c:pt idx="78">
                  <c:v>5.8515239987320333E-2</c:v>
                </c:pt>
                <c:pt idx="79">
                  <c:v>5.8531779802490691E-2</c:v>
                </c:pt>
                <c:pt idx="80">
                  <c:v>5.8550394858682964E-2</c:v>
                </c:pt>
                <c:pt idx="81">
                  <c:v>5.8569033512437585E-2</c:v>
                </c:pt>
                <c:pt idx="82">
                  <c:v>5.8586246244419105E-2</c:v>
                </c:pt>
                <c:pt idx="83">
                  <c:v>5.8603215109393147E-2</c:v>
                </c:pt>
                <c:pt idx="84">
                  <c:v>5.862126756361441E-2</c:v>
                </c:pt>
                <c:pt idx="85">
                  <c:v>5.8638222729547884E-2</c:v>
                </c:pt>
                <c:pt idx="86">
                  <c:v>5.8655385857119935E-2</c:v>
                </c:pt>
                <c:pt idx="87">
                  <c:v>5.8671739477065055E-2</c:v>
                </c:pt>
                <c:pt idx="88">
                  <c:v>5.8688814240932752E-2</c:v>
                </c:pt>
                <c:pt idx="89">
                  <c:v>5.8705343244700003E-2</c:v>
                </c:pt>
                <c:pt idx="90">
                  <c:v>5.8722275893555054E-2</c:v>
                </c:pt>
                <c:pt idx="91">
                  <c:v>5.8737133598216307E-2</c:v>
                </c:pt>
                <c:pt idx="92">
                  <c:v>5.8753667551804112E-2</c:v>
                </c:pt>
                <c:pt idx="93">
                  <c:v>5.8769413621907463E-2</c:v>
                </c:pt>
                <c:pt idx="94">
                  <c:v>5.8784528716759432E-2</c:v>
                </c:pt>
                <c:pt idx="95">
                  <c:v>5.8799381721219346E-2</c:v>
                </c:pt>
                <c:pt idx="96">
                  <c:v>5.8815064940877626E-2</c:v>
                </c:pt>
                <c:pt idx="97">
                  <c:v>5.8829992912210027E-2</c:v>
                </c:pt>
                <c:pt idx="98">
                  <c:v>5.88447660979734E-2</c:v>
                </c:pt>
                <c:pt idx="99">
                  <c:v>5.8858358842431624E-2</c:v>
                </c:pt>
                <c:pt idx="100">
                  <c:v>5.8873180945232306E-2</c:v>
                </c:pt>
                <c:pt idx="101">
                  <c:v>5.8887956867165414E-2</c:v>
                </c:pt>
                <c:pt idx="102">
                  <c:v>5.8901887570582678E-2</c:v>
                </c:pt>
                <c:pt idx="103">
                  <c:v>5.8914710998978048E-2</c:v>
                </c:pt>
                <c:pt idx="104">
                  <c:v>5.8928673007986543E-2</c:v>
                </c:pt>
                <c:pt idx="105">
                  <c:v>5.8941755679680075E-2</c:v>
                </c:pt>
                <c:pt idx="106">
                  <c:v>5.8954884267646168E-2</c:v>
                </c:pt>
                <c:pt idx="107">
                  <c:v>5.8967376894799139E-2</c:v>
                </c:pt>
                <c:pt idx="108">
                  <c:v>5.8980318541968391E-2</c:v>
                </c:pt>
                <c:pt idx="109">
                  <c:v>5.8992638071407866E-2</c:v>
                </c:pt>
                <c:pt idx="110">
                  <c:v>5.9005382648950055E-2</c:v>
                </c:pt>
                <c:pt idx="111">
                  <c:v>5.9016945962957701E-2</c:v>
                </c:pt>
                <c:pt idx="112">
                  <c:v>5.9029119259779605E-2</c:v>
                </c:pt>
                <c:pt idx="113">
                  <c:v>5.9040897327267139E-2</c:v>
                </c:pt>
                <c:pt idx="114">
                  <c:v>5.9052515136362116E-2</c:v>
                </c:pt>
                <c:pt idx="115">
                  <c:v>5.9063396879898145E-2</c:v>
                </c:pt>
                <c:pt idx="116">
                  <c:v>5.9075026627574356E-2</c:v>
                </c:pt>
                <c:pt idx="117">
                  <c:v>5.9086108247865088E-2</c:v>
                </c:pt>
                <c:pt idx="118">
                  <c:v>5.9097036281481996E-2</c:v>
                </c:pt>
                <c:pt idx="119">
                  <c:v>5.9107276027694944E-2</c:v>
                </c:pt>
                <c:pt idx="120">
                  <c:v>5.9118217242231763E-2</c:v>
                </c:pt>
                <c:pt idx="121">
                  <c:v>5.9129140582113937E-2</c:v>
                </c:pt>
                <c:pt idx="122">
                  <c:v>5.9139416421125635E-2</c:v>
                </c:pt>
                <c:pt idx="123">
                  <c:v>5.9148730934770466E-2</c:v>
                </c:pt>
                <c:pt idx="124">
                  <c:v>5.9159027917921936E-2</c:v>
                </c:pt>
                <c:pt idx="125">
                  <c:v>5.9169312630432236E-2</c:v>
                </c:pt>
                <c:pt idx="126">
                  <c:v>5.9178682816678041E-2</c:v>
                </c:pt>
                <c:pt idx="127">
                  <c:v>5.9187911643766133E-2</c:v>
                </c:pt>
                <c:pt idx="128">
                  <c:v>5.9197608042833805E-2</c:v>
                </c:pt>
                <c:pt idx="129">
                  <c:v>5.9206713820925794E-2</c:v>
                </c:pt>
                <c:pt idx="130">
                  <c:v>5.9215838179056624E-2</c:v>
                </c:pt>
                <c:pt idx="131">
                  <c:v>5.9224540838497486E-2</c:v>
                </c:pt>
                <c:pt idx="132">
                  <c:v>5.92335457572577E-2</c:v>
                </c:pt>
                <c:pt idx="133">
                  <c:v>5.9250885939442277E-2</c:v>
                </c:pt>
                <c:pt idx="134">
                  <c:v>5.9267602491539062E-2</c:v>
                </c:pt>
                <c:pt idx="135">
                  <c:v>5.9283981376885508E-2</c:v>
                </c:pt>
                <c:pt idx="136">
                  <c:v>5.9299655612397473E-2</c:v>
                </c:pt>
                <c:pt idx="137">
                  <c:v>5.9315147837361915E-2</c:v>
                </c:pt>
                <c:pt idx="138">
                  <c:v>5.9329982265626136E-2</c:v>
                </c:pt>
                <c:pt idx="139">
                  <c:v>5.9344767976036161E-2</c:v>
                </c:pt>
                <c:pt idx="140">
                  <c:v>5.9358933106441247E-2</c:v>
                </c:pt>
                <c:pt idx="141">
                  <c:v>5.9373163394883077E-2</c:v>
                </c:pt>
                <c:pt idx="142">
                  <c:v>5.938659037320515E-2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57-DA4C-A36B-D6C899280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9059567"/>
        <c:axId val="1679061215"/>
      </c:lineChart>
      <c:dateAx>
        <c:axId val="1679059567"/>
        <c:scaling>
          <c:orientation val="minMax"/>
        </c:scaling>
        <c:delete val="0"/>
        <c:axPos val="b"/>
        <c:numFmt formatCode="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79061215"/>
        <c:crosses val="autoZero"/>
        <c:auto val="1"/>
        <c:lblOffset val="100"/>
        <c:baseTimeUnit val="months"/>
        <c:majorUnit val="60"/>
        <c:majorTimeUnit val="months"/>
      </c:dateAx>
      <c:valAx>
        <c:axId val="1679061215"/>
        <c:scaling>
          <c:orientation val="minMax"/>
          <c:min val="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solidFill>
              <a:srgbClr val="00206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BR"/>
          </a:p>
        </c:txPr>
        <c:crossAx val="1679059567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n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hyperlink" Target="https://github.com/milton-rocha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hyperlink" Target="https://medium.com/@milton-rocha" TargetMode="Externa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751840</xdr:colOff>
      <xdr:row>8</xdr:row>
      <xdr:rowOff>0</xdr:rowOff>
    </xdr:from>
    <xdr:to>
      <xdr:col>10</xdr:col>
      <xdr:colOff>955040</xdr:colOff>
      <xdr:row>23</xdr:row>
      <xdr:rowOff>172720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DB68C00D-126C-B647-A22C-D5F8914D0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118691</xdr:colOff>
      <xdr:row>72</xdr:row>
      <xdr:rowOff>0</xdr:rowOff>
    </xdr:from>
    <xdr:to>
      <xdr:col>13</xdr:col>
      <xdr:colOff>243246</xdr:colOff>
      <xdr:row>119</xdr:row>
      <xdr:rowOff>64568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4F91DF31-7515-D043-9B11-25E568815679}"/>
            </a:ext>
          </a:extLst>
        </xdr:cNvPr>
        <xdr:cNvGrpSpPr/>
      </xdr:nvGrpSpPr>
      <xdr:grpSpPr>
        <a:xfrm>
          <a:off x="118691" y="15087600"/>
          <a:ext cx="13904055" cy="9614968"/>
          <a:chOff x="13766800" y="8458200"/>
          <a:chExt cx="13220700" cy="9042400"/>
        </a:xfrm>
      </xdr:grpSpPr>
      <xdr:graphicFrame macro="">
        <xdr:nvGraphicFramePr>
          <xdr:cNvPr id="26" name="Chart 25">
            <a:extLst>
              <a:ext uri="{FF2B5EF4-FFF2-40B4-BE49-F238E27FC236}">
                <a16:creationId xmlns:a16="http://schemas.microsoft.com/office/drawing/2014/main" id="{134E5BBE-F3F8-E660-CE0A-50A358E98D61}"/>
              </a:ext>
            </a:extLst>
          </xdr:cNvPr>
          <xdr:cNvGraphicFramePr>
            <a:graphicFrameLocks/>
          </xdr:cNvGraphicFramePr>
        </xdr:nvGraphicFramePr>
        <xdr:xfrm>
          <a:off x="13817600" y="8458200"/>
          <a:ext cx="6680200" cy="4445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7" name="Chart 26">
            <a:extLst>
              <a:ext uri="{FF2B5EF4-FFF2-40B4-BE49-F238E27FC236}">
                <a16:creationId xmlns:a16="http://schemas.microsoft.com/office/drawing/2014/main" id="{10F4DEC1-07A8-3106-98CD-5C0A9B94D951}"/>
              </a:ext>
            </a:extLst>
          </xdr:cNvPr>
          <xdr:cNvGraphicFramePr>
            <a:graphicFrameLocks/>
          </xdr:cNvGraphicFramePr>
        </xdr:nvGraphicFramePr>
        <xdr:xfrm>
          <a:off x="20307300" y="8470900"/>
          <a:ext cx="6680200" cy="4445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8" name="Chart 27">
            <a:extLst>
              <a:ext uri="{FF2B5EF4-FFF2-40B4-BE49-F238E27FC236}">
                <a16:creationId xmlns:a16="http://schemas.microsoft.com/office/drawing/2014/main" id="{23BA0D65-3CB9-DFC8-1974-25A72F307FDE}"/>
              </a:ext>
            </a:extLst>
          </xdr:cNvPr>
          <xdr:cNvGraphicFramePr>
            <a:graphicFrameLocks/>
          </xdr:cNvGraphicFramePr>
        </xdr:nvGraphicFramePr>
        <xdr:xfrm>
          <a:off x="13766800" y="12941300"/>
          <a:ext cx="12928600" cy="4559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 editAs="oneCell">
    <xdr:from>
      <xdr:col>1</xdr:col>
      <xdr:colOff>781050</xdr:colOff>
      <xdr:row>3</xdr:row>
      <xdr:rowOff>69850</xdr:rowOff>
    </xdr:from>
    <xdr:to>
      <xdr:col>1</xdr:col>
      <xdr:colOff>1416050</xdr:colOff>
      <xdr:row>5</xdr:row>
      <xdr:rowOff>31750</xdr:rowOff>
    </xdr:to>
    <xdr:pic>
      <xdr:nvPicPr>
        <xdr:cNvPr id="30" name="Pictur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A6B558F-B5CB-5D90-F825-BB14235F5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8850" y="501650"/>
          <a:ext cx="635000" cy="368300"/>
        </a:xfrm>
        <a:prstGeom prst="rect">
          <a:avLst/>
        </a:prstGeom>
      </xdr:spPr>
    </xdr:pic>
    <xdr:clientData/>
  </xdr:twoCellAnchor>
  <xdr:twoCellAnchor editAs="oneCell">
    <xdr:from>
      <xdr:col>1</xdr:col>
      <xdr:colOff>777551</xdr:colOff>
      <xdr:row>6</xdr:row>
      <xdr:rowOff>35638</xdr:rowOff>
    </xdr:from>
    <xdr:to>
      <xdr:col>1</xdr:col>
      <xdr:colOff>1182526</xdr:colOff>
      <xdr:row>8</xdr:row>
      <xdr:rowOff>22679</xdr:rowOff>
    </xdr:to>
    <xdr:pic>
      <xdr:nvPicPr>
        <xdr:cNvPr id="31" name="Picture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C3491A1-BD1A-93EB-F4FD-8B9CDE6376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19809" t="9295" r="14244" b="8932"/>
        <a:stretch/>
      </xdr:blipFill>
      <xdr:spPr>
        <a:xfrm>
          <a:off x="955740" y="1312118"/>
          <a:ext cx="404975" cy="3952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812800</xdr:colOff>
      <xdr:row>3</xdr:row>
      <xdr:rowOff>0</xdr:rowOff>
    </xdr:from>
    <xdr:to>
      <xdr:col>20</xdr:col>
      <xdr:colOff>889000</xdr:colOff>
      <xdr:row>3</xdr:row>
      <xdr:rowOff>469900</xdr:rowOff>
    </xdr:to>
    <xdr:sp macro="[0]!getValues" textlink="">
      <xdr:nvSpPr>
        <xdr:cNvPr id="5" name="Rounded Rectangle 4">
          <a:extLst>
            <a:ext uri="{FF2B5EF4-FFF2-40B4-BE49-F238E27FC236}">
              <a16:creationId xmlns:a16="http://schemas.microsoft.com/office/drawing/2014/main" id="{415BD5BB-2EA1-3DE8-DC17-457AF51C4986}"/>
            </a:ext>
          </a:extLst>
        </xdr:cNvPr>
        <xdr:cNvSpPr/>
      </xdr:nvSpPr>
      <xdr:spPr>
        <a:xfrm>
          <a:off x="9652000" y="203200"/>
          <a:ext cx="901700" cy="469900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Pega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Valores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20</xdr:col>
      <xdr:colOff>44450</xdr:colOff>
      <xdr:row>28</xdr:row>
      <xdr:rowOff>146050</xdr:rowOff>
    </xdr:from>
    <xdr:to>
      <xdr:col>26</xdr:col>
      <xdr:colOff>76200</xdr:colOff>
      <xdr:row>45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CA9FFC4-9264-FD42-87BD-BCEFE5F387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50800</xdr:colOff>
      <xdr:row>12</xdr:row>
      <xdr:rowOff>0</xdr:rowOff>
    </xdr:from>
    <xdr:to>
      <xdr:col>26</xdr:col>
      <xdr:colOff>82550</xdr:colOff>
      <xdr:row>28</xdr:row>
      <xdr:rowOff>133350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56FF1653-8392-4A48-8E80-D3DF45E5A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34</xdr:col>
      <xdr:colOff>495300</xdr:colOff>
      <xdr:row>90</xdr:row>
      <xdr:rowOff>101600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B74D3C4-6892-C24B-A97F-B615CEFCF70F}"/>
            </a:ext>
          </a:extLst>
        </xdr:cNvPr>
        <xdr:cNvGrpSpPr/>
      </xdr:nvGrpSpPr>
      <xdr:grpSpPr>
        <a:xfrm>
          <a:off x="16865600" y="9728200"/>
          <a:ext cx="13957300" cy="9067800"/>
          <a:chOff x="13766800" y="8458200"/>
          <a:chExt cx="13220700" cy="9042400"/>
        </a:xfrm>
      </xdr:grpSpPr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4D358BE0-694C-B54A-70E5-51BB729893C2}"/>
              </a:ext>
            </a:extLst>
          </xdr:cNvPr>
          <xdr:cNvGraphicFramePr>
            <a:graphicFrameLocks/>
          </xdr:cNvGraphicFramePr>
        </xdr:nvGraphicFramePr>
        <xdr:xfrm>
          <a:off x="13817600" y="8458200"/>
          <a:ext cx="6680200" cy="4445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44678B70-6965-E276-170B-8F9282EC976D}"/>
              </a:ext>
            </a:extLst>
          </xdr:cNvPr>
          <xdr:cNvGraphicFramePr>
            <a:graphicFrameLocks/>
          </xdr:cNvGraphicFramePr>
        </xdr:nvGraphicFramePr>
        <xdr:xfrm>
          <a:off x="20307300" y="8470900"/>
          <a:ext cx="6680200" cy="4445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19CA2B00-E778-BBA1-126D-B0BA372D22DF}"/>
              </a:ext>
            </a:extLst>
          </xdr:cNvPr>
          <xdr:cNvGraphicFramePr>
            <a:graphicFrameLocks/>
          </xdr:cNvGraphicFramePr>
        </xdr:nvGraphicFramePr>
        <xdr:xfrm>
          <a:off x="13766800" y="12941300"/>
          <a:ext cx="12928600" cy="4559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B56C4B-15A2-B44E-9B3F-A74F84A4C09B}" name="tbl_Bonds" displayName="tbl_Bonds" ref="A1:AA386" totalsRowShown="0" headerRowDxfId="15" dataDxfId="28">
  <autoFilter ref="A1:AA386" xr:uid="{81B56C4B-15A2-B44E-9B3F-A74F84A4C09B}"/>
  <tableColumns count="27">
    <tableColumn id="1" xr3:uid="{8055EB47-3675-3D4A-B3BF-24500C2E2A5D}" name="Bond" dataDxfId="27"/>
    <tableColumn id="2" xr3:uid="{E6A1A8BF-D461-0F41-A816-708868449284}" name="Maturity" dataDxfId="26"/>
    <tableColumn id="3" xr3:uid="{99BFB665-9270-BC4F-9E4A-A69260D8A7B2}" name="Coupon" dataDxfId="25"/>
    <tableColumn id="4" xr3:uid="{4F5C4869-02ED-164D-8594-D50D545F3E29}" name="DU" dataDxfId="24">
      <calculatedColumnFormula>NETWORKDAYS(Dashboard!$C$10,bonds!C2,feriados)-1</calculatedColumnFormula>
    </tableColumn>
    <tableColumn id="5" xr3:uid="{E07EC818-B083-7F4F-8D1F-6AD7DF6BB0CB}" name="FC" dataDxfId="16">
      <calculatedColumnFormula>IF(tbl_Bonds[[#This Row],[Coupon]]&lt;tbl_Bonds[[#This Row],[Maturity]],SQRT(1.06)-1,SQRT(1.06))</calculatedColumnFormula>
    </tableColumn>
    <tableColumn id="26" xr3:uid="{D8C66B38-55FC-D044-A740-F8C941A21EE7}" name="Pré Mercado" dataDxfId="3">
      <calculatedColumnFormula array="1">Svensson(betas_pre,tbl_Bonds[[#This Row],[DU]])</calculatedColumnFormula>
    </tableColumn>
    <tableColumn id="25" xr3:uid="{8BFC8D0D-FF21-1E44-906A-82A992A59C6E}" name="Shift Pré" dataDxfId="8">
      <calculatedColumnFormula>IF(curve_type="Simulada",_xlfn.XLOOKUP(tbl_Bonds[[#This Row],[Coupon]],Simulador!$B$5:$B$147,Simulador!$H$5:$H$147),0)</calculatedColumnFormula>
    </tableColumn>
    <tableColumn id="6" xr3:uid="{A0F9933D-568F-8D48-BE61-03DA2B0A6047}" name="Pré Simulada" dataDxfId="1">
      <calculatedColumnFormula array="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calculatedColumnFormula>
    </tableColumn>
    <tableColumn id="27" xr3:uid="{2C07ADB4-6621-734F-AA60-BA2C71CFD816}" name="Implícita Mercado" dataDxfId="5">
      <calculatedColumnFormula array="1">Interpola_FF(tbl_Bonds[[#This Row],[DU]],dus_svensson,svensson_implicita)</calculatedColumnFormula>
    </tableColumn>
    <tableColumn id="16" xr3:uid="{63A5049D-A8ED-6E4E-8507-F1784644C4F1}" name="Shift Implícita" dataDxfId="7">
      <calculatedColumnFormula>IF(curve_type="Simulada",_xlfn.XLOOKUP(tbl_Bonds[[#This Row],[Coupon]],Simulador!$B$5:$B$147,Simulador!$N$5:$N$147),0)</calculatedColumnFormula>
    </tableColumn>
    <tableColumn id="7" xr3:uid="{9BCD2179-9D9E-7D45-8B7F-82075E28CE70}" name="Implícita Simulada" dataDxfId="0">
      <calculatedColumnFormula array="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calculatedColumnFormula>
    </tableColumn>
    <tableColumn id="28" xr3:uid="{32DD45E7-3C43-CE4E-BFCD-ED73096A5F45}" name="Real Mercado" dataDxfId="4">
      <calculatedColumnFormula array="1">Interpola_FF(tbl_Bonds[[#This Row],[DU]],dus_svensson,svensson_real_spot)</calculatedColumnFormula>
    </tableColumn>
    <tableColumn id="24" xr3:uid="{8F0F5DF8-7560-9F4C-9B26-B6CAE4421003}" name="Shift Real" dataDxfId="6">
      <calculatedColumnFormula>IF(curve_type="Simulada",_xlfn.XLOOKUP(tbl_Bonds[[#This Row],[Coupon]],Simulador!$B$5:$B$147,Simulador!$K$5:$K$147),0)</calculatedColumnFormula>
    </tableColumn>
    <tableColumn id="8" xr3:uid="{87246BA6-5D71-AA4A-9D83-541514ECA185}" name="Real Simulada" dataDxfId="2">
      <calculatedColumnFormula array="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calculatedColumnFormula>
    </tableColumn>
    <tableColumn id="9" xr3:uid="{A7733BFD-BE4B-8D4A-BBD0-85FF9D105FC3}" name="Cotação" dataDxfId="14">
      <calculatedColumnFormula>IF(curve_type="Mercado",tbl_Bonds[[#This Row],[FC]]/(1+tbl_Bonds[[#This Row],[Real Mercado]])^(tbl_Bonds[[#This Row],[DU]]/252),tbl_Bonds[[#This Row],[FC]]/(1+tbl_Bonds[[#This Row],[Real Simulada]])^(tbl_Bonds[[#This Row],[DU]]/252))</calculatedColumnFormula>
    </tableColumn>
    <tableColumn id="10" xr3:uid="{BA22F48A-EED3-5A47-A970-90DB84F2E7CD}" name="VP Cupom" dataDxfId="13">
      <calculatedColumnFormula>tbl_Bonds[[#This Row],[Cotação]]*VNA</calculatedColumnFormula>
    </tableColumn>
    <tableColumn id="11" xr3:uid="{B2BB4D9D-5B1A-0B4E-8518-79C84235A394}" name="𝛿P/𝛿VNA" dataDxfId="23">
      <calculatedColumnFormula>tbl_Bonds[[#This Row],[Cotação]]%%*VNA</calculatedColumnFormula>
    </tableColumn>
    <tableColumn id="12" xr3:uid="{4401F2A5-433E-9048-801F-2637D98E3EC4}" name="𝛿P/𝛿r_real" dataDxfId="9">
      <calculatedColumnFormula>-IF(curve_type="Mercado",((tbl_Bonds[[#This Row],[DU]]/252)/(1+tbl_Bonds[[#This Row],[Real Mercado]]))%%*tbl_Bonds[[#This Row],[VP Cupom]],((tbl_Bonds[[#This Row],[DU]]/252)/(1+tbl_Bonds[[#This Row],[Real Simulada]]))%%*tbl_Bonds[[#This Row],[VP Cupom]])</calculatedColumnFormula>
    </tableColumn>
    <tableColumn id="13" xr3:uid="{611CDC38-42C8-EC47-A7C5-C1CFDE871253}" name="𝛿P/𝛿r_pre" dataDxfId="11">
      <calculatedColumnFormula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calculatedColumnFormula>
    </tableColumn>
    <tableColumn id="14" xr3:uid="{20FF9073-8B62-B544-B0EE-B54A09727AE7}" name="𝛿P/𝛿r_implicita" dataDxfId="10">
      <calculatedColumnFormula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calculatedColumnFormula>
    </tableColumn>
    <tableColumn id="15" xr3:uid="{9F3B2710-F68B-7B4A-80DB-429EF836AA87}" name="𝛿P/𝛿du" dataDxfId="12">
      <calculatedColumnFormula>IF(curve_type="Mercado",tbl_Bonds[[#This Row],[VP Cupom]]*LN(1+tbl_Bonds[[#This Row],[Real Mercado]])/252,tbl_Bonds[[#This Row],[VP Cupom]]*LN(1+tbl_Bonds[[#This Row],[Real Simulada]])/252)</calculatedColumnFormula>
    </tableColumn>
    <tableColumn id="17" xr3:uid="{AAF4C47E-28C4-4941-BD66-E3CB4FD2F587}" name="Quantidade" dataDxfId="22">
      <calculatedColumnFormula>SUMIF(Dashboard!$B$28:$B$42,tbl_Bonds[[#This Row],[Bond]],Dashboard!$C$28:$C$42)</calculatedColumnFormula>
    </tableColumn>
    <tableColumn id="18" xr3:uid="{AA1E9662-A20F-F847-86DC-14FF04376205}" name="Portfolio 𝛿P/𝛿VNA" dataDxfId="21">
      <calculatedColumnFormula>tbl_Bonds[[#This Row],[Quantidade]]*tbl_Bonds[[#This Row],[𝛿P/𝛿VNA]]</calculatedColumnFormula>
    </tableColumn>
    <tableColumn id="19" xr3:uid="{8BD3CE49-770B-B845-AEC9-2A2C6EBA22D6}" name="Portfolio 𝛿P/𝛿r_real" dataDxfId="20">
      <calculatedColumnFormula>+tbl_Bonds[[#This Row],[Quantidade]]*tbl_Bonds[[#This Row],[𝛿P/𝛿r_real]]</calculatedColumnFormula>
    </tableColumn>
    <tableColumn id="20" xr3:uid="{8444EF0A-6AA6-6541-A347-00748B47FF4D}" name="Portfolio 𝛿P/𝛿r_pre" dataDxfId="19">
      <calculatedColumnFormula>tbl_Bonds[[#This Row],[Quantidade]]*tbl_Bonds[[#This Row],[𝛿P/𝛿r_pre]]</calculatedColumnFormula>
    </tableColumn>
    <tableColumn id="21" xr3:uid="{F8505548-B638-3F41-A79B-F60279265D97}" name="Portfolio 𝛿P/𝛿r_implicita" dataDxfId="18">
      <calculatedColumnFormula>tbl_Bonds[[#This Row],[Quantidade]]*tbl_Bonds[[#This Row],[𝛿P/𝛿r_implicita]]</calculatedColumnFormula>
    </tableColumn>
    <tableColumn id="22" xr3:uid="{A474D894-CD20-2849-8F39-C1FBD49877CE}" name="Portfolio 𝛿P/𝛿du" dataDxfId="17">
      <calculatedColumnFormula>tbl_Bonds[[#This Row],[Quantidade]]*tbl_Bonds[[#This Row],[𝛿P/𝛿du]]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095DE-D896-4A4B-9D39-F06A462A2205}">
  <sheetPr codeName="Dashboard"/>
  <dimension ref="B2:K433"/>
  <sheetViews>
    <sheetView showGridLines="0" tabSelected="1" workbookViewId="0">
      <selection activeCell="B4" sqref="B4"/>
    </sheetView>
  </sheetViews>
  <sheetFormatPr baseColWidth="10" defaultRowHeight="16"/>
  <cols>
    <col min="1" max="1" width="2.33203125" style="10" customWidth="1"/>
    <col min="2" max="2" width="18.83203125" style="10" customWidth="1"/>
    <col min="3" max="3" width="13.6640625" style="10" bestFit="1" customWidth="1"/>
    <col min="4" max="4" width="14.83203125" style="10" bestFit="1" customWidth="1"/>
    <col min="5" max="5" width="18.83203125" style="10" bestFit="1" customWidth="1"/>
    <col min="6" max="6" width="17.33203125" style="10" bestFit="1" customWidth="1"/>
    <col min="7" max="7" width="16.6640625" style="10" bestFit="1" customWidth="1"/>
    <col min="8" max="8" width="13.83203125" style="10" bestFit="1" customWidth="1"/>
    <col min="9" max="9" width="14.1640625" style="10" bestFit="1" customWidth="1"/>
    <col min="10" max="10" width="15" style="10" bestFit="1" customWidth="1"/>
    <col min="11" max="11" width="13.6640625" style="10" bestFit="1" customWidth="1"/>
    <col min="12" max="16384" width="10.83203125" style="10"/>
  </cols>
  <sheetData>
    <row r="2" spans="2:7" ht="18">
      <c r="B2" s="97" t="s">
        <v>143</v>
      </c>
      <c r="C2" s="97" t="s">
        <v>144</v>
      </c>
    </row>
    <row r="3" spans="2:7" ht="18">
      <c r="B3" s="97"/>
      <c r="C3" s="97"/>
    </row>
    <row r="4" spans="2:7">
      <c r="B4" s="98" t="s">
        <v>145</v>
      </c>
      <c r="C4" s="100"/>
    </row>
    <row r="5" spans="2:7">
      <c r="B5" s="98"/>
      <c r="C5" s="100"/>
    </row>
    <row r="6" spans="2:7">
      <c r="B6" s="98"/>
      <c r="C6" s="100"/>
    </row>
    <row r="7" spans="2:7">
      <c r="B7" s="98" t="s">
        <v>146</v>
      </c>
      <c r="C7" s="99"/>
    </row>
    <row r="8" spans="2:7">
      <c r="B8" s="98"/>
      <c r="C8" s="99"/>
    </row>
    <row r="10" spans="2:7">
      <c r="B10" s="26" t="s">
        <v>4</v>
      </c>
      <c r="C10" s="30">
        <v>44830</v>
      </c>
    </row>
    <row r="11" spans="2:7">
      <c r="B11" s="26" t="s">
        <v>3</v>
      </c>
      <c r="C11" s="31">
        <f>C22/1614.62*1000</f>
        <v>3955.3043001441674</v>
      </c>
      <c r="E11" s="24"/>
    </row>
    <row r="12" spans="2:7">
      <c r="C12" s="11"/>
      <c r="E12" s="24"/>
      <c r="F12" s="24"/>
    </row>
    <row r="13" spans="2:7">
      <c r="B13" s="26" t="s">
        <v>101</v>
      </c>
      <c r="C13" s="29" t="s">
        <v>133</v>
      </c>
      <c r="D13" s="28"/>
      <c r="E13" s="24"/>
      <c r="F13" s="24"/>
    </row>
    <row r="14" spans="2:7">
      <c r="B14" s="26" t="s">
        <v>110</v>
      </c>
      <c r="C14" s="29" t="s">
        <v>117</v>
      </c>
      <c r="D14" s="28"/>
      <c r="E14" s="24"/>
      <c r="F14" s="24"/>
      <c r="G14" s="25"/>
    </row>
    <row r="15" spans="2:7">
      <c r="D15" s="28"/>
      <c r="E15" s="24"/>
      <c r="F15" s="23"/>
    </row>
    <row r="16" spans="2:7">
      <c r="B16" s="28"/>
      <c r="D16" s="23"/>
      <c r="E16" s="24"/>
      <c r="F16" s="23"/>
    </row>
    <row r="17" spans="2:11">
      <c r="B17" s="26" t="s">
        <v>120</v>
      </c>
      <c r="C17" s="75">
        <f>-0.12%</f>
        <v>-1.1999999999999999E-3</v>
      </c>
      <c r="D17" s="23"/>
      <c r="E17" s="24"/>
      <c r="F17" s="23"/>
    </row>
    <row r="18" spans="2:11">
      <c r="B18" s="76" t="s">
        <v>121</v>
      </c>
      <c r="C18" s="77">
        <f>WORKDAY(DATE(YEAR(EDATE(C19,1)),MONTH(EDATE(C19,1)),15)-1,1,feriados)</f>
        <v>44851</v>
      </c>
      <c r="E18" s="24"/>
      <c r="F18" s="23"/>
    </row>
    <row r="19" spans="2:11">
      <c r="B19" s="76" t="s">
        <v>122</v>
      </c>
      <c r="C19" s="77">
        <f>IF(DAY(val_date)&gt;=DAY(WORKDAY(DATE(YEAR(val_date),MONTH(val_date),15)-1,1,feriados)),WORKDAY(DATE(YEAR(val_date),MONTH(val_date),15)-1,1,feriados),WORKDAY(DATE(YEAR(EDATE(val_date,-1)),MONTH(EDATE(val_date,-1)),15)-1,1,feriados))</f>
        <v>44819</v>
      </c>
      <c r="E19" s="24"/>
      <c r="F19" s="23"/>
    </row>
    <row r="20" spans="2:11">
      <c r="E20" s="24"/>
      <c r="F20" s="23"/>
    </row>
    <row r="21" spans="2:11">
      <c r="B21" s="26" t="s">
        <v>123</v>
      </c>
      <c r="C21" s="31">
        <v>6388.87</v>
      </c>
      <c r="E21" s="24"/>
      <c r="F21" s="23"/>
    </row>
    <row r="22" spans="2:11">
      <c r="B22" s="26" t="s">
        <v>124</v>
      </c>
      <c r="C22" s="31">
        <f>C21*(1+C17)^((NETWORKDAYS(C19,val_date,feriados)-1)/(NETWORKDAYS(C19,C18,feriados)-1))</f>
        <v>6386.3134290987746</v>
      </c>
      <c r="E22" s="24"/>
      <c r="F22" s="23"/>
    </row>
    <row r="23" spans="2:11">
      <c r="C23" s="11"/>
      <c r="E23" s="24"/>
      <c r="F23" s="23"/>
    </row>
    <row r="24" spans="2:11">
      <c r="C24" s="11"/>
      <c r="E24" s="24"/>
      <c r="F24" s="23"/>
    </row>
    <row r="25" spans="2:11" ht="29">
      <c r="B25" s="79" t="s">
        <v>125</v>
      </c>
      <c r="C25" s="27"/>
      <c r="D25" s="27"/>
      <c r="E25" s="27"/>
      <c r="F25" s="87" t="s">
        <v>99</v>
      </c>
      <c r="G25" s="87" t="s">
        <v>99</v>
      </c>
      <c r="H25" s="87" t="s">
        <v>99</v>
      </c>
      <c r="I25" s="87" t="s">
        <v>99</v>
      </c>
      <c r="J25" s="87" t="s">
        <v>99</v>
      </c>
      <c r="K25" s="87" t="s">
        <v>118</v>
      </c>
    </row>
    <row r="26" spans="2:11">
      <c r="H26" s="16" t="s">
        <v>17</v>
      </c>
    </row>
    <row r="27" spans="2:11">
      <c r="B27" s="12" t="s">
        <v>0</v>
      </c>
      <c r="C27" s="12" t="s">
        <v>90</v>
      </c>
      <c r="D27" s="12" t="s">
        <v>91</v>
      </c>
      <c r="E27" s="12" t="s">
        <v>92</v>
      </c>
      <c r="F27" s="15" t="s">
        <v>100</v>
      </c>
      <c r="G27" s="15" t="s">
        <v>70</v>
      </c>
      <c r="H27" s="15" t="s">
        <v>71</v>
      </c>
      <c r="I27" s="15" t="s">
        <v>72</v>
      </c>
      <c r="J27" s="15" t="s">
        <v>73</v>
      </c>
      <c r="K27" s="15" t="s">
        <v>76</v>
      </c>
    </row>
    <row r="28" spans="2:11">
      <c r="B28" s="13" t="s">
        <v>65</v>
      </c>
      <c r="C28" s="20">
        <v>10725</v>
      </c>
      <c r="D28" s="14">
        <f>SUMIF(tbl_Bonds[Bond],B28,tbl_Bonds[VP Cupom])</f>
        <v>3917.6495861513649</v>
      </c>
      <c r="E28" s="17">
        <f t="shared" ref="E28:E42" si="0">D28*C28/1000000</f>
        <v>42.016791811473389</v>
      </c>
      <c r="F28" s="19">
        <f>IF($B28&lt;&gt;"",SUMIF(tbl_Bonds[Bond],$B28,tbl_Bonds[𝛿P/𝛿r_real])*$C28,"")</f>
        <v>-1794.7666352902331</v>
      </c>
      <c r="G28" s="19">
        <f ca="1">IF($B28&lt;&gt;"",SUMIF(tbl_Bonds[Bond],$B28,INDIRECT("tbl_Bonds["&amp;G$27&amp;"]"))*$C28,"")</f>
        <v>4201.6791811473386</v>
      </c>
      <c r="H28" s="19">
        <f ca="1">IF($B28&lt;&gt;"",SUMIF(tbl_Bonds[Bond],$B28,INDIRECT("tbl_Bonds["&amp;H$27&amp;"]"))*$C28,"")</f>
        <v>-1794.7666352902331</v>
      </c>
      <c r="I28" s="19">
        <f ca="1">IF($B28&lt;&gt;"",SUMIF(tbl_Bonds[Bond],$B28,INDIRECT("tbl_Bonds["&amp;I$27&amp;"]"))*$C28,"")</f>
        <v>-1714.2623815582654</v>
      </c>
      <c r="J28" s="19">
        <f ca="1">IF($B28&lt;&gt;"",SUMIF(tbl_Bonds[Bond],$B28,INDIRECT("tbl_Bonds["&amp;J$27&amp;"]"))*$C28,"")</f>
        <v>1863.3576280539673</v>
      </c>
      <c r="K28" s="19">
        <f ca="1">IF($B28&lt;&gt;"",SUMIF(tbl_Bonds[Bond],$B28,INDIRECT("tbl_Bonds["&amp;K$27&amp;"]"))*$C28,"")</f>
        <v>13897.902967042262</v>
      </c>
    </row>
    <row r="29" spans="2:11">
      <c r="B29" s="13" t="s">
        <v>66</v>
      </c>
      <c r="C29" s="20">
        <v>14795</v>
      </c>
      <c r="D29" s="14">
        <f>SUMIF(tbl_Bonds[Bond],B29,tbl_Bonds[VP Cupom])</f>
        <v>3988.6153918516447</v>
      </c>
      <c r="E29" s="17">
        <f t="shared" si="0"/>
        <v>59.011564722445087</v>
      </c>
      <c r="F29" s="19">
        <f>IF($B29&lt;&gt;"",SUMIF(tbl_Bonds[Bond],$B29,tbl_Bonds[𝛿P/𝛿r_real])*$C29,"")</f>
        <v>-3315.0637258474721</v>
      </c>
      <c r="G29" s="19">
        <f ca="1">IF($B29&lt;&gt;"",SUMIF(tbl_Bonds[Bond],$B29,INDIRECT("tbl_Bonds["&amp;G$27&amp;"]"))*$C29,"")</f>
        <v>5901.1564722445082</v>
      </c>
      <c r="H29" s="19">
        <f ca="1">IF($B29&lt;&gt;"",SUMIF(tbl_Bonds[Bond],$B29,INDIRECT("tbl_Bonds["&amp;H$27&amp;"]"))*$C29,"")</f>
        <v>-3315.0637258474721</v>
      </c>
      <c r="I29" s="19">
        <f ca="1">IF($B29&lt;&gt;"",SUMIF(tbl_Bonds[Bond],$B29,INDIRECT("tbl_Bonds["&amp;I$27&amp;"]"))*$C29,"")</f>
        <v>-3160.8804822358811</v>
      </c>
      <c r="J29" s="19">
        <f ca="1">IF($B29&lt;&gt;"",SUMIF(tbl_Bonds[Bond],$B29,INDIRECT("tbl_Bonds["&amp;J$27&amp;"]"))*$C29,"")</f>
        <v>3426.1121255844423</v>
      </c>
      <c r="K29" s="19">
        <f ca="1">IF($B29&lt;&gt;"",SUMIF(tbl_Bonds[Bond],$B29,INDIRECT("tbl_Bonds["&amp;K$27&amp;"]"))*$C29,"")</f>
        <v>18910.197576349961</v>
      </c>
    </row>
    <row r="30" spans="2:11">
      <c r="B30" s="13" t="s">
        <v>77</v>
      </c>
      <c r="C30" s="20">
        <v>1729</v>
      </c>
      <c r="D30" s="14">
        <f>SUMIF(tbl_Bonds[Bond],B30,tbl_Bonds[VP Cupom])</f>
        <v>3932.2681443982365</v>
      </c>
      <c r="E30" s="17">
        <f t="shared" si="0"/>
        <v>6.7988916216645512</v>
      </c>
      <c r="F30" s="19">
        <f>IF($B30&lt;&gt;"",SUMIF(tbl_Bonds[Bond],$B30,tbl_Bonds[𝛿P/𝛿r_real])*$C30,"")</f>
        <v>-1141.7386347622783</v>
      </c>
      <c r="G30" s="19">
        <f ca="1">IF($B30&lt;&gt;"",SUMIF(tbl_Bonds[Bond],$B30,INDIRECT("tbl_Bonds["&amp;G$27&amp;"]"))*$C30,"")</f>
        <v>679.88916216645509</v>
      </c>
      <c r="H30" s="19">
        <f ca="1">IF($B30&lt;&gt;"",SUMIF(tbl_Bonds[Bond],$B30,INDIRECT("tbl_Bonds["&amp;H$27&amp;"]"))*$C30,"")</f>
        <v>-1141.7386347622783</v>
      </c>
      <c r="I30" s="19">
        <f ca="1">IF($B30&lt;&gt;"",SUMIF(tbl_Bonds[Bond],$B30,INDIRECT("tbl_Bonds["&amp;I$27&amp;"]"))*$C30,"")</f>
        <v>-1085.7355942772115</v>
      </c>
      <c r="J30" s="19">
        <f ca="1">IF($B30&lt;&gt;"",SUMIF(tbl_Bonds[Bond],$B30,INDIRECT("tbl_Bonds["&amp;J$27&amp;"]"))*$C30,"")</f>
        <v>1159.2433415874841</v>
      </c>
      <c r="K30" s="19">
        <f ca="1">IF($B30&lt;&gt;"",SUMIF(tbl_Bonds[Bond],$B30,INDIRECT("tbl_Bonds["&amp;K$27&amp;"]"))*$C30,"")</f>
        <v>1784.3937953542127</v>
      </c>
    </row>
    <row r="31" spans="2:11">
      <c r="B31" s="13" t="s">
        <v>78</v>
      </c>
      <c r="C31" s="20">
        <v>5156</v>
      </c>
      <c r="D31" s="14">
        <f>SUMIF(tbl_Bonds[Bond],B31,tbl_Bonds[VP Cupom])</f>
        <v>4017.632976282162</v>
      </c>
      <c r="E31" s="17">
        <f t="shared" si="0"/>
        <v>20.714915625710827</v>
      </c>
      <c r="F31" s="19">
        <f>IF($B31&lt;&gt;"",SUMIF(tbl_Bonds[Bond],$B31,tbl_Bonds[𝛿P/𝛿r_real])*$C31,"")</f>
        <v>-4705.2564914823815</v>
      </c>
      <c r="G31" s="19">
        <f ca="1">IF($B31&lt;&gt;"",SUMIF(tbl_Bonds[Bond],$B31,INDIRECT("tbl_Bonds["&amp;G$27&amp;"]"))*$C31,"")</f>
        <v>2071.4915625710823</v>
      </c>
      <c r="H31" s="19">
        <f ca="1">IF($B31&lt;&gt;"",SUMIF(tbl_Bonds[Bond],$B31,INDIRECT("tbl_Bonds["&amp;H$27&amp;"]"))*$C31,"")</f>
        <v>-4705.2564914823815</v>
      </c>
      <c r="I31" s="19">
        <f ca="1">IF($B31&lt;&gt;"",SUMIF(tbl_Bonds[Bond],$B31,INDIRECT("tbl_Bonds["&amp;I$27&amp;"]"))*$C31,"")</f>
        <v>-4470.4784878074252</v>
      </c>
      <c r="J31" s="19">
        <f ca="1">IF($B31&lt;&gt;"",SUMIF(tbl_Bonds[Bond],$B31,INDIRECT("tbl_Bonds["&amp;J$27&amp;"]"))*$C31,"")</f>
        <v>4751.4238415075015</v>
      </c>
      <c r="K31" s="19">
        <f ca="1">IF($B31&lt;&gt;"",SUMIF(tbl_Bonds[Bond],$B31,INDIRECT("tbl_Bonds["&amp;K$27&amp;"]"))*$C31,"")</f>
        <v>5130.5038397666895</v>
      </c>
    </row>
    <row r="32" spans="2:11">
      <c r="B32" s="13" t="s">
        <v>79</v>
      </c>
      <c r="C32" s="20">
        <v>8983</v>
      </c>
      <c r="D32" s="14">
        <f>SUMIF(tbl_Bonds[Bond],B32,tbl_Bonds[VP Cupom])</f>
        <v>3998.1889216210625</v>
      </c>
      <c r="E32" s="17">
        <f t="shared" si="0"/>
        <v>35.915731082922001</v>
      </c>
      <c r="F32" s="19">
        <f>IF($B32&lt;&gt;"",SUMIF(tbl_Bonds[Bond],$B32,tbl_Bonds[𝛿P/𝛿r_real])*$C32,"")</f>
        <v>-11897.586132947672</v>
      </c>
      <c r="G32" s="19">
        <f ca="1">IF($B32&lt;&gt;"",SUMIF(tbl_Bonds[Bond],$B32,INDIRECT("tbl_Bonds["&amp;G$27&amp;"]"))*$C32,"")</f>
        <v>3591.5731082922007</v>
      </c>
      <c r="H32" s="19">
        <f ca="1">IF($B32&lt;&gt;"",SUMIF(tbl_Bonds[Bond],$B32,INDIRECT("tbl_Bonds["&amp;H$27&amp;"]"))*$C32,"")</f>
        <v>-11897.586132947672</v>
      </c>
      <c r="I32" s="19">
        <f ca="1">IF($B32&lt;&gt;"",SUMIF(tbl_Bonds[Bond],$B32,INDIRECT("tbl_Bonds["&amp;I$27&amp;"]"))*$C32,"")</f>
        <v>-11280.683818659598</v>
      </c>
      <c r="J32" s="19">
        <f ca="1">IF($B32&lt;&gt;"",SUMIF(tbl_Bonds[Bond],$B32,INDIRECT("tbl_Bonds["&amp;J$27&amp;"]"))*$C32,"")</f>
        <v>11943.968093791669</v>
      </c>
      <c r="K32" s="19">
        <f ca="1">IF($B32&lt;&gt;"",SUMIF(tbl_Bonds[Bond],$B32,INDIRECT("tbl_Bonds["&amp;K$27&amp;"]"))*$C32,"")</f>
        <v>8359.025523596858</v>
      </c>
    </row>
    <row r="33" spans="2:11">
      <c r="B33" s="13" t="s">
        <v>80</v>
      </c>
      <c r="C33" s="20">
        <v>13532</v>
      </c>
      <c r="D33" s="14">
        <f>SUMIF(tbl_Bonds[Bond],B33,tbl_Bonds[VP Cupom])</f>
        <v>4076.6181666949551</v>
      </c>
      <c r="E33" s="17">
        <f t="shared" si="0"/>
        <v>55.164797031716134</v>
      </c>
      <c r="F33" s="19">
        <f>IF($B33&lt;&gt;"",SUMIF(tbl_Bonds[Bond],$B33,tbl_Bonds[𝛿P/𝛿r_real])*$C33,"")</f>
        <v>-21030.14797897606</v>
      </c>
      <c r="G33" s="19">
        <f ca="1">IF($B33&lt;&gt;"",SUMIF(tbl_Bonds[Bond],$B33,INDIRECT("tbl_Bonds["&amp;G$27&amp;"]"))*$C33,"")</f>
        <v>5516.4797031716134</v>
      </c>
      <c r="H33" s="19">
        <f ca="1">IF($B33&lt;&gt;"",SUMIF(tbl_Bonds[Bond],$B33,INDIRECT("tbl_Bonds["&amp;H$27&amp;"]"))*$C33,"")</f>
        <v>-21030.14797897606</v>
      </c>
      <c r="I33" s="19">
        <f ca="1">IF($B33&lt;&gt;"",SUMIF(tbl_Bonds[Bond],$B33,INDIRECT("tbl_Bonds["&amp;I$27&amp;"]"))*$C33,"")</f>
        <v>-19918.689366471703</v>
      </c>
      <c r="J33" s="19">
        <f ca="1">IF($B33&lt;&gt;"",SUMIF(tbl_Bonds[Bond],$B33,INDIRECT("tbl_Bonds["&amp;J$27&amp;"]"))*$C33,"")</f>
        <v>21070.761960536431</v>
      </c>
      <c r="K33" s="19">
        <f ca="1">IF($B33&lt;&gt;"",SUMIF(tbl_Bonds[Bond],$B33,INDIRECT("tbl_Bonds["&amp;K$27&amp;"]"))*$C33,"")</f>
        <v>12788.301514869758</v>
      </c>
    </row>
    <row r="34" spans="2:11">
      <c r="B34" s="13" t="s">
        <v>81</v>
      </c>
      <c r="C34" s="20">
        <v>7940</v>
      </c>
      <c r="D34" s="14">
        <f>SUMIF(tbl_Bonds[Bond],B34,tbl_Bonds[VP Cupom])</f>
        <v>4035.8022958193933</v>
      </c>
      <c r="E34" s="17">
        <f t="shared" si="0"/>
        <v>32.044270228805985</v>
      </c>
      <c r="F34" s="19">
        <f>IF($B34&lt;&gt;"",SUMIF(tbl_Bonds[Bond],$B34,tbl_Bonds[𝛿P/𝛿r_real])*$C34,"")</f>
        <v>-15237.261507133748</v>
      </c>
      <c r="G34" s="19">
        <f ca="1">IF($B34&lt;&gt;"",SUMIF(tbl_Bonds[Bond],$B34,INDIRECT("tbl_Bonds["&amp;G$27&amp;"]"))*$C34,"")</f>
        <v>3204.427022880599</v>
      </c>
      <c r="H34" s="19">
        <f ca="1">IF($B34&lt;&gt;"",SUMIF(tbl_Bonds[Bond],$B34,INDIRECT("tbl_Bonds["&amp;H$27&amp;"]"))*$C34,"")</f>
        <v>-15237.261507133748</v>
      </c>
      <c r="I34" s="19">
        <f ca="1">IF($B34&lt;&gt;"",SUMIF(tbl_Bonds[Bond],$B34,INDIRECT("tbl_Bonds["&amp;I$27&amp;"]"))*$C34,"")</f>
        <v>-14416.171778645212</v>
      </c>
      <c r="J34" s="19">
        <f ca="1">IF($B34&lt;&gt;"",SUMIF(tbl_Bonds[Bond],$B34,INDIRECT("tbl_Bonds["&amp;J$27&amp;"]"))*$C34,"")</f>
        <v>15242.338611572148</v>
      </c>
      <c r="K34" s="19">
        <f ca="1">IF($B34&lt;&gt;"",SUMIF(tbl_Bonds[Bond],$B34,INDIRECT("tbl_Bonds["&amp;K$27&amp;"]"))*$C34,"")</f>
        <v>7320.539543588261</v>
      </c>
    </row>
    <row r="35" spans="2:11">
      <c r="B35" s="13" t="s">
        <v>82</v>
      </c>
      <c r="C35" s="20">
        <v>2510</v>
      </c>
      <c r="D35" s="14">
        <f>SUMIF(tbl_Bonds[Bond],B35,tbl_Bonds[VP Cupom])</f>
        <v>4046.0824640967367</v>
      </c>
      <c r="E35" s="17">
        <f t="shared" si="0"/>
        <v>10.15566698488281</v>
      </c>
      <c r="F35" s="19">
        <f>IF($B35&lt;&gt;"",SUMIF(tbl_Bonds[Bond],$B35,tbl_Bonds[𝛿P/𝛿r_real])*$C35,"")</f>
        <v>-6125.3587559534681</v>
      </c>
      <c r="G35" s="19">
        <f ca="1">IF($B35&lt;&gt;"",SUMIF(tbl_Bonds[Bond],$B35,INDIRECT("tbl_Bonds["&amp;G$27&amp;"]"))*$C35,"")</f>
        <v>1015.5666984882808</v>
      </c>
      <c r="H35" s="19">
        <f ca="1">IF($B35&lt;&gt;"",SUMIF(tbl_Bonds[Bond],$B35,INDIRECT("tbl_Bonds["&amp;H$27&amp;"]"))*$C35,"")</f>
        <v>-6125.3587559534681</v>
      </c>
      <c r="I35" s="19">
        <f ca="1">IF($B35&lt;&gt;"",SUMIF(tbl_Bonds[Bond],$B35,INDIRECT("tbl_Bonds["&amp;I$27&amp;"]"))*$C35,"")</f>
        <v>-5791.8025065833262</v>
      </c>
      <c r="J35" s="19">
        <f ca="1">IF($B35&lt;&gt;"",SUMIF(tbl_Bonds[Bond],$B35,INDIRECT("tbl_Bonds["&amp;J$27&amp;"]"))*$C35,"")</f>
        <v>6125.1809883313399</v>
      </c>
      <c r="K35" s="19">
        <f ca="1">IF($B35&lt;&gt;"",SUMIF(tbl_Bonds[Bond],$B35,INDIRECT("tbl_Bonds["&amp;K$27&amp;"]"))*$C35,"")</f>
        <v>2331.6392251192979</v>
      </c>
    </row>
    <row r="36" spans="2:11">
      <c r="B36" s="13" t="s">
        <v>83</v>
      </c>
      <c r="C36" s="20">
        <v>13910</v>
      </c>
      <c r="D36" s="14">
        <f>SUMIF(tbl_Bonds[Bond],B36,tbl_Bonds[VP Cupom])</f>
        <v>4042.6853159813336</v>
      </c>
      <c r="E36" s="17">
        <f t="shared" si="0"/>
        <v>56.23375274530035</v>
      </c>
      <c r="F36" s="19">
        <f>IF($B36&lt;&gt;"",SUMIF(tbl_Bonds[Bond],$B36,tbl_Bonds[𝛿P/𝛿r_real])*$C36,"")</f>
        <v>-40350.316773093604</v>
      </c>
      <c r="G36" s="19">
        <f ca="1">IF($B36&lt;&gt;"",SUMIF(tbl_Bonds[Bond],$B36,INDIRECT("tbl_Bonds["&amp;G$27&amp;"]"))*$C36,"")</f>
        <v>5623.3752745300353</v>
      </c>
      <c r="H36" s="19">
        <f ca="1">IF($B36&lt;&gt;"",SUMIF(tbl_Bonds[Bond],$B36,INDIRECT("tbl_Bonds["&amp;H$27&amp;"]"))*$C36,"")</f>
        <v>-40350.316773093604</v>
      </c>
      <c r="I36" s="19">
        <f ca="1">IF($B36&lt;&gt;"",SUMIF(tbl_Bonds[Bond],$B36,INDIRECT("tbl_Bonds["&amp;I$27&amp;"]"))*$C36,"")</f>
        <v>-38148.85876752741</v>
      </c>
      <c r="J36" s="19">
        <f ca="1">IF($B36&lt;&gt;"",SUMIF(tbl_Bonds[Bond],$B36,INDIRECT("tbl_Bonds["&amp;J$27&amp;"]"))*$C36,"")</f>
        <v>40362.573077596011</v>
      </c>
      <c r="K36" s="19">
        <f ca="1">IF($B36&lt;&gt;"",SUMIF(tbl_Bonds[Bond],$B36,INDIRECT("tbl_Bonds["&amp;K$27&amp;"]"))*$C36,"")</f>
        <v>12997.85098218772</v>
      </c>
    </row>
    <row r="37" spans="2:11">
      <c r="B37" s="13" t="s">
        <v>84</v>
      </c>
      <c r="C37" s="20">
        <v>3670</v>
      </c>
      <c r="D37" s="14">
        <f>SUMIF(tbl_Bonds[Bond],B37,tbl_Bonds[VP Cupom])</f>
        <v>4100.5868086516575</v>
      </c>
      <c r="E37" s="17">
        <f t="shared" si="0"/>
        <v>15.049153587751583</v>
      </c>
      <c r="F37" s="19">
        <f>IF($B37&lt;&gt;"",SUMIF(tbl_Bonds[Bond],$B37,tbl_Bonds[𝛿P/𝛿r_real])*$C37,"")</f>
        <v>-12650.154864579417</v>
      </c>
      <c r="G37" s="19">
        <f ca="1">IF($B37&lt;&gt;"",SUMIF(tbl_Bonds[Bond],$B37,INDIRECT("tbl_Bonds["&amp;G$27&amp;"]"))*$C37,"")</f>
        <v>1504.9153587751582</v>
      </c>
      <c r="H37" s="19">
        <f ca="1">IF($B37&lt;&gt;"",SUMIF(tbl_Bonds[Bond],$B37,INDIRECT("tbl_Bonds["&amp;H$27&amp;"]"))*$C37,"")</f>
        <v>-12650.154864579417</v>
      </c>
      <c r="I37" s="19">
        <f ca="1">IF($B37&lt;&gt;"",SUMIF(tbl_Bonds[Bond],$B37,INDIRECT("tbl_Bonds["&amp;I$27&amp;"]"))*$C37,"")</f>
        <v>-11959.194712908284</v>
      </c>
      <c r="J37" s="19">
        <f ca="1">IF($B37&lt;&gt;"",SUMIF(tbl_Bonds[Bond],$B37,INDIRECT("tbl_Bonds["&amp;J$27&amp;"]"))*$C37,"")</f>
        <v>12658.230257393927</v>
      </c>
      <c r="K37" s="19">
        <f ca="1">IF($B37&lt;&gt;"",SUMIF(tbl_Bonds[Bond],$B37,INDIRECT("tbl_Bonds["&amp;K$27&amp;"]"))*$C37,"")</f>
        <v>3526.6300917995509</v>
      </c>
    </row>
    <row r="38" spans="2:11">
      <c r="B38" s="13" t="s">
        <v>85</v>
      </c>
      <c r="C38" s="20">
        <v>1839</v>
      </c>
      <c r="D38" s="14">
        <f>SUMIF(tbl_Bonds[Bond],B38,tbl_Bonds[VP Cupom])</f>
        <v>4044.0974958978268</v>
      </c>
      <c r="E38" s="17">
        <f t="shared" si="0"/>
        <v>7.4370952949561042</v>
      </c>
      <c r="F38" s="19">
        <f>IF($B38&lt;&gt;"",SUMIF(tbl_Bonds[Bond],$B38,tbl_Bonds[𝛿P/𝛿r_real])*$C38,"")</f>
        <v>-7887.1790485249094</v>
      </c>
      <c r="G38" s="19">
        <f ca="1">IF($B38&lt;&gt;"",SUMIF(tbl_Bonds[Bond],$B38,INDIRECT("tbl_Bonds["&amp;G$27&amp;"]"))*$C38,"")</f>
        <v>743.70952949561024</v>
      </c>
      <c r="H38" s="19">
        <f ca="1">IF($B38&lt;&gt;"",SUMIF(tbl_Bonds[Bond],$B38,INDIRECT("tbl_Bonds["&amp;H$27&amp;"]"))*$C38,"")</f>
        <v>-7887.1790485249094</v>
      </c>
      <c r="I38" s="19">
        <f ca="1">IF($B38&lt;&gt;"",SUMIF(tbl_Bonds[Bond],$B38,INDIRECT("tbl_Bonds["&amp;I$27&amp;"]"))*$C38,"")</f>
        <v>-7454.5517721053766</v>
      </c>
      <c r="J38" s="19">
        <f ca="1">IF($B38&lt;&gt;"",SUMIF(tbl_Bonds[Bond],$B38,INDIRECT("tbl_Bonds["&amp;J$27&amp;"]"))*$C38,"")</f>
        <v>7892.1717434870206</v>
      </c>
      <c r="K38" s="19">
        <f ca="1">IF($B38&lt;&gt;"",SUMIF(tbl_Bonds[Bond],$B38,INDIRECT("tbl_Bonds["&amp;K$27&amp;"]"))*$C38,"")</f>
        <v>1732.6783223866842</v>
      </c>
    </row>
    <row r="39" spans="2:11">
      <c r="B39" s="13" t="s">
        <v>86</v>
      </c>
      <c r="C39" s="20">
        <v>13940</v>
      </c>
      <c r="D39" s="14">
        <f>SUMIF(tbl_Bonds[Bond],B39,tbl_Bonds[VP Cupom])</f>
        <v>4111.2539404756026</v>
      </c>
      <c r="E39" s="17">
        <f t="shared" si="0"/>
        <v>57.310879930229902</v>
      </c>
      <c r="F39" s="19">
        <f>IF($B39&lt;&gt;"",SUMIF(tbl_Bonds[Bond],$B39,tbl_Bonds[𝛿P/𝛿r_real])*$C39,"")</f>
        <v>-67891.171320293186</v>
      </c>
      <c r="G39" s="19">
        <f ca="1">IF($B39&lt;&gt;"",SUMIF(tbl_Bonds[Bond],$B39,INDIRECT("tbl_Bonds["&amp;G$27&amp;"]"))*$C39,"")</f>
        <v>5731.0879930229894</v>
      </c>
      <c r="H39" s="19">
        <f ca="1">IF($B39&lt;&gt;"",SUMIF(tbl_Bonds[Bond],$B39,INDIRECT("tbl_Bonds["&amp;H$27&amp;"]"))*$C39,"")</f>
        <v>-67891.171320293186</v>
      </c>
      <c r="I39" s="19">
        <f ca="1">IF($B39&lt;&gt;"",SUMIF(tbl_Bonds[Bond],$B39,INDIRECT("tbl_Bonds["&amp;I$27&amp;"]"))*$C39,"")</f>
        <v>-64153.491421790648</v>
      </c>
      <c r="J39" s="19">
        <f ca="1">IF($B39&lt;&gt;"",SUMIF(tbl_Bonds[Bond],$B39,INDIRECT("tbl_Bonds["&amp;J$27&amp;"]"))*$C39,"")</f>
        <v>67920.857114680417</v>
      </c>
      <c r="K39" s="19">
        <f ca="1">IF($B39&lt;&gt;"",SUMIF(tbl_Bonds[Bond],$B39,INDIRECT("tbl_Bonds["&amp;K$27&amp;"]"))*$C39,"")</f>
        <v>13464.212779576819</v>
      </c>
    </row>
    <row r="40" spans="2:11">
      <c r="B40" s="13" t="s">
        <v>87</v>
      </c>
      <c r="C40" s="20">
        <v>12247</v>
      </c>
      <c r="D40" s="14">
        <f>SUMIF(tbl_Bonds[Bond],B40,tbl_Bonds[VP Cupom])</f>
        <v>4059.7798117402781</v>
      </c>
      <c r="E40" s="17">
        <f t="shared" si="0"/>
        <v>49.720123354383183</v>
      </c>
      <c r="F40" s="19">
        <f>IF($B40&lt;&gt;"",SUMIF(tbl_Bonds[Bond],$B40,tbl_Bonds[𝛿P/𝛿r_real])*$C40,"")</f>
        <v>-65662.181566600542</v>
      </c>
      <c r="G40" s="19">
        <f ca="1">IF($B40&lt;&gt;"",SUMIF(tbl_Bonds[Bond],$B40,INDIRECT("tbl_Bonds["&amp;G$27&amp;"]"))*$C40,"")</f>
        <v>4972.0123354383159</v>
      </c>
      <c r="H40" s="19">
        <f ca="1">IF($B40&lt;&gt;"",SUMIF(tbl_Bonds[Bond],$B40,INDIRECT("tbl_Bonds["&amp;H$27&amp;"]"))*$C40,"")</f>
        <v>-65662.181566600542</v>
      </c>
      <c r="I40" s="19">
        <f ca="1">IF($B40&lt;&gt;"",SUMIF(tbl_Bonds[Bond],$B40,INDIRECT("tbl_Bonds["&amp;I$27&amp;"]"))*$C40,"")</f>
        <v>-62036.587755580877</v>
      </c>
      <c r="J40" s="19">
        <f ca="1">IF($B40&lt;&gt;"",SUMIF(tbl_Bonds[Bond],$B40,INDIRECT("tbl_Bonds["&amp;J$27&amp;"]"))*$C40,"")</f>
        <v>65678.712837633895</v>
      </c>
      <c r="K40" s="19">
        <f ca="1">IF($B40&lt;&gt;"",SUMIF(tbl_Bonds[Bond],$B40,INDIRECT("tbl_Bonds["&amp;K$27&amp;"]"))*$C40,"")</f>
        <v>11580.723963997792</v>
      </c>
    </row>
    <row r="41" spans="2:11">
      <c r="B41" s="13" t="s">
        <v>88</v>
      </c>
      <c r="C41" s="20">
        <v>6381</v>
      </c>
      <c r="D41" s="14">
        <f>SUMIF(tbl_Bonds[Bond],B41,tbl_Bonds[VP Cupom])</f>
        <v>4124.5378616286953</v>
      </c>
      <c r="E41" s="17">
        <f t="shared" si="0"/>
        <v>26.318676095052705</v>
      </c>
      <c r="F41" s="19">
        <f>IF($B41&lt;&gt;"",SUMIF(tbl_Bonds[Bond],$B41,tbl_Bonds[𝛿P/𝛿r_real])*$C41,"")</f>
        <v>-36363.29682520713</v>
      </c>
      <c r="G41" s="19">
        <f ca="1">IF($B41&lt;&gt;"",SUMIF(tbl_Bonds[Bond],$B41,INDIRECT("tbl_Bonds["&amp;G$27&amp;"]"))*$C41,"")</f>
        <v>2631.867609505271</v>
      </c>
      <c r="H41" s="19">
        <f ca="1">IF($B41&lt;&gt;"",SUMIF(tbl_Bonds[Bond],$B41,INDIRECT("tbl_Bonds["&amp;H$27&amp;"]"))*$C41,"")</f>
        <v>-36363.29682520713</v>
      </c>
      <c r="I41" s="19">
        <f ca="1">IF($B41&lt;&gt;"",SUMIF(tbl_Bonds[Bond],$B41,INDIRECT("tbl_Bonds["&amp;I$27&amp;"]"))*$C41,"")</f>
        <v>-34351.907885113564</v>
      </c>
      <c r="J41" s="19">
        <f ca="1">IF($B41&lt;&gt;"",SUMIF(tbl_Bonds[Bond],$B41,INDIRECT("tbl_Bonds["&amp;J$27&amp;"]"))*$C41,"")</f>
        <v>36368.234084327167</v>
      </c>
      <c r="K41" s="19">
        <f ca="1">IF($B41&lt;&gt;"",SUMIF(tbl_Bonds[Bond],$B41,INDIRECT("tbl_Bonds["&amp;K$27&amp;"]"))*$C41,"")</f>
        <v>6180.4559747658204</v>
      </c>
    </row>
    <row r="42" spans="2:11">
      <c r="B42" s="13" t="s">
        <v>89</v>
      </c>
      <c r="C42" s="20">
        <v>9853</v>
      </c>
      <c r="D42" s="14">
        <f>SUMIF(tbl_Bonds[Bond],B42,tbl_Bonds[VP Cupom])</f>
        <v>4069.7551828277542</v>
      </c>
      <c r="E42" s="17">
        <f t="shared" si="0"/>
        <v>40.099297816401858</v>
      </c>
      <c r="F42" s="19">
        <f>IF($B42&lt;&gt;"",SUMIF(tbl_Bonds[Bond],$B42,tbl_Bonds[𝛿P/𝛿r_real])*$C42,"")</f>
        <v>-58943.169438457429</v>
      </c>
      <c r="G42" s="19">
        <f ca="1">IF($B42&lt;&gt;"",SUMIF(tbl_Bonds[Bond],$B42,INDIRECT("tbl_Bonds["&amp;G$27&amp;"]"))*$C42,"")</f>
        <v>4009.9297816401845</v>
      </c>
      <c r="H42" s="19">
        <f ca="1">IF($B42&lt;&gt;"",SUMIF(tbl_Bonds[Bond],$B42,INDIRECT("tbl_Bonds["&amp;H$27&amp;"]"))*$C42,"")</f>
        <v>-58943.169438457429</v>
      </c>
      <c r="I42" s="19">
        <f ca="1">IF($B42&lt;&gt;"",SUMIF(tbl_Bonds[Bond],$B42,INDIRECT("tbl_Bonds["&amp;I$27&amp;"]"))*$C42,"")</f>
        <v>-55678.317388322088</v>
      </c>
      <c r="J42" s="19">
        <f ca="1">IF($B42&lt;&gt;"",SUMIF(tbl_Bonds[Bond],$B42,INDIRECT("tbl_Bonds["&amp;J$27&amp;"]"))*$C42,"")</f>
        <v>58945.785147519971</v>
      </c>
      <c r="K42" s="19">
        <f ca="1">IF($B42&lt;&gt;"",SUMIF(tbl_Bonds[Bond],$B42,INDIRECT("tbl_Bonds["&amp;K$27&amp;"]"))*$C42,"")</f>
        <v>9337.2269487909834</v>
      </c>
    </row>
    <row r="43" spans="2:11">
      <c r="B43" s="36" t="s">
        <v>98</v>
      </c>
      <c r="C43" s="36"/>
      <c r="D43" s="36"/>
      <c r="E43" s="21">
        <f>SUM(E28:E42)</f>
        <v>513.99160793369651</v>
      </c>
      <c r="F43" s="22">
        <f t="shared" ref="F43:K43" si="1">SUM(F28:F42)</f>
        <v>-354994.64969914948</v>
      </c>
      <c r="G43" s="22">
        <f t="shared" ca="1" si="1"/>
        <v>51399.160793369636</v>
      </c>
      <c r="H43" s="22">
        <f t="shared" ca="1" si="1"/>
        <v>-354994.64969914948</v>
      </c>
      <c r="I43" s="22">
        <f t="shared" ca="1" si="1"/>
        <v>-335621.61411958688</v>
      </c>
      <c r="J43" s="22">
        <f t="shared" ca="1" si="1"/>
        <v>355408.95085360343</v>
      </c>
      <c r="K43" s="22">
        <f t="shared" ca="1" si="1"/>
        <v>129342.28304919267</v>
      </c>
    </row>
    <row r="45" spans="2:11">
      <c r="B45" s="78" t="s">
        <v>129</v>
      </c>
      <c r="C45" s="80">
        <f>((1+C17)^(1/(NETWORKDAYS(C19,C18,feriados)-1))-1)*E43*1000000</f>
        <v>-29387.745542868201</v>
      </c>
    </row>
    <row r="46" spans="2:11">
      <c r="B46" s="85"/>
      <c r="C46" s="86"/>
    </row>
    <row r="47" spans="2:11" ht="34">
      <c r="B47" s="81" t="s">
        <v>128</v>
      </c>
      <c r="C47" s="82">
        <f ca="1">((1+C17)^(1/(NETWORKDAYS(C19,C18,feriados)-1))-1)*G43*10000</f>
        <v>-29387.74554286819</v>
      </c>
      <c r="F47" s="23"/>
    </row>
    <row r="48" spans="2:11" ht="17">
      <c r="B48" s="83" t="s">
        <v>127</v>
      </c>
      <c r="C48" s="84">
        <f ca="1">K43+C45</f>
        <v>99954.537506324472</v>
      </c>
    </row>
    <row r="49" spans="2:7">
      <c r="B49" s="82"/>
      <c r="C49" s="82"/>
    </row>
    <row r="51" spans="2:7">
      <c r="B51" s="40" t="s">
        <v>102</v>
      </c>
      <c r="C51" s="41"/>
      <c r="D51" s="42"/>
      <c r="E51" s="42"/>
      <c r="F51" s="42"/>
      <c r="G51" s="42"/>
    </row>
    <row r="53" spans="2:7">
      <c r="B53" s="12" t="s">
        <v>98</v>
      </c>
      <c r="C53" s="50">
        <f>SUM(C56:C70)</f>
        <v>513.99160793369651</v>
      </c>
      <c r="D53" s="50">
        <f ca="1">SUM(D56:D70)</f>
        <v>51399.160793369636</v>
      </c>
      <c r="E53" s="50">
        <f t="shared" ref="E53:G53" ca="1" si="2">SUM(E56:E70)</f>
        <v>-354994.64969914948</v>
      </c>
      <c r="F53" s="50">
        <f t="shared" ca="1" si="2"/>
        <v>-335621.61411958688</v>
      </c>
      <c r="G53" s="50">
        <f t="shared" ca="1" si="2"/>
        <v>355408.95085360343</v>
      </c>
    </row>
    <row r="55" spans="2:7">
      <c r="B55" s="37" t="s">
        <v>0</v>
      </c>
      <c r="C55" s="12" t="s">
        <v>92</v>
      </c>
      <c r="D55" s="37" t="s">
        <v>70</v>
      </c>
      <c r="E55" s="37" t="s">
        <v>71</v>
      </c>
      <c r="F55" s="37" t="s">
        <v>72</v>
      </c>
      <c r="G55" s="37" t="s">
        <v>73</v>
      </c>
    </row>
    <row r="56" spans="2:7">
      <c r="B56" s="38" t="str" cm="1">
        <f t="array" ref="B56:B70">_xlfn._xlws.FILTER(B28:B42,IF(C28:C42&lt;&gt;"",TRUE,FALSE))</f>
        <v>B23 P</v>
      </c>
      <c r="C56" s="39">
        <f>IF($B56&lt;&gt;"",_xlfn.XLOOKUP($B56,$B$28:$B$42,E$28:E$42),"")</f>
        <v>42.016791811473389</v>
      </c>
      <c r="D56" s="39">
        <f ca="1">IF($B56&lt;&gt;"",_xlfn.XLOOKUP($B56,$B$28:$B$42,G$28:G$42),"")</f>
        <v>4201.6791811473386</v>
      </c>
      <c r="E56" s="39">
        <f ca="1">IF($B56&lt;&gt;"",_xlfn.XLOOKUP($B56,$B$28:$B$42,H$28:H$42),"")</f>
        <v>-1794.7666352902331</v>
      </c>
      <c r="F56" s="39">
        <f ca="1">IF($B56&lt;&gt;"",_xlfn.XLOOKUP($B56,$B$28:$B$42,I$28:I$42),"")</f>
        <v>-1714.2623815582654</v>
      </c>
      <c r="G56" s="39">
        <f ca="1">IF($B56&lt;&gt;"",_xlfn.XLOOKUP($B56,$B$28:$B$42,J$28:J$42),"")</f>
        <v>1863.3576280539673</v>
      </c>
    </row>
    <row r="57" spans="2:7">
      <c r="B57" s="38" t="str">
        <v>B23</v>
      </c>
      <c r="C57" s="39">
        <f t="shared" ref="C57:C70" si="3">IF($B57&lt;&gt;"",_xlfn.XLOOKUP($B57,$B$28:$B$42,E$28:E$42),"")</f>
        <v>59.011564722445087</v>
      </c>
      <c r="D57" s="39">
        <f ca="1">IF($B57&lt;&gt;"",_xlfn.XLOOKUP($B57,$B$28:$B$42,G$28:G$42),"")</f>
        <v>5901.1564722445082</v>
      </c>
      <c r="E57" s="39">
        <f ca="1">IF($B57&lt;&gt;"",_xlfn.XLOOKUP($B57,$B$28:$B$42,H$28:H$42),"")</f>
        <v>-3315.0637258474721</v>
      </c>
      <c r="F57" s="39">
        <f ca="1">IF($B57&lt;&gt;"",_xlfn.XLOOKUP($B57,$B$28:$B$42,I$28:I$42),"")</f>
        <v>-3160.8804822358811</v>
      </c>
      <c r="G57" s="39">
        <f ca="1">IF($B57&lt;&gt;"",_xlfn.XLOOKUP($B57,$B$28:$B$42,J$28:J$42),"")</f>
        <v>3426.1121255844423</v>
      </c>
    </row>
    <row r="58" spans="2:7">
      <c r="B58" s="38" t="str">
        <v>B24</v>
      </c>
      <c r="C58" s="39">
        <f t="shared" si="3"/>
        <v>6.7988916216645512</v>
      </c>
      <c r="D58" s="39">
        <f ca="1">IF($B58&lt;&gt;"",_xlfn.XLOOKUP($B58,$B$28:$B$42,G$28:G$42),"")</f>
        <v>679.88916216645509</v>
      </c>
      <c r="E58" s="39">
        <f ca="1">IF($B58&lt;&gt;"",_xlfn.XLOOKUP($B58,$B$28:$B$42,H$28:H$42),"")</f>
        <v>-1141.7386347622783</v>
      </c>
      <c r="F58" s="39">
        <f ca="1">IF($B58&lt;&gt;"",_xlfn.XLOOKUP($B58,$B$28:$B$42,I$28:I$42),"")</f>
        <v>-1085.7355942772115</v>
      </c>
      <c r="G58" s="39">
        <f ca="1">IF($B58&lt;&gt;"",_xlfn.XLOOKUP($B58,$B$28:$B$42,J$28:J$42),"")</f>
        <v>1159.2433415874841</v>
      </c>
    </row>
    <row r="59" spans="2:7">
      <c r="B59" s="38" t="str">
        <v>B25</v>
      </c>
      <c r="C59" s="39">
        <f t="shared" si="3"/>
        <v>20.714915625710827</v>
      </c>
      <c r="D59" s="39">
        <f ca="1">IF($B59&lt;&gt;"",_xlfn.XLOOKUP($B59,$B$28:$B$42,G$28:G$42),"")</f>
        <v>2071.4915625710823</v>
      </c>
      <c r="E59" s="39">
        <f ca="1">IF($B59&lt;&gt;"",_xlfn.XLOOKUP($B59,$B$28:$B$42,H$28:H$42),"")</f>
        <v>-4705.2564914823815</v>
      </c>
      <c r="F59" s="39">
        <f ca="1">IF($B59&lt;&gt;"",_xlfn.XLOOKUP($B59,$B$28:$B$42,I$28:I$42),"")</f>
        <v>-4470.4784878074252</v>
      </c>
      <c r="G59" s="39">
        <f ca="1">IF($B59&lt;&gt;"",_xlfn.XLOOKUP($B59,$B$28:$B$42,J$28:J$42),"")</f>
        <v>4751.4238415075015</v>
      </c>
    </row>
    <row r="60" spans="2:7">
      <c r="B60" s="38" t="str">
        <v>B26</v>
      </c>
      <c r="C60" s="39">
        <f t="shared" si="3"/>
        <v>35.915731082922001</v>
      </c>
      <c r="D60" s="39">
        <f ca="1">IF($B60&lt;&gt;"",_xlfn.XLOOKUP($B60,$B$28:$B$42,G$28:G$42),"")</f>
        <v>3591.5731082922007</v>
      </c>
      <c r="E60" s="39">
        <f ca="1">IF($B60&lt;&gt;"",_xlfn.XLOOKUP($B60,$B$28:$B$42,H$28:H$42),"")</f>
        <v>-11897.586132947672</v>
      </c>
      <c r="F60" s="39">
        <f ca="1">IF($B60&lt;&gt;"",_xlfn.XLOOKUP($B60,$B$28:$B$42,I$28:I$42),"")</f>
        <v>-11280.683818659598</v>
      </c>
      <c r="G60" s="39">
        <f ca="1">IF($B60&lt;&gt;"",_xlfn.XLOOKUP($B60,$B$28:$B$42,J$28:J$42),"")</f>
        <v>11943.968093791669</v>
      </c>
    </row>
    <row r="61" spans="2:7">
      <c r="B61" s="38" t="str">
        <v>B27</v>
      </c>
      <c r="C61" s="39">
        <f t="shared" si="3"/>
        <v>55.164797031716134</v>
      </c>
      <c r="D61" s="39">
        <f ca="1">IF($B61&lt;&gt;"",_xlfn.XLOOKUP($B61,$B$28:$B$42,G$28:G$42),"")</f>
        <v>5516.4797031716134</v>
      </c>
      <c r="E61" s="39">
        <f ca="1">IF($B61&lt;&gt;"",_xlfn.XLOOKUP($B61,$B$28:$B$42,H$28:H$42),"")</f>
        <v>-21030.14797897606</v>
      </c>
      <c r="F61" s="39">
        <f ca="1">IF($B61&lt;&gt;"",_xlfn.XLOOKUP($B61,$B$28:$B$42,I$28:I$42),"")</f>
        <v>-19918.689366471703</v>
      </c>
      <c r="G61" s="39">
        <f ca="1">IF($B61&lt;&gt;"",_xlfn.XLOOKUP($B61,$B$28:$B$42,J$28:J$42),"")</f>
        <v>21070.761960536431</v>
      </c>
    </row>
    <row r="62" spans="2:7">
      <c r="B62" s="38" t="str">
        <v>B28</v>
      </c>
      <c r="C62" s="39">
        <f t="shared" si="3"/>
        <v>32.044270228805985</v>
      </c>
      <c r="D62" s="39">
        <f ca="1">IF($B62&lt;&gt;"",_xlfn.XLOOKUP($B62,$B$28:$B$42,G$28:G$42),"")</f>
        <v>3204.427022880599</v>
      </c>
      <c r="E62" s="39">
        <f ca="1">IF($B62&lt;&gt;"",_xlfn.XLOOKUP($B62,$B$28:$B$42,H$28:H$42),"")</f>
        <v>-15237.261507133748</v>
      </c>
      <c r="F62" s="39">
        <f ca="1">IF($B62&lt;&gt;"",_xlfn.XLOOKUP($B62,$B$28:$B$42,I$28:I$42),"")</f>
        <v>-14416.171778645212</v>
      </c>
      <c r="G62" s="39">
        <f ca="1">IF($B62&lt;&gt;"",_xlfn.XLOOKUP($B62,$B$28:$B$42,J$28:J$42),"")</f>
        <v>15242.338611572148</v>
      </c>
    </row>
    <row r="63" spans="2:7">
      <c r="B63" s="38" t="str">
        <v>B30</v>
      </c>
      <c r="C63" s="39">
        <f t="shared" si="3"/>
        <v>10.15566698488281</v>
      </c>
      <c r="D63" s="39">
        <f ca="1">IF($B63&lt;&gt;"",_xlfn.XLOOKUP($B63,$B$28:$B$42,G$28:G$42),"")</f>
        <v>1015.5666984882808</v>
      </c>
      <c r="E63" s="39">
        <f ca="1">IF($B63&lt;&gt;"",_xlfn.XLOOKUP($B63,$B$28:$B$42,H$28:H$42),"")</f>
        <v>-6125.3587559534681</v>
      </c>
      <c r="F63" s="39">
        <f ca="1">IF($B63&lt;&gt;"",_xlfn.XLOOKUP($B63,$B$28:$B$42,I$28:I$42),"")</f>
        <v>-5791.8025065833262</v>
      </c>
      <c r="G63" s="39">
        <f ca="1">IF($B63&lt;&gt;"",_xlfn.XLOOKUP($B63,$B$28:$B$42,J$28:J$42),"")</f>
        <v>6125.1809883313399</v>
      </c>
    </row>
    <row r="64" spans="2:7">
      <c r="B64" s="38" t="str">
        <v>B32</v>
      </c>
      <c r="C64" s="39">
        <f t="shared" si="3"/>
        <v>56.23375274530035</v>
      </c>
      <c r="D64" s="39">
        <f ca="1">IF($B64&lt;&gt;"",_xlfn.XLOOKUP($B64,$B$28:$B$42,G$28:G$42),"")</f>
        <v>5623.3752745300353</v>
      </c>
      <c r="E64" s="39">
        <f ca="1">IF($B64&lt;&gt;"",_xlfn.XLOOKUP($B64,$B$28:$B$42,H$28:H$42),"")</f>
        <v>-40350.316773093604</v>
      </c>
      <c r="F64" s="39">
        <f ca="1">IF($B64&lt;&gt;"",_xlfn.XLOOKUP($B64,$B$28:$B$42,I$28:I$42),"")</f>
        <v>-38148.85876752741</v>
      </c>
      <c r="G64" s="39">
        <f ca="1">IF($B64&lt;&gt;"",_xlfn.XLOOKUP($B64,$B$28:$B$42,J$28:J$42),"")</f>
        <v>40362.573077596011</v>
      </c>
    </row>
    <row r="65" spans="2:7">
      <c r="B65" s="38" t="str">
        <v>B35</v>
      </c>
      <c r="C65" s="39">
        <f t="shared" si="3"/>
        <v>15.049153587751583</v>
      </c>
      <c r="D65" s="39">
        <f ca="1">IF($B65&lt;&gt;"",_xlfn.XLOOKUP($B65,$B$28:$B$42,G$28:G$42),"")</f>
        <v>1504.9153587751582</v>
      </c>
      <c r="E65" s="39">
        <f ca="1">IF($B65&lt;&gt;"",_xlfn.XLOOKUP($B65,$B$28:$B$42,H$28:H$42),"")</f>
        <v>-12650.154864579417</v>
      </c>
      <c r="F65" s="39">
        <f ca="1">IF($B65&lt;&gt;"",_xlfn.XLOOKUP($B65,$B$28:$B$42,I$28:I$42),"")</f>
        <v>-11959.194712908284</v>
      </c>
      <c r="G65" s="39">
        <f ca="1">IF($B65&lt;&gt;"",_xlfn.XLOOKUP($B65,$B$28:$B$42,J$28:J$42),"")</f>
        <v>12658.230257393927</v>
      </c>
    </row>
    <row r="66" spans="2:7">
      <c r="B66" s="38" t="str">
        <v>B40</v>
      </c>
      <c r="C66" s="39">
        <f t="shared" si="3"/>
        <v>7.4370952949561042</v>
      </c>
      <c r="D66" s="39">
        <f ca="1">IF($B66&lt;&gt;"",_xlfn.XLOOKUP($B66,$B$28:$B$42,G$28:G$42),"")</f>
        <v>743.70952949561024</v>
      </c>
      <c r="E66" s="39">
        <f ca="1">IF($B66&lt;&gt;"",_xlfn.XLOOKUP($B66,$B$28:$B$42,H$28:H$42),"")</f>
        <v>-7887.1790485249094</v>
      </c>
      <c r="F66" s="39">
        <f ca="1">IF($B66&lt;&gt;"",_xlfn.XLOOKUP($B66,$B$28:$B$42,I$28:I$42),"")</f>
        <v>-7454.5517721053766</v>
      </c>
      <c r="G66" s="39">
        <f ca="1">IF($B66&lt;&gt;"",_xlfn.XLOOKUP($B66,$B$28:$B$42,J$28:J$42),"")</f>
        <v>7892.1717434870206</v>
      </c>
    </row>
    <row r="67" spans="2:7">
      <c r="B67" s="38" t="str">
        <v>B45</v>
      </c>
      <c r="C67" s="39">
        <f t="shared" si="3"/>
        <v>57.310879930229902</v>
      </c>
      <c r="D67" s="39">
        <f ca="1">IF($B67&lt;&gt;"",_xlfn.XLOOKUP($B67,$B$28:$B$42,G$28:G$42),"")</f>
        <v>5731.0879930229894</v>
      </c>
      <c r="E67" s="39">
        <f ca="1">IF($B67&lt;&gt;"",_xlfn.XLOOKUP($B67,$B$28:$B$42,H$28:H$42),"")</f>
        <v>-67891.171320293186</v>
      </c>
      <c r="F67" s="39">
        <f ca="1">IF($B67&lt;&gt;"",_xlfn.XLOOKUP($B67,$B$28:$B$42,I$28:I$42),"")</f>
        <v>-64153.491421790648</v>
      </c>
      <c r="G67" s="39">
        <f ca="1">IF($B67&lt;&gt;"",_xlfn.XLOOKUP($B67,$B$28:$B$42,J$28:J$42),"")</f>
        <v>67920.857114680417</v>
      </c>
    </row>
    <row r="68" spans="2:7">
      <c r="B68" s="38" t="str">
        <v>B50</v>
      </c>
      <c r="C68" s="39">
        <f t="shared" si="3"/>
        <v>49.720123354383183</v>
      </c>
      <c r="D68" s="39">
        <f ca="1">IF($B68&lt;&gt;"",_xlfn.XLOOKUP($B68,$B$28:$B$42,G$28:G$42),"")</f>
        <v>4972.0123354383159</v>
      </c>
      <c r="E68" s="39">
        <f ca="1">IF($B68&lt;&gt;"",_xlfn.XLOOKUP($B68,$B$28:$B$42,H$28:H$42),"")</f>
        <v>-65662.181566600542</v>
      </c>
      <c r="F68" s="39">
        <f ca="1">IF($B68&lt;&gt;"",_xlfn.XLOOKUP($B68,$B$28:$B$42,I$28:I$42),"")</f>
        <v>-62036.587755580877</v>
      </c>
      <c r="G68" s="39">
        <f ca="1">IF($B68&lt;&gt;"",_xlfn.XLOOKUP($B68,$B$28:$B$42,J$28:J$42),"")</f>
        <v>65678.712837633895</v>
      </c>
    </row>
    <row r="69" spans="2:7">
      <c r="B69" s="38" t="str">
        <v>B55</v>
      </c>
      <c r="C69" s="39">
        <f t="shared" si="3"/>
        <v>26.318676095052705</v>
      </c>
      <c r="D69" s="39">
        <f ca="1">IF($B69&lt;&gt;"",_xlfn.XLOOKUP($B69,$B$28:$B$42,G$28:G$42),"")</f>
        <v>2631.867609505271</v>
      </c>
      <c r="E69" s="39">
        <f ca="1">IF($B69&lt;&gt;"",_xlfn.XLOOKUP($B69,$B$28:$B$42,H$28:H$42),"")</f>
        <v>-36363.29682520713</v>
      </c>
      <c r="F69" s="39">
        <f ca="1">IF($B69&lt;&gt;"",_xlfn.XLOOKUP($B69,$B$28:$B$42,I$28:I$42),"")</f>
        <v>-34351.907885113564</v>
      </c>
      <c r="G69" s="39">
        <f ca="1">IF($B69&lt;&gt;"",_xlfn.XLOOKUP($B69,$B$28:$B$42,J$28:J$42),"")</f>
        <v>36368.234084327167</v>
      </c>
    </row>
    <row r="70" spans="2:7">
      <c r="B70" s="38" t="str">
        <v>B60</v>
      </c>
      <c r="C70" s="39">
        <f t="shared" si="3"/>
        <v>40.099297816401858</v>
      </c>
      <c r="D70" s="39">
        <f ca="1">IF($B70&lt;&gt;"",_xlfn.XLOOKUP($B70,$B$28:$B$42,G$28:G$42),"")</f>
        <v>4009.9297816401845</v>
      </c>
      <c r="E70" s="39">
        <f ca="1">IF($B70&lt;&gt;"",_xlfn.XLOOKUP($B70,$B$28:$B$42,H$28:H$42),"")</f>
        <v>-58943.169438457429</v>
      </c>
      <c r="F70" s="39">
        <f ca="1">IF($B70&lt;&gt;"",_xlfn.XLOOKUP($B70,$B$28:$B$42,I$28:I$42),"")</f>
        <v>-55678.317388322088</v>
      </c>
      <c r="G70" s="39">
        <f ca="1">IF($B70&lt;&gt;"",_xlfn.XLOOKUP($B70,$B$28:$B$42,J$28:J$42),"")</f>
        <v>58945.785147519971</v>
      </c>
    </row>
    <row r="227" spans="2:2">
      <c r="B227" s="3"/>
    </row>
    <row r="228" spans="2:2">
      <c r="B228" s="3"/>
    </row>
    <row r="229" spans="2:2">
      <c r="B229" s="3"/>
    </row>
    <row r="230" spans="2:2">
      <c r="B230" s="3"/>
    </row>
    <row r="231" spans="2:2">
      <c r="B231" s="3"/>
    </row>
    <row r="232" spans="2:2">
      <c r="B232" s="3"/>
    </row>
    <row r="233" spans="2:2">
      <c r="B233" s="3"/>
    </row>
    <row r="234" spans="2:2">
      <c r="B234" s="3"/>
    </row>
    <row r="235" spans="2:2">
      <c r="B235" s="3"/>
    </row>
    <row r="236" spans="2:2">
      <c r="B236" s="3"/>
    </row>
    <row r="237" spans="2:2">
      <c r="B237" s="3"/>
    </row>
    <row r="238" spans="2:2">
      <c r="B238" s="3"/>
    </row>
    <row r="239" spans="2:2">
      <c r="B239" s="3"/>
    </row>
    <row r="240" spans="2:2">
      <c r="B240" s="3"/>
    </row>
    <row r="241" spans="2:2">
      <c r="B241" s="3"/>
    </row>
    <row r="242" spans="2:2">
      <c r="B242" s="3"/>
    </row>
    <row r="243" spans="2:2">
      <c r="B243" s="3"/>
    </row>
    <row r="244" spans="2:2">
      <c r="B244" s="3"/>
    </row>
    <row r="245" spans="2:2">
      <c r="B245" s="3"/>
    </row>
    <row r="246" spans="2:2">
      <c r="B246" s="3"/>
    </row>
    <row r="247" spans="2:2">
      <c r="B247" s="3"/>
    </row>
    <row r="248" spans="2:2">
      <c r="B248" s="3"/>
    </row>
    <row r="249" spans="2:2">
      <c r="B249" s="3"/>
    </row>
    <row r="250" spans="2:2">
      <c r="B250" s="3"/>
    </row>
    <row r="251" spans="2:2">
      <c r="B251" s="3"/>
    </row>
    <row r="252" spans="2:2">
      <c r="B252" s="3"/>
    </row>
    <row r="253" spans="2:2">
      <c r="B253" s="3"/>
    </row>
    <row r="254" spans="2:2">
      <c r="B254" s="3"/>
    </row>
    <row r="255" spans="2:2">
      <c r="B255" s="3"/>
    </row>
    <row r="256" spans="2:2">
      <c r="B256" s="3"/>
    </row>
    <row r="257" spans="2:2">
      <c r="B257" s="3"/>
    </row>
    <row r="258" spans="2:2">
      <c r="B258" s="3"/>
    </row>
    <row r="259" spans="2:2">
      <c r="B259" s="3"/>
    </row>
    <row r="260" spans="2:2">
      <c r="B260" s="3"/>
    </row>
    <row r="261" spans="2:2">
      <c r="B261" s="3"/>
    </row>
    <row r="262" spans="2:2">
      <c r="B262" s="3"/>
    </row>
    <row r="263" spans="2:2">
      <c r="B263" s="3"/>
    </row>
    <row r="264" spans="2:2">
      <c r="B264" s="3"/>
    </row>
    <row r="265" spans="2:2">
      <c r="B265" s="3"/>
    </row>
    <row r="266" spans="2:2">
      <c r="B266" s="3"/>
    </row>
    <row r="267" spans="2:2">
      <c r="B267" s="3"/>
    </row>
    <row r="268" spans="2:2">
      <c r="B268" s="3"/>
    </row>
    <row r="269" spans="2:2">
      <c r="B269" s="3"/>
    </row>
    <row r="270" spans="2:2">
      <c r="B270" s="3"/>
    </row>
    <row r="271" spans="2:2">
      <c r="B271" s="3"/>
    </row>
    <row r="272" spans="2:2">
      <c r="B272" s="3"/>
    </row>
    <row r="273" spans="2:2">
      <c r="B273" s="3"/>
    </row>
    <row r="274" spans="2:2">
      <c r="B274" s="3"/>
    </row>
    <row r="275" spans="2:2">
      <c r="B275" s="3"/>
    </row>
    <row r="276" spans="2:2">
      <c r="B276" s="3"/>
    </row>
    <row r="277" spans="2:2">
      <c r="B277" s="3"/>
    </row>
    <row r="278" spans="2:2">
      <c r="B278" s="3"/>
    </row>
    <row r="279" spans="2:2">
      <c r="B279" s="3"/>
    </row>
    <row r="280" spans="2:2">
      <c r="B280" s="3"/>
    </row>
    <row r="281" spans="2:2">
      <c r="B281" s="3"/>
    </row>
    <row r="282" spans="2:2">
      <c r="B282" s="3"/>
    </row>
    <row r="283" spans="2:2">
      <c r="B283" s="3"/>
    </row>
    <row r="284" spans="2:2">
      <c r="B284" s="3"/>
    </row>
    <row r="285" spans="2:2">
      <c r="B285" s="3"/>
    </row>
    <row r="286" spans="2:2">
      <c r="B286" s="3"/>
    </row>
    <row r="287" spans="2:2">
      <c r="B287" s="3"/>
    </row>
    <row r="288" spans="2:2">
      <c r="B288" s="3"/>
    </row>
    <row r="289" spans="2:2">
      <c r="B289" s="3"/>
    </row>
    <row r="290" spans="2:2">
      <c r="B290" s="3"/>
    </row>
    <row r="291" spans="2:2">
      <c r="B291" s="3"/>
    </row>
    <row r="292" spans="2:2">
      <c r="B292" s="3"/>
    </row>
    <row r="293" spans="2:2">
      <c r="B293" s="3"/>
    </row>
    <row r="294" spans="2:2">
      <c r="B294" s="3"/>
    </row>
    <row r="295" spans="2:2">
      <c r="B295" s="3"/>
    </row>
    <row r="296" spans="2:2">
      <c r="B296" s="3"/>
    </row>
    <row r="297" spans="2:2">
      <c r="B297" s="3"/>
    </row>
    <row r="298" spans="2:2">
      <c r="B298" s="3"/>
    </row>
    <row r="299" spans="2:2">
      <c r="B299" s="3"/>
    </row>
    <row r="300" spans="2:2">
      <c r="B300" s="3"/>
    </row>
    <row r="301" spans="2:2">
      <c r="B301" s="3"/>
    </row>
    <row r="302" spans="2:2">
      <c r="B302" s="3"/>
    </row>
    <row r="303" spans="2:2">
      <c r="B303" s="3"/>
    </row>
    <row r="304" spans="2:2">
      <c r="B304" s="3"/>
    </row>
    <row r="305" spans="2:2">
      <c r="B305" s="3"/>
    </row>
    <row r="306" spans="2:2">
      <c r="B306" s="3"/>
    </row>
    <row r="307" spans="2:2">
      <c r="B307" s="3"/>
    </row>
    <row r="308" spans="2:2">
      <c r="B308" s="3"/>
    </row>
    <row r="309" spans="2:2">
      <c r="B309" s="3"/>
    </row>
    <row r="310" spans="2:2">
      <c r="B310" s="3"/>
    </row>
    <row r="311" spans="2:2">
      <c r="B311" s="3"/>
    </row>
    <row r="312" spans="2:2">
      <c r="B312" s="3"/>
    </row>
    <row r="313" spans="2:2">
      <c r="B313" s="3"/>
    </row>
    <row r="314" spans="2:2">
      <c r="B314" s="3"/>
    </row>
    <row r="315" spans="2:2">
      <c r="B315" s="3"/>
    </row>
    <row r="316" spans="2:2">
      <c r="B316" s="3"/>
    </row>
    <row r="317" spans="2:2">
      <c r="B317" s="3"/>
    </row>
    <row r="318" spans="2:2">
      <c r="B318" s="3"/>
    </row>
    <row r="319" spans="2:2">
      <c r="B319" s="3"/>
    </row>
    <row r="320" spans="2:2">
      <c r="B320" s="3"/>
    </row>
    <row r="321" spans="2:2">
      <c r="B321" s="3"/>
    </row>
    <row r="322" spans="2:2">
      <c r="B322" s="3"/>
    </row>
    <row r="323" spans="2:2">
      <c r="B323" s="3"/>
    </row>
    <row r="324" spans="2:2">
      <c r="B324" s="3"/>
    </row>
    <row r="325" spans="2:2">
      <c r="B325" s="3"/>
    </row>
    <row r="326" spans="2:2">
      <c r="B326" s="3"/>
    </row>
    <row r="327" spans="2:2">
      <c r="B327" s="3"/>
    </row>
    <row r="328" spans="2:2">
      <c r="B328" s="3"/>
    </row>
    <row r="329" spans="2:2">
      <c r="B329" s="3"/>
    </row>
    <row r="330" spans="2:2">
      <c r="B330" s="3"/>
    </row>
    <row r="331" spans="2:2">
      <c r="B331" s="3"/>
    </row>
    <row r="332" spans="2:2">
      <c r="B332" s="3"/>
    </row>
    <row r="333" spans="2:2">
      <c r="B333" s="3"/>
    </row>
    <row r="334" spans="2:2">
      <c r="B334" s="3"/>
    </row>
    <row r="335" spans="2:2">
      <c r="B335" s="3"/>
    </row>
    <row r="336" spans="2:2">
      <c r="B336" s="3"/>
    </row>
    <row r="337" spans="2:2">
      <c r="B337" s="3"/>
    </row>
    <row r="338" spans="2:2">
      <c r="B338" s="3"/>
    </row>
    <row r="339" spans="2:2">
      <c r="B339" s="3"/>
    </row>
    <row r="340" spans="2:2">
      <c r="B340" s="3"/>
    </row>
    <row r="341" spans="2:2">
      <c r="B341" s="3"/>
    </row>
    <row r="342" spans="2:2">
      <c r="B342" s="3"/>
    </row>
    <row r="343" spans="2:2">
      <c r="B343" s="3"/>
    </row>
    <row r="344" spans="2:2">
      <c r="B344" s="3"/>
    </row>
    <row r="345" spans="2:2">
      <c r="B345" s="3"/>
    </row>
    <row r="346" spans="2:2">
      <c r="B346" s="3"/>
    </row>
    <row r="347" spans="2:2">
      <c r="B347" s="3"/>
    </row>
    <row r="348" spans="2:2">
      <c r="B348" s="3"/>
    </row>
    <row r="349" spans="2:2">
      <c r="B349" s="3"/>
    </row>
    <row r="350" spans="2:2">
      <c r="B350" s="3"/>
    </row>
    <row r="351" spans="2:2">
      <c r="B351" s="3"/>
    </row>
    <row r="352" spans="2:2">
      <c r="B352" s="3"/>
    </row>
    <row r="353" spans="2:2">
      <c r="B353" s="3"/>
    </row>
    <row r="354" spans="2:2">
      <c r="B354" s="3"/>
    </row>
    <row r="355" spans="2:2">
      <c r="B355" s="3"/>
    </row>
    <row r="356" spans="2:2">
      <c r="B356" s="3"/>
    </row>
    <row r="357" spans="2:2">
      <c r="B357" s="3"/>
    </row>
    <row r="358" spans="2:2">
      <c r="B358" s="3"/>
    </row>
    <row r="359" spans="2:2">
      <c r="B359" s="3"/>
    </row>
    <row r="360" spans="2:2">
      <c r="B360" s="3"/>
    </row>
    <row r="361" spans="2:2">
      <c r="B361" s="3"/>
    </row>
    <row r="362" spans="2:2">
      <c r="B362" s="3"/>
    </row>
    <row r="363" spans="2:2">
      <c r="B363" s="3"/>
    </row>
    <row r="364" spans="2:2">
      <c r="B364" s="3"/>
    </row>
    <row r="365" spans="2:2">
      <c r="B365" s="3"/>
    </row>
    <row r="366" spans="2:2">
      <c r="B366" s="3"/>
    </row>
    <row r="367" spans="2:2">
      <c r="B367" s="3"/>
    </row>
    <row r="368" spans="2:2">
      <c r="B368" s="3"/>
    </row>
    <row r="369" spans="2:2">
      <c r="B369" s="3"/>
    </row>
    <row r="370" spans="2:2">
      <c r="B370" s="3"/>
    </row>
    <row r="371" spans="2:2">
      <c r="B371" s="3"/>
    </row>
    <row r="372" spans="2:2">
      <c r="B372" s="3"/>
    </row>
    <row r="373" spans="2:2">
      <c r="B373" s="3"/>
    </row>
    <row r="374" spans="2:2">
      <c r="B374" s="3"/>
    </row>
    <row r="375" spans="2:2">
      <c r="B375" s="3"/>
    </row>
    <row r="376" spans="2:2">
      <c r="B376" s="3"/>
    </row>
    <row r="377" spans="2:2">
      <c r="B377" s="3"/>
    </row>
    <row r="378" spans="2:2">
      <c r="B378" s="3"/>
    </row>
    <row r="379" spans="2:2">
      <c r="B379" s="3"/>
    </row>
    <row r="380" spans="2:2">
      <c r="B380" s="3"/>
    </row>
    <row r="381" spans="2:2">
      <c r="B381" s="3"/>
    </row>
    <row r="382" spans="2:2">
      <c r="B382" s="3"/>
    </row>
    <row r="383" spans="2:2">
      <c r="B383" s="3"/>
    </row>
    <row r="384" spans="2:2">
      <c r="B384" s="3"/>
    </row>
    <row r="385" spans="2:2">
      <c r="B385" s="3"/>
    </row>
    <row r="386" spans="2:2">
      <c r="B386" s="3"/>
    </row>
    <row r="387" spans="2:2">
      <c r="B387" s="3"/>
    </row>
    <row r="388" spans="2:2">
      <c r="B388" s="3"/>
    </row>
    <row r="389" spans="2:2">
      <c r="B389" s="3"/>
    </row>
    <row r="390" spans="2:2">
      <c r="B390" s="3"/>
    </row>
    <row r="391" spans="2:2">
      <c r="B391" s="3"/>
    </row>
    <row r="392" spans="2:2">
      <c r="B392" s="3"/>
    </row>
    <row r="393" spans="2:2">
      <c r="B393" s="3"/>
    </row>
    <row r="394" spans="2:2">
      <c r="B394" s="3"/>
    </row>
    <row r="395" spans="2:2">
      <c r="B395" s="3"/>
    </row>
    <row r="396" spans="2:2">
      <c r="B396" s="3"/>
    </row>
    <row r="397" spans="2:2">
      <c r="B397" s="3"/>
    </row>
    <row r="398" spans="2:2">
      <c r="B398" s="3"/>
    </row>
    <row r="399" spans="2:2">
      <c r="B399" s="3"/>
    </row>
    <row r="400" spans="2:2">
      <c r="B400" s="3"/>
    </row>
    <row r="401" spans="2:2">
      <c r="B401" s="3"/>
    </row>
    <row r="402" spans="2:2">
      <c r="B402" s="3"/>
    </row>
    <row r="403" spans="2:2">
      <c r="B403" s="3"/>
    </row>
    <row r="404" spans="2:2">
      <c r="B404" s="3"/>
    </row>
    <row r="405" spans="2:2">
      <c r="B405" s="3"/>
    </row>
    <row r="406" spans="2:2">
      <c r="B406" s="3"/>
    </row>
    <row r="407" spans="2:2">
      <c r="B407" s="3"/>
    </row>
    <row r="408" spans="2:2">
      <c r="B408" s="3"/>
    </row>
    <row r="409" spans="2:2">
      <c r="B409" s="3"/>
    </row>
    <row r="410" spans="2:2">
      <c r="B410" s="3"/>
    </row>
    <row r="411" spans="2:2">
      <c r="B411" s="3"/>
    </row>
    <row r="412" spans="2:2">
      <c r="B412" s="3"/>
    </row>
    <row r="413" spans="2:2">
      <c r="B413" s="3"/>
    </row>
    <row r="414" spans="2:2">
      <c r="B414" s="3"/>
    </row>
    <row r="415" spans="2:2">
      <c r="B415" s="3"/>
    </row>
    <row r="416" spans="2:2">
      <c r="B416" s="3"/>
    </row>
    <row r="417" spans="2:2">
      <c r="B417" s="3"/>
    </row>
    <row r="418" spans="2:2">
      <c r="B418" s="3"/>
    </row>
    <row r="419" spans="2:2">
      <c r="B419" s="3"/>
    </row>
    <row r="420" spans="2:2">
      <c r="B420" s="3"/>
    </row>
    <row r="421" spans="2:2">
      <c r="B421" s="3"/>
    </row>
    <row r="422" spans="2:2">
      <c r="B422" s="3"/>
    </row>
    <row r="423" spans="2:2">
      <c r="B423" s="3"/>
    </row>
    <row r="424" spans="2:2">
      <c r="B424" s="3"/>
    </row>
    <row r="425" spans="2:2">
      <c r="B425" s="3"/>
    </row>
    <row r="426" spans="2:2">
      <c r="B426" s="3"/>
    </row>
    <row r="427" spans="2:2">
      <c r="B427" s="3"/>
    </row>
    <row r="428" spans="2:2">
      <c r="B428" s="3"/>
    </row>
    <row r="429" spans="2:2">
      <c r="B429" s="3"/>
    </row>
    <row r="430" spans="2:2">
      <c r="B430" s="3"/>
    </row>
    <row r="431" spans="2:2">
      <c r="B431" s="3"/>
    </row>
    <row r="432" spans="2:2">
      <c r="B432" s="3"/>
    </row>
    <row r="433" spans="2:2">
      <c r="B433" s="3"/>
    </row>
  </sheetData>
  <mergeCells count="3">
    <mergeCell ref="B43:D43"/>
    <mergeCell ref="B45:B46"/>
    <mergeCell ref="C45:C46"/>
  </mergeCells>
  <conditionalFormatting sqref="E28:E4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{43D9A3C3-5D29-6546-B034-45AABCE8AF97}</x14:id>
        </ext>
      </extLst>
    </cfRule>
  </conditionalFormatting>
  <conditionalFormatting sqref="F28:F42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{634A4EA3-9AA2-4848-8601-5A75FC1C0664}</x14:id>
        </ext>
      </extLst>
    </cfRule>
  </conditionalFormatting>
  <conditionalFormatting sqref="G28:G42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{33C3589A-B4E4-8947-9CE1-944E073E1A20}</x14:id>
        </ext>
      </extLst>
    </cfRule>
  </conditionalFormatting>
  <conditionalFormatting sqref="I28:I42">
    <cfRule type="dataBar" priority="4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{8D95C3F1-C439-0144-977F-D456DA80E824}</x14:id>
        </ext>
      </extLst>
    </cfRule>
  </conditionalFormatting>
  <conditionalFormatting sqref="J28:J4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{406DA05C-A8A4-1A47-8735-6CE2E45DF7B5}</x14:id>
        </ext>
      </extLst>
    </cfRule>
  </conditionalFormatting>
  <conditionalFormatting sqref="K28:K42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{525BFE70-2B99-1544-A3AC-07A4B0CC45F9}</x14:id>
        </ext>
      </extLst>
    </cfRule>
  </conditionalFormatting>
  <conditionalFormatting sqref="H28:H4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{7E3C6497-E477-7F46-9557-2EFCCC0DCA9F}</x14:id>
        </ext>
      </extLst>
    </cfRule>
  </conditionalFormatting>
  <dataValidations count="2">
    <dataValidation type="list" allowBlank="1" showInputMessage="1" showErrorMessage="1" sqref="C13" xr:uid="{020423D8-2BAB-E94E-ADB7-A94F58C7B0AE}">
      <formula1>"Float Pré,Float Real,Float Implícita"</formula1>
    </dataValidation>
    <dataValidation type="list" allowBlank="1" showInputMessage="1" showErrorMessage="1" sqref="C14" xr:uid="{F2B54816-CECE-FB48-AF35-A96DFAC7EE97}">
      <formula1>"Mercado,Simulada"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D9A3C3-5D29-6546-B034-45AABCE8AF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E28:E42</xm:sqref>
        </x14:conditionalFormatting>
        <x14:conditionalFormatting xmlns:xm="http://schemas.microsoft.com/office/excel/2006/main">
          <x14:cfRule type="dataBar" id="{634A4EA3-9AA2-4848-8601-5A75FC1C0664}">
            <x14:dataBar minLength="0" maxLength="100" gradient="0">
              <x14:cfvo type="autoMin"/>
              <x14:cfvo type="autoMax"/>
              <x14:negativeFillColor theme="7" tint="0.39997558519241921"/>
              <x14:axisColor rgb="FF000000"/>
            </x14:dataBar>
          </x14:cfRule>
          <xm:sqref>F28:F42</xm:sqref>
        </x14:conditionalFormatting>
        <x14:conditionalFormatting xmlns:xm="http://schemas.microsoft.com/office/excel/2006/main">
          <x14:cfRule type="dataBar" id="{33C3589A-B4E4-8947-9CE1-944E073E1A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G28:G42</xm:sqref>
        </x14:conditionalFormatting>
        <x14:conditionalFormatting xmlns:xm="http://schemas.microsoft.com/office/excel/2006/main">
          <x14:cfRule type="dataBar" id="{8D95C3F1-C439-0144-977F-D456DA80E824}">
            <x14:dataBar minLength="0" maxLength="100" gradient="0">
              <x14:cfvo type="autoMin"/>
              <x14:cfvo type="autoMax"/>
              <x14:negativeFillColor theme="5" tint="0.59999389629810485"/>
              <x14:axisColor rgb="FF000000"/>
            </x14:dataBar>
          </x14:cfRule>
          <xm:sqref>I28:I42</xm:sqref>
        </x14:conditionalFormatting>
        <x14:conditionalFormatting xmlns:xm="http://schemas.microsoft.com/office/excel/2006/main">
          <x14:cfRule type="dataBar" id="{406DA05C-A8A4-1A47-8735-6CE2E45DF7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J28:J42</xm:sqref>
        </x14:conditionalFormatting>
        <x14:conditionalFormatting xmlns:xm="http://schemas.microsoft.com/office/excel/2006/main">
          <x14:cfRule type="dataBar" id="{525BFE70-2B99-1544-A3AC-07A4B0CC45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K28:K42</xm:sqref>
        </x14:conditionalFormatting>
        <x14:conditionalFormatting xmlns:xm="http://schemas.microsoft.com/office/excel/2006/main">
          <x14:cfRule type="dataBar" id="{7E3C6497-E477-7F46-9557-2EFCCC0DCA9F}">
            <x14:dataBar minLength="0" maxLength="100" gradient="0">
              <x14:cfvo type="autoMin"/>
              <x14:cfvo type="autoMax"/>
              <x14:negativeFillColor theme="7" tint="0.39997558519241921"/>
              <x14:axisColor rgb="FF000000"/>
            </x14:dataBar>
          </x14:cfRule>
          <xm:sqref>H28:H42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940C6-5FD0-2941-A647-E5C3AD0FBD40}">
  <sheetPr codeName="Simulador"/>
  <dimension ref="B1:Z148"/>
  <sheetViews>
    <sheetView showGridLines="0" workbookViewId="0"/>
  </sheetViews>
  <sheetFormatPr baseColWidth="10" defaultRowHeight="16"/>
  <cols>
    <col min="1" max="1" width="3.5" style="10" customWidth="1"/>
    <col min="2" max="3" width="10.83203125" style="10"/>
    <col min="4" max="7" width="13.6640625" style="10" customWidth="1"/>
    <col min="8" max="8" width="9.33203125" style="10" bestFit="1" customWidth="1"/>
    <col min="9" max="9" width="10.83203125" style="10"/>
    <col min="10" max="10" width="9.33203125" style="10" customWidth="1"/>
    <col min="11" max="11" width="9.83203125" style="10" customWidth="1"/>
    <col min="12" max="12" width="10.6640625" style="10" customWidth="1"/>
    <col min="13" max="13" width="9.83203125" style="10" customWidth="1"/>
    <col min="14" max="14" width="9.6640625" style="10" customWidth="1"/>
    <col min="15" max="15" width="10.33203125" style="10" customWidth="1"/>
    <col min="16" max="18" width="13.33203125" style="10" customWidth="1"/>
    <col min="20" max="20" width="10.83203125" style="10" customWidth="1"/>
    <col min="21" max="21" width="12.1640625" style="10" bestFit="1" customWidth="1"/>
    <col min="22" max="22" width="17.6640625" style="10" bestFit="1" customWidth="1"/>
    <col min="23" max="23" width="18.33203125" style="10" bestFit="1" customWidth="1"/>
    <col min="24" max="24" width="16.33203125" style="10" bestFit="1" customWidth="1"/>
    <col min="25" max="26" width="15.33203125" style="10" bestFit="1" customWidth="1"/>
    <col min="27" max="27" width="9.6640625" style="10" bestFit="1" customWidth="1"/>
    <col min="28" max="28" width="10.5" style="10" bestFit="1" customWidth="1"/>
    <col min="29" max="29" width="7.1640625" style="10" bestFit="1" customWidth="1"/>
    <col min="30" max="16384" width="10.83203125" style="10"/>
  </cols>
  <sheetData>
    <row r="1" spans="2:26" ht="17" thickBot="1"/>
    <row r="2" spans="2:26" ht="18" thickTop="1" thickBot="1">
      <c r="B2" s="73"/>
      <c r="C2" s="104" t="s">
        <v>119</v>
      </c>
    </row>
    <row r="3" spans="2:26" ht="17" thickTop="1">
      <c r="W3" s="93"/>
      <c r="X3" s="11"/>
    </row>
    <row r="4" spans="2:26" ht="42" customHeight="1">
      <c r="B4" s="45" t="s">
        <v>103</v>
      </c>
      <c r="C4" s="45" t="s">
        <v>57</v>
      </c>
      <c r="D4" s="45" t="s">
        <v>94</v>
      </c>
      <c r="E4" s="45" t="s">
        <v>95</v>
      </c>
      <c r="F4" s="45" t="s">
        <v>96</v>
      </c>
      <c r="G4" s="45" t="s">
        <v>111</v>
      </c>
      <c r="H4" s="45" t="s">
        <v>104</v>
      </c>
      <c r="I4" s="45" t="s">
        <v>112</v>
      </c>
      <c r="J4" s="45" t="s">
        <v>115</v>
      </c>
      <c r="K4" s="45" t="s">
        <v>105</v>
      </c>
      <c r="L4" s="45" t="s">
        <v>116</v>
      </c>
      <c r="M4" s="45" t="s">
        <v>113</v>
      </c>
      <c r="N4" s="45" t="s">
        <v>106</v>
      </c>
      <c r="O4" s="45" t="s">
        <v>114</v>
      </c>
      <c r="P4" s="81" t="s">
        <v>132</v>
      </c>
      <c r="Q4" s="81" t="s">
        <v>131</v>
      </c>
      <c r="R4" s="81" t="s">
        <v>130</v>
      </c>
      <c r="T4" s="74"/>
      <c r="V4" s="51" t="s">
        <v>92</v>
      </c>
      <c r="W4" s="51" t="s">
        <v>70</v>
      </c>
      <c r="X4" s="51" t="s">
        <v>71</v>
      </c>
      <c r="Y4" s="51" t="s">
        <v>72</v>
      </c>
      <c r="Z4" s="51" t="s">
        <v>73</v>
      </c>
    </row>
    <row r="5" spans="2:26">
      <c r="B5" s="30">
        <v>44881</v>
      </c>
      <c r="C5" s="56">
        <f>NETWORKDAYS(val_date,B5,feriados)-1</f>
        <v>34</v>
      </c>
      <c r="D5" s="46">
        <f ca="1">SUMIF(tbl_Bonds[Coupon],$B5,INDIRECT("tbl_Bonds["&amp;D$4&amp;"]"))</f>
        <v>-81.86332973238612</v>
      </c>
      <c r="E5" s="46">
        <f ca="1">SUMIF(tbl_Bonds[Coupon],$B5,INDIRECT("tbl_Bonds["&amp;E$4&amp;"]"))</f>
        <v>-78.778877610687616</v>
      </c>
      <c r="F5" s="46">
        <f ca="1">SUMIF(tbl_Bonds[Coupon],$B5,INDIRECT("tbl_Bonds["&amp;F$4&amp;"]"))</f>
        <v>86.195078681389106</v>
      </c>
      <c r="G5" s="43">
        <f>_xlfn.XLOOKUP(B5,tbl_Bonds[Coupon],tbl_Bonds[Pré Mercado])</f>
        <v>0.13709542415198134</v>
      </c>
      <c r="H5" s="88">
        <v>0</v>
      </c>
      <c r="I5" s="43">
        <f>_xlfn.XLOOKUP(B5,tbl_Bonds[Coupon],tbl_Bonds[Pré Simulada])</f>
        <v>0.13709542415198134</v>
      </c>
      <c r="J5" s="43">
        <f>_xlfn.XLOOKUP($B5,tbl_Bonds[Coupon],tbl_Bonds[Real Mercado])</f>
        <v>9.4238501847281109E-2</v>
      </c>
      <c r="K5" s="88">
        <v>0</v>
      </c>
      <c r="L5" s="43">
        <f>_xlfn.XLOOKUP($B5,tbl_Bonds[Coupon],tbl_Bonds[Real Simulada])</f>
        <v>9.4238501847281109E-2</v>
      </c>
      <c r="M5" s="43">
        <f>_xlfn.XLOOKUP($B5,tbl_Bonds[Coupon],tbl_Bonds[Implícita Mercado])</f>
        <v>3.9260043860060989E-2</v>
      </c>
      <c r="N5" s="88">
        <v>0</v>
      </c>
      <c r="O5" s="43">
        <f>_xlfn.XLOOKUP($B5,tbl_Bonds[Coupon],tbl_Bonds[Implícita Simulada])</f>
        <v>3.9260043860060989E-2</v>
      </c>
      <c r="P5" s="20">
        <f ca="1">(I5-G5)*10000*E5</f>
        <v>0</v>
      </c>
      <c r="Q5" s="20">
        <f ca="1">(L5-J5)*10000*D5</f>
        <v>0</v>
      </c>
      <c r="R5" s="20">
        <f ca="1">(O5-M5)*10000*F5</f>
        <v>0</v>
      </c>
      <c r="S5" s="44"/>
      <c r="U5" s="52" t="s">
        <v>107</v>
      </c>
      <c r="V5" s="88">
        <v>513.99854409128704</v>
      </c>
      <c r="W5" s="88">
        <v>51399.854409128697</v>
      </c>
      <c r="X5" s="88">
        <v>-354999.05473709747</v>
      </c>
      <c r="Y5" s="88">
        <v>-335621.61411958688</v>
      </c>
      <c r="Z5" s="88">
        <v>355408.95085360343</v>
      </c>
    </row>
    <row r="6" spans="2:26">
      <c r="B6" s="30">
        <v>44972</v>
      </c>
      <c r="C6" s="56">
        <f>NETWORKDAYS(val_date,B6,feriados)-1</f>
        <v>99</v>
      </c>
      <c r="D6" s="46">
        <f ca="1">SUMIF(tbl_Bonds[Coupon],$B6,INDIRECT("tbl_Bonds["&amp;D$4&amp;"]"))</f>
        <v>-240.89847595178364</v>
      </c>
      <c r="E6" s="46">
        <f ca="1">SUMIF(tbl_Bonds[Coupon],$B6,INDIRECT("tbl_Bonds["&amp;E$4&amp;"]"))</f>
        <v>-230.35425918423491</v>
      </c>
      <c r="F6" s="46">
        <f ca="1">SUMIF(tbl_Bonds[Coupon],$B6,INDIRECT("tbl_Bonds["&amp;F$4&amp;"]"))</f>
        <v>250.73475787716887</v>
      </c>
      <c r="G6" s="43">
        <f>_xlfn.XLOOKUP(B6,tbl_Bonds[Coupon],tbl_Bonds[Pré Mercado])</f>
        <v>0.13824476901041258</v>
      </c>
      <c r="H6" s="88">
        <v>0</v>
      </c>
      <c r="I6" s="43">
        <f>_xlfn.XLOOKUP(B6,tbl_Bonds[Coupon],tbl_Bonds[Pré Simulada])</f>
        <v>0.13824476901041258</v>
      </c>
      <c r="J6" s="43">
        <f>_xlfn.XLOOKUP($B6,tbl_Bonds[Coupon],tbl_Bonds[Real Mercado])</f>
        <v>8.8437815039086765E-2</v>
      </c>
      <c r="K6" s="88">
        <v>0</v>
      </c>
      <c r="L6" s="43">
        <f>_xlfn.XLOOKUP($B6,tbl_Bonds[Coupon],tbl_Bonds[Real Simulada])</f>
        <v>8.8437815039086765E-2</v>
      </c>
      <c r="M6" s="43">
        <f>_xlfn.XLOOKUP($B6,tbl_Bonds[Coupon],tbl_Bonds[Implícita Mercado])</f>
        <v>4.5724704287595008E-2</v>
      </c>
      <c r="N6" s="88">
        <v>0</v>
      </c>
      <c r="O6" s="43">
        <f>_xlfn.XLOOKUP($B6,tbl_Bonds[Coupon],tbl_Bonds[Implícita Simulada])</f>
        <v>4.5724704287595008E-2</v>
      </c>
      <c r="P6" s="20">
        <f t="shared" ref="P6:P69" ca="1" si="0">(I6-G6)*10000*E6</f>
        <v>0</v>
      </c>
      <c r="Q6" s="20">
        <f t="shared" ref="Q6:Q69" ca="1" si="1">(L6-J6)*10000*D6</f>
        <v>0</v>
      </c>
      <c r="R6" s="20">
        <f t="shared" ref="R6:R69" ca="1" si="2">(O6-M6)*10000*F6</f>
        <v>0</v>
      </c>
      <c r="U6" s="52" t="s">
        <v>108</v>
      </c>
      <c r="V6" s="20" cm="1">
        <f t="array" aca="1" ref="V6:Z6" ca="1">summary_exposures</f>
        <v>513.99160793369651</v>
      </c>
      <c r="W6" s="20">
        <f ca="1"/>
        <v>51399.160793369636</v>
      </c>
      <c r="X6" s="20">
        <f ca="1"/>
        <v>-354994.64969914948</v>
      </c>
      <c r="Y6" s="20">
        <f ca="1"/>
        <v>-335621.61411958688</v>
      </c>
      <c r="Z6" s="20">
        <f ca="1"/>
        <v>355408.95085360343</v>
      </c>
    </row>
    <row r="7" spans="2:26">
      <c r="B7" s="30">
        <v>45000</v>
      </c>
      <c r="C7" s="56">
        <f>NETWORKDAYS(val_date,B7,feriados)-1</f>
        <v>117</v>
      </c>
      <c r="D7" s="46">
        <f ca="1">SUMIF(tbl_Bonds[Coupon],$B7,INDIRECT("tbl_Bonds["&amp;D$4&amp;"]"))</f>
        <v>-1794.7666352902331</v>
      </c>
      <c r="E7" s="46">
        <f ca="1">SUMIF(tbl_Bonds[Coupon],$B7,INDIRECT("tbl_Bonds["&amp;E$4&amp;"]"))</f>
        <v>-1714.2623815582654</v>
      </c>
      <c r="F7" s="46">
        <f ca="1">SUMIF(tbl_Bonds[Coupon],$B7,INDIRECT("tbl_Bonds["&amp;F$4&amp;"]"))</f>
        <v>1863.3576280539673</v>
      </c>
      <c r="G7" s="43">
        <f>_xlfn.XLOOKUP(B7,tbl_Bonds[Coupon],tbl_Bonds[Pré Mercado])</f>
        <v>0.13794751957277054</v>
      </c>
      <c r="H7" s="88">
        <v>0</v>
      </c>
      <c r="I7" s="43">
        <f>_xlfn.XLOOKUP(B7,tbl_Bonds[Coupon],tbl_Bonds[Pré Simulada])</f>
        <v>0.13794751957277054</v>
      </c>
      <c r="J7" s="43">
        <f>_xlfn.XLOOKUP($B7,tbl_Bonds[Coupon],tbl_Bonds[Real Mercado])</f>
        <v>8.6926612886886856E-2</v>
      </c>
      <c r="K7" s="88">
        <v>0</v>
      </c>
      <c r="L7" s="43">
        <f>_xlfn.XLOOKUP($B7,tbl_Bonds[Coupon],tbl_Bonds[Real Simulada])</f>
        <v>8.6926612886886856E-2</v>
      </c>
      <c r="M7" s="43">
        <f>_xlfn.XLOOKUP($B7,tbl_Bonds[Coupon],tbl_Bonds[Implícita Mercado])</f>
        <v>4.6895451319471704E-2</v>
      </c>
      <c r="N7" s="88">
        <v>0</v>
      </c>
      <c r="O7" s="43">
        <f>_xlfn.XLOOKUP($B7,tbl_Bonds[Coupon],tbl_Bonds[Implícita Simulada])</f>
        <v>4.6895451319471704E-2</v>
      </c>
      <c r="P7" s="20">
        <f t="shared" ca="1" si="0"/>
        <v>0</v>
      </c>
      <c r="Q7" s="20">
        <f t="shared" ca="1" si="1"/>
        <v>0</v>
      </c>
      <c r="R7" s="20">
        <f t="shared" ca="1" si="2"/>
        <v>0</v>
      </c>
      <c r="U7" s="52" t="s">
        <v>109</v>
      </c>
      <c r="V7" s="89">
        <f ca="1">V6-V5</f>
        <v>-6.9361575905304562E-3</v>
      </c>
      <c r="W7" s="89">
        <f t="shared" ref="W7:Z7" ca="1" si="3">W6-W5</f>
        <v>-0.69361575906077633</v>
      </c>
      <c r="X7" s="89">
        <f t="shared" ca="1" si="3"/>
        <v>4.4050379479886033</v>
      </c>
      <c r="Y7" s="89">
        <f t="shared" ca="1" si="3"/>
        <v>0</v>
      </c>
      <c r="Z7" s="89">
        <f t="shared" ca="1" si="3"/>
        <v>0</v>
      </c>
    </row>
    <row r="8" spans="2:26">
      <c r="B8" s="30">
        <v>45061</v>
      </c>
      <c r="C8" s="56">
        <f>NETWORKDAYS(val_date,B8,feriados)-1</f>
        <v>157</v>
      </c>
      <c r="D8" s="46">
        <f ca="1">SUMIF(tbl_Bonds[Coupon],$B8,INDIRECT("tbl_Bonds["&amp;D$4&amp;"]"))</f>
        <v>-3566.8362694713301</v>
      </c>
      <c r="E8" s="46">
        <f ca="1">SUMIF(tbl_Bonds[Coupon],$B8,INDIRECT("tbl_Bonds["&amp;E$4&amp;"]"))</f>
        <v>-3400.7415809803347</v>
      </c>
      <c r="F8" s="46">
        <f ca="1">SUMIF(tbl_Bonds[Coupon],$B8,INDIRECT("tbl_Bonds["&amp;F$4&amp;"]"))</f>
        <v>3685.8755186424692</v>
      </c>
      <c r="G8" s="43">
        <f>_xlfn.XLOOKUP(B8,tbl_Bonds[Coupon],tbl_Bonds[Pré Mercado])</f>
        <v>0.1367085106174083</v>
      </c>
      <c r="H8" s="88">
        <v>0</v>
      </c>
      <c r="I8" s="43">
        <f>_xlfn.XLOOKUP(B8,tbl_Bonds[Coupon],tbl_Bonds[Pré Simulada])</f>
        <v>0.1367085106174083</v>
      </c>
      <c r="J8" s="43">
        <f>_xlfn.XLOOKUP($B8,tbl_Bonds[Coupon],tbl_Bonds[Real Mercado])</f>
        <v>8.3802406981866362E-2</v>
      </c>
      <c r="K8" s="88">
        <v>0</v>
      </c>
      <c r="L8" s="43">
        <f>_xlfn.XLOOKUP($B8,tbl_Bonds[Coupon],tbl_Bonds[Real Simulada])</f>
        <v>8.3802406981866362E-2</v>
      </c>
      <c r="M8" s="43">
        <f>_xlfn.XLOOKUP($B8,tbl_Bonds[Coupon],tbl_Bonds[Implícita Mercado])</f>
        <v>4.8774403248048603E-2</v>
      </c>
      <c r="N8" s="88">
        <v>0</v>
      </c>
      <c r="O8" s="43">
        <f>_xlfn.XLOOKUP($B8,tbl_Bonds[Coupon],tbl_Bonds[Implícita Simulada])</f>
        <v>4.8774403248048603E-2</v>
      </c>
      <c r="P8" s="20">
        <f t="shared" ca="1" si="0"/>
        <v>0</v>
      </c>
      <c r="Q8" s="20">
        <f t="shared" ca="1" si="1"/>
        <v>0</v>
      </c>
      <c r="R8" s="20">
        <f t="shared" ca="1" si="2"/>
        <v>0</v>
      </c>
    </row>
    <row r="9" spans="2:26">
      <c r="B9" s="30">
        <v>45153</v>
      </c>
      <c r="C9" s="56">
        <f>NETWORKDAYS(val_date,B9,feriados)-1</f>
        <v>222</v>
      </c>
      <c r="D9" s="46">
        <f ca="1">SUMIF(tbl_Bonds[Coupon],$B9,INDIRECT("tbl_Bonds["&amp;D$4&amp;"]"))</f>
        <v>-526.59122522609778</v>
      </c>
      <c r="E9" s="46">
        <f ca="1">SUMIF(tbl_Bonds[Coupon],$B9,INDIRECT("tbl_Bonds["&amp;E$4&amp;"]"))</f>
        <v>-501.29989682412656</v>
      </c>
      <c r="F9" s="46">
        <f ca="1">SUMIF(tbl_Bonds[Coupon],$B9,INDIRECT("tbl_Bonds["&amp;F$4&amp;"]"))</f>
        <v>541.06783610406865</v>
      </c>
      <c r="G9" s="43">
        <f>_xlfn.XLOOKUP(B9,tbl_Bonds[Coupon],tbl_Bonds[Pré Mercado])</f>
        <v>0.13372890379553737</v>
      </c>
      <c r="H9" s="88">
        <v>0</v>
      </c>
      <c r="I9" s="43">
        <f>_xlfn.XLOOKUP(B9,tbl_Bonds[Coupon],tbl_Bonds[Pré Simulada])</f>
        <v>0.13372890379553737</v>
      </c>
      <c r="J9" s="43">
        <f>_xlfn.XLOOKUP($B9,tbl_Bonds[Coupon],tbl_Bonds[Real Mercado])</f>
        <v>7.9302041272826251E-2</v>
      </c>
      <c r="K9" s="88">
        <v>0</v>
      </c>
      <c r="L9" s="43">
        <f>_xlfn.XLOOKUP($B9,tbl_Bonds[Coupon],tbl_Bonds[Real Simulada])</f>
        <v>7.9302041272826251E-2</v>
      </c>
      <c r="M9" s="43">
        <f>_xlfn.XLOOKUP($B9,tbl_Bonds[Coupon],tbl_Bonds[Implícita Mercado])</f>
        <v>5.0400974841755763E-2</v>
      </c>
      <c r="N9" s="88">
        <v>0</v>
      </c>
      <c r="O9" s="43">
        <f>_xlfn.XLOOKUP($B9,tbl_Bonds[Coupon],tbl_Bonds[Implícita Simulada])</f>
        <v>5.0400974841755763E-2</v>
      </c>
      <c r="P9" s="20">
        <f t="shared" ca="1" si="0"/>
        <v>0</v>
      </c>
      <c r="Q9" s="20">
        <f t="shared" ca="1" si="1"/>
        <v>0</v>
      </c>
      <c r="R9" s="20">
        <f t="shared" ca="1" si="2"/>
        <v>0</v>
      </c>
      <c r="V9" s="11"/>
      <c r="W9" s="74"/>
    </row>
    <row r="10" spans="2:26">
      <c r="B10" s="30">
        <v>45246</v>
      </c>
      <c r="C10" s="56">
        <f>NETWORKDAYS(val_date,B10,feriados)-1</f>
        <v>285</v>
      </c>
      <c r="D10" s="46">
        <f ca="1">SUMIF(tbl_Bonds[Coupon],$B10,INDIRECT("tbl_Bonds["&amp;D$4&amp;"]"))</f>
        <v>-483.25764955291697</v>
      </c>
      <c r="E10" s="46">
        <f ca="1">SUMIF(tbl_Bonds[Coupon],$B10,INDIRECT("tbl_Bonds["&amp;E$4&amp;"]"))</f>
        <v>-459.76947743718677</v>
      </c>
      <c r="F10" s="46">
        <f ca="1">SUMIF(tbl_Bonds[Coupon],$B10,INDIRECT("tbl_Bonds["&amp;F$4&amp;"]"))</f>
        <v>494.51541448004298</v>
      </c>
      <c r="G10" s="43">
        <f>_xlfn.XLOOKUP(B10,tbl_Bonds[Coupon],tbl_Bonds[Pré Mercado])</f>
        <v>0.13048300825828854</v>
      </c>
      <c r="H10" s="88">
        <v>0</v>
      </c>
      <c r="I10" s="43">
        <f>_xlfn.XLOOKUP(B10,tbl_Bonds[Coupon],tbl_Bonds[Pré Simulada])</f>
        <v>0.13048300825828854</v>
      </c>
      <c r="J10" s="43">
        <f>_xlfn.XLOOKUP($B10,tbl_Bonds[Coupon],tbl_Bonds[Real Mercado])</f>
        <v>7.5555946570935895E-2</v>
      </c>
      <c r="K10" s="88">
        <v>0</v>
      </c>
      <c r="L10" s="43">
        <f>_xlfn.XLOOKUP($B10,tbl_Bonds[Coupon],tbl_Bonds[Real Simulada])</f>
        <v>7.5555946570935895E-2</v>
      </c>
      <c r="M10" s="43">
        <f>_xlfn.XLOOKUP($B10,tbl_Bonds[Coupon],tbl_Bonds[Implícita Mercado])</f>
        <v>5.1052336771006734E-2</v>
      </c>
      <c r="N10" s="88">
        <v>0</v>
      </c>
      <c r="O10" s="43">
        <f>_xlfn.XLOOKUP($B10,tbl_Bonds[Coupon],tbl_Bonds[Implícita Simulada])</f>
        <v>5.1052336771006734E-2</v>
      </c>
      <c r="P10" s="20">
        <f t="shared" ca="1" si="0"/>
        <v>0</v>
      </c>
      <c r="Q10" s="20">
        <f t="shared" ca="1" si="1"/>
        <v>0</v>
      </c>
      <c r="R10" s="20">
        <f t="shared" ca="1" si="2"/>
        <v>0</v>
      </c>
      <c r="V10" s="11"/>
    </row>
    <row r="11" spans="2:26">
      <c r="B11" s="30">
        <v>45337</v>
      </c>
      <c r="C11" s="56">
        <f>NETWORKDAYS(val_date,B11,feriados)-1</f>
        <v>346</v>
      </c>
      <c r="D11" s="46">
        <f ca="1">SUMIF(tbl_Bonds[Coupon],$B11,INDIRECT("tbl_Bonds["&amp;D$4&amp;"]"))</f>
        <v>-802.53268116052118</v>
      </c>
      <c r="E11" s="46">
        <f ca="1">SUMIF(tbl_Bonds[Coupon],$B11,INDIRECT("tbl_Bonds["&amp;E$4&amp;"]"))</f>
        <v>-763.34996685611668</v>
      </c>
      <c r="F11" s="46">
        <f ca="1">SUMIF(tbl_Bonds[Coupon],$B11,INDIRECT("tbl_Bonds["&amp;F$4&amp;"]"))</f>
        <v>818.65310828203758</v>
      </c>
      <c r="G11" s="43">
        <f>_xlfn.XLOOKUP(B11,tbl_Bonds[Coupon],tbl_Bonds[Pré Mercado])</f>
        <v>0.12747368770436204</v>
      </c>
      <c r="H11" s="88">
        <v>0</v>
      </c>
      <c r="I11" s="43">
        <f>_xlfn.XLOOKUP(B11,tbl_Bonds[Coupon],tbl_Bonds[Pré Simulada])</f>
        <v>0.12747368770436204</v>
      </c>
      <c r="J11" s="43">
        <f>_xlfn.XLOOKUP($B11,tbl_Bonds[Coupon],tbl_Bonds[Real Mercado])</f>
        <v>7.2438747759168143E-2</v>
      </c>
      <c r="K11" s="88">
        <v>0</v>
      </c>
      <c r="L11" s="43">
        <f>_xlfn.XLOOKUP($B11,tbl_Bonds[Coupon],tbl_Bonds[Real Simulada])</f>
        <v>7.2438747759168143E-2</v>
      </c>
      <c r="M11" s="43">
        <f>_xlfn.XLOOKUP($B11,tbl_Bonds[Coupon],tbl_Bonds[Implícita Mercado])</f>
        <v>5.1308537686221012E-2</v>
      </c>
      <c r="N11" s="88">
        <v>0</v>
      </c>
      <c r="O11" s="43">
        <f>_xlfn.XLOOKUP($B11,tbl_Bonds[Coupon],tbl_Bonds[Implícita Simulada])</f>
        <v>5.1308537686221012E-2</v>
      </c>
      <c r="P11" s="20">
        <f t="shared" ca="1" si="0"/>
        <v>0</v>
      </c>
      <c r="Q11" s="20">
        <f t="shared" ca="1" si="1"/>
        <v>0</v>
      </c>
      <c r="R11" s="20">
        <f t="shared" ca="1" si="2"/>
        <v>0</v>
      </c>
    </row>
    <row r="12" spans="2:26">
      <c r="B12" s="30">
        <v>45427</v>
      </c>
      <c r="C12" s="56">
        <f>NETWORKDAYS(val_date,B12,feriados)-1</f>
        <v>408</v>
      </c>
      <c r="D12" s="46">
        <f ca="1">SUMIF(tbl_Bonds[Coupon],$B12,INDIRECT("tbl_Bonds["&amp;D$4&amp;"]"))</f>
        <v>-677.23606123651723</v>
      </c>
      <c r="E12" s="46">
        <f ca="1">SUMIF(tbl_Bonds[Coupon],$B12,INDIRECT("tbl_Bonds["&amp;E$4&amp;"]"))</f>
        <v>-644.08614935180685</v>
      </c>
      <c r="F12" s="46">
        <f ca="1">SUMIF(tbl_Bonds[Coupon],$B12,INDIRECT("tbl_Bonds["&amp;F$4&amp;"]"))</f>
        <v>688.99604982353196</v>
      </c>
      <c r="G12" s="43">
        <f>_xlfn.XLOOKUP(B12,tbl_Bonds[Coupon],tbl_Bonds[Pré Mercado])</f>
        <v>0.12477200252598092</v>
      </c>
      <c r="H12" s="88">
        <v>0</v>
      </c>
      <c r="I12" s="43">
        <f>_xlfn.XLOOKUP(B12,tbl_Bonds[Coupon],tbl_Bonds[Pré Simulada])</f>
        <v>0.12477200252598092</v>
      </c>
      <c r="J12" s="43">
        <f>_xlfn.XLOOKUP($B12,tbl_Bonds[Coupon],tbl_Bonds[Real Mercado])</f>
        <v>6.9722414488002649E-2</v>
      </c>
      <c r="K12" s="88">
        <v>0</v>
      </c>
      <c r="L12" s="43">
        <f>_xlfn.XLOOKUP($B12,tbl_Bonds[Coupon],tbl_Bonds[Real Simulada])</f>
        <v>6.9722414488002649E-2</v>
      </c>
      <c r="M12" s="43">
        <f>_xlfn.XLOOKUP($B12,tbl_Bonds[Coupon],tbl_Bonds[Implícita Mercado])</f>
        <v>5.145750573058927E-2</v>
      </c>
      <c r="N12" s="88">
        <v>0</v>
      </c>
      <c r="O12" s="43">
        <f>_xlfn.XLOOKUP($B12,tbl_Bonds[Coupon],tbl_Bonds[Implícita Simulada])</f>
        <v>5.145750573058927E-2</v>
      </c>
      <c r="P12" s="20">
        <f t="shared" ca="1" si="0"/>
        <v>0</v>
      </c>
      <c r="Q12" s="20">
        <f t="shared" ca="1" si="1"/>
        <v>0</v>
      </c>
      <c r="R12" s="20">
        <f t="shared" ca="1" si="2"/>
        <v>0</v>
      </c>
      <c r="T12" s="11"/>
    </row>
    <row r="13" spans="2:26">
      <c r="B13" s="30">
        <v>45519</v>
      </c>
      <c r="C13" s="56">
        <f>NETWORKDAYS(val_date,B13,feriados)-1</f>
        <v>473</v>
      </c>
      <c r="D13" s="46">
        <f ca="1">SUMIF(tbl_Bonds[Coupon],$B13,INDIRECT("tbl_Bonds["&amp;D$4&amp;"]"))</f>
        <v>-2138.1162308986736</v>
      </c>
      <c r="E13" s="46">
        <f ca="1">SUMIF(tbl_Bonds[Coupon],$B13,INDIRECT("tbl_Bonds["&amp;E$4&amp;"]"))</f>
        <v>-2033.1262962179078</v>
      </c>
      <c r="F13" s="46">
        <f ca="1">SUMIF(tbl_Bonds[Coupon],$B13,INDIRECT("tbl_Bonds["&amp;F$4&amp;"]"))</f>
        <v>2169.9615495234611</v>
      </c>
      <c r="G13" s="43">
        <f>_xlfn.XLOOKUP(B13,tbl_Bonds[Coupon],tbl_Bonds[Pré Mercado])</f>
        <v>0.12241457710811354</v>
      </c>
      <c r="H13" s="88">
        <v>0</v>
      </c>
      <c r="I13" s="43">
        <f>_xlfn.XLOOKUP(B13,tbl_Bonds[Coupon],tbl_Bonds[Pré Simulada])</f>
        <v>0.12241457710811354</v>
      </c>
      <c r="J13" s="43">
        <f>_xlfn.XLOOKUP($B13,tbl_Bonds[Coupon],tbl_Bonds[Real Mercado])</f>
        <v>6.730173834988129E-2</v>
      </c>
      <c r="K13" s="88">
        <v>0</v>
      </c>
      <c r="L13" s="43">
        <f>_xlfn.XLOOKUP($B13,tbl_Bonds[Coupon],tbl_Bonds[Real Simulada])</f>
        <v>6.730173834988129E-2</v>
      </c>
      <c r="M13" s="43">
        <f>_xlfn.XLOOKUP($B13,tbl_Bonds[Coupon],tbl_Bonds[Implícita Mercado])</f>
        <v>5.1636418386285854E-2</v>
      </c>
      <c r="N13" s="88">
        <v>0</v>
      </c>
      <c r="O13" s="43">
        <f>_xlfn.XLOOKUP($B13,tbl_Bonds[Coupon],tbl_Bonds[Implícita Simulada])</f>
        <v>5.1636418386285854E-2</v>
      </c>
      <c r="P13" s="20">
        <f t="shared" ca="1" si="0"/>
        <v>0</v>
      </c>
      <c r="Q13" s="20">
        <f t="shared" ca="1" si="1"/>
        <v>0</v>
      </c>
      <c r="R13" s="20">
        <f t="shared" ca="1" si="2"/>
        <v>0</v>
      </c>
    </row>
    <row r="14" spans="2:26">
      <c r="B14" s="30">
        <v>45614</v>
      </c>
      <c r="C14" s="56">
        <f>NETWORKDAYS(val_date,B14,feriados)-1</f>
        <v>539</v>
      </c>
      <c r="D14" s="46">
        <f ca="1">SUMIF(tbl_Bonds[Coupon],$B14,INDIRECT("tbl_Bonds["&amp;D$4&amp;"]"))</f>
        <v>-875.3581454022069</v>
      </c>
      <c r="E14" s="46">
        <f ca="1">SUMIF(tbl_Bonds[Coupon],$B14,INDIRECT("tbl_Bonds["&amp;E$4&amp;"]"))</f>
        <v>-832.16777999559474</v>
      </c>
      <c r="F14" s="46">
        <f ca="1">SUMIF(tbl_Bonds[Coupon],$B14,INDIRECT("tbl_Bonds["&amp;F$4&amp;"]"))</f>
        <v>886.45197595419108</v>
      </c>
      <c r="G14" s="43">
        <f>_xlfn.XLOOKUP(B14,tbl_Bonds[Coupon],tbl_Bonds[Pré Mercado])</f>
        <v>0.1205205679154658</v>
      </c>
      <c r="H14" s="88">
        <v>0</v>
      </c>
      <c r="I14" s="43">
        <f>_xlfn.XLOOKUP(B14,tbl_Bonds[Coupon],tbl_Bonds[Pré Simulada])</f>
        <v>0.1205205679154658</v>
      </c>
      <c r="J14" s="43">
        <f>_xlfn.XLOOKUP($B14,tbl_Bonds[Coupon],tbl_Bonds[Real Mercado])</f>
        <v>6.5232770467420487E-2</v>
      </c>
      <c r="K14" s="88">
        <v>0</v>
      </c>
      <c r="L14" s="43">
        <f>_xlfn.XLOOKUP($B14,tbl_Bonds[Coupon],tbl_Bonds[Real Simulada])</f>
        <v>6.5232770467420487E-2</v>
      </c>
      <c r="M14" s="43">
        <f>_xlfn.XLOOKUP($B14,tbl_Bonds[Coupon],tbl_Bonds[Implícita Mercado])</f>
        <v>5.1902571978476253E-2</v>
      </c>
      <c r="N14" s="88">
        <v>0</v>
      </c>
      <c r="O14" s="43">
        <f>_xlfn.XLOOKUP($B14,tbl_Bonds[Coupon],tbl_Bonds[Implícita Simulada])</f>
        <v>5.1902571978476253E-2</v>
      </c>
      <c r="P14" s="20">
        <f t="shared" ca="1" si="0"/>
        <v>0</v>
      </c>
      <c r="Q14" s="20">
        <f t="shared" ca="1" si="1"/>
        <v>0</v>
      </c>
      <c r="R14" s="20">
        <f t="shared" ca="1" si="2"/>
        <v>0</v>
      </c>
    </row>
    <row r="15" spans="2:26">
      <c r="B15" s="30">
        <v>45705</v>
      </c>
      <c r="C15" s="56">
        <f>NETWORKDAYS(val_date,B15,feriados)-1</f>
        <v>602</v>
      </c>
      <c r="D15" s="46">
        <f ca="1">SUMIF(tbl_Bonds[Coupon],$B15,INDIRECT("tbl_Bonds["&amp;D$4&amp;"]"))</f>
        <v>-1298.465173291449</v>
      </c>
      <c r="E15" s="46">
        <f ca="1">SUMIF(tbl_Bonds[Coupon],$B15,INDIRECT("tbl_Bonds["&amp;E$4&amp;"]"))</f>
        <v>-1233.9991195138359</v>
      </c>
      <c r="F15" s="46">
        <f ca="1">SUMIF(tbl_Bonds[Coupon],$B15,INDIRECT("tbl_Bonds["&amp;F$4&amp;"]"))</f>
        <v>1312.4475253202095</v>
      </c>
      <c r="G15" s="43">
        <f>_xlfn.XLOOKUP(B15,tbl_Bonds[Coupon],tbl_Bonds[Pré Mercado])</f>
        <v>0.11913959507080539</v>
      </c>
      <c r="H15" s="88">
        <v>0</v>
      </c>
      <c r="I15" s="43">
        <f>_xlfn.XLOOKUP(B15,tbl_Bonds[Coupon],tbl_Bonds[Pré Simulada])</f>
        <v>0.11913959507080539</v>
      </c>
      <c r="J15" s="43">
        <f>_xlfn.XLOOKUP($B15,tbl_Bonds[Coupon],tbl_Bonds[Real Mercado])</f>
        <v>6.3573730880697621E-2</v>
      </c>
      <c r="K15" s="88">
        <v>0</v>
      </c>
      <c r="L15" s="43">
        <f>_xlfn.XLOOKUP($B15,tbl_Bonds[Coupon],tbl_Bonds[Real Simulada])</f>
        <v>6.3573730880697621E-2</v>
      </c>
      <c r="M15" s="43">
        <f>_xlfn.XLOOKUP($B15,tbl_Bonds[Coupon],tbl_Bonds[Implícita Mercado])</f>
        <v>5.2245707571055622E-2</v>
      </c>
      <c r="N15" s="88">
        <v>0</v>
      </c>
      <c r="O15" s="43">
        <f>_xlfn.XLOOKUP($B15,tbl_Bonds[Coupon],tbl_Bonds[Implícita Simulada])</f>
        <v>5.2245707571055622E-2</v>
      </c>
      <c r="P15" s="20">
        <f t="shared" ca="1" si="0"/>
        <v>0</v>
      </c>
      <c r="Q15" s="20">
        <f t="shared" ca="1" si="1"/>
        <v>0</v>
      </c>
      <c r="R15" s="20">
        <f t="shared" ca="1" si="2"/>
        <v>0</v>
      </c>
    </row>
    <row r="16" spans="2:26">
      <c r="B16" s="30">
        <v>45792</v>
      </c>
      <c r="C16" s="56">
        <f>NETWORKDAYS(val_date,B16,feriados)-1</f>
        <v>660</v>
      </c>
      <c r="D16" s="46">
        <f ca="1">SUMIF(tbl_Bonds[Coupon],$B16,INDIRECT("tbl_Bonds["&amp;D$4&amp;"]"))</f>
        <v>-5342.4327032549008</v>
      </c>
      <c r="E16" s="46">
        <f ca="1">SUMIF(tbl_Bonds[Coupon],$B16,INDIRECT("tbl_Bonds["&amp;E$4&amp;"]"))</f>
        <v>-5075.3640980768823</v>
      </c>
      <c r="F16" s="46">
        <f ca="1">SUMIF(tbl_Bonds[Coupon],$B16,INDIRECT("tbl_Bonds["&amp;F$4&amp;"]"))</f>
        <v>5391.4656660433038</v>
      </c>
      <c r="G16" s="43">
        <f>_xlfn.XLOOKUP(B16,tbl_Bonds[Coupon],tbl_Bonds[Pré Mercado])</f>
        <v>0.11818582291207119</v>
      </c>
      <c r="H16" s="88">
        <v>0</v>
      </c>
      <c r="I16" s="43">
        <f>_xlfn.XLOOKUP(B16,tbl_Bonds[Coupon],tbl_Bonds[Pré Simulada])</f>
        <v>0.11818582291207119</v>
      </c>
      <c r="J16" s="43">
        <f>_xlfn.XLOOKUP($B16,tbl_Bonds[Coupon],tbl_Bonds[Real Mercado])</f>
        <v>6.2283233879442124E-2</v>
      </c>
      <c r="K16" s="88">
        <v>0</v>
      </c>
      <c r="L16" s="43">
        <f>_xlfn.XLOOKUP($B16,tbl_Bonds[Coupon],tbl_Bonds[Real Simulada])</f>
        <v>6.2283233879442124E-2</v>
      </c>
      <c r="M16" s="43">
        <f>_xlfn.XLOOKUP($B16,tbl_Bonds[Coupon],tbl_Bonds[Implícita Mercado])</f>
        <v>5.2626601395276529E-2</v>
      </c>
      <c r="N16" s="88">
        <v>0</v>
      </c>
      <c r="O16" s="43">
        <f>_xlfn.XLOOKUP($B16,tbl_Bonds[Coupon],tbl_Bonds[Implícita Simulada])</f>
        <v>5.2626601395276529E-2</v>
      </c>
      <c r="P16" s="20">
        <f t="shared" ca="1" si="0"/>
        <v>0</v>
      </c>
      <c r="Q16" s="20">
        <f t="shared" ca="1" si="1"/>
        <v>0</v>
      </c>
      <c r="R16" s="20">
        <f t="shared" ca="1" si="2"/>
        <v>0</v>
      </c>
    </row>
    <row r="17" spans="2:18">
      <c r="B17" s="30">
        <v>45884</v>
      </c>
      <c r="C17" s="56">
        <f>NETWORKDAYS(val_date,B17,feriados)-1</f>
        <v>725</v>
      </c>
      <c r="D17" s="46">
        <f ca="1">SUMIF(tbl_Bonds[Coupon],$B17,INDIRECT("tbl_Bonds["&amp;D$4&amp;"]"))</f>
        <v>-1531.3474927438087</v>
      </c>
      <c r="E17" s="46">
        <f ca="1">SUMIF(tbl_Bonds[Coupon],$B17,INDIRECT("tbl_Bonds["&amp;E$4&amp;"]"))</f>
        <v>-1454.1354212214078</v>
      </c>
      <c r="F17" s="46">
        <f ca="1">SUMIF(tbl_Bonds[Coupon],$B17,INDIRECT("tbl_Bonds["&amp;F$4&amp;"]"))</f>
        <v>1542.9381127694226</v>
      </c>
      <c r="G17" s="43">
        <f>_xlfn.XLOOKUP(B17,tbl_Bonds[Coupon],tbl_Bonds[Pré Mercado])</f>
        <v>0.11741710508794967</v>
      </c>
      <c r="H17" s="88">
        <v>0</v>
      </c>
      <c r="I17" s="43">
        <f>_xlfn.XLOOKUP(B17,tbl_Bonds[Coupon],tbl_Bonds[Pré Simulada])</f>
        <v>0.11741710508794967</v>
      </c>
      <c r="J17" s="43">
        <f>_xlfn.XLOOKUP($B17,tbl_Bonds[Coupon],tbl_Bonds[Real Mercado])</f>
        <v>6.1070807198248644E-2</v>
      </c>
      <c r="K17" s="88">
        <v>0</v>
      </c>
      <c r="L17" s="43">
        <f>_xlfn.XLOOKUP($B17,tbl_Bonds[Coupon],tbl_Bonds[Real Simulada])</f>
        <v>6.1070807198248644E-2</v>
      </c>
      <c r="M17" s="43">
        <f>_xlfn.XLOOKUP($B17,tbl_Bonds[Coupon],tbl_Bonds[Implícita Mercado])</f>
        <v>5.3104968591759505E-2</v>
      </c>
      <c r="N17" s="88">
        <v>0</v>
      </c>
      <c r="O17" s="43">
        <f>_xlfn.XLOOKUP($B17,tbl_Bonds[Coupon],tbl_Bonds[Implícita Simulada])</f>
        <v>5.3104968591759505E-2</v>
      </c>
      <c r="P17" s="20">
        <f t="shared" ca="1" si="0"/>
        <v>0</v>
      </c>
      <c r="Q17" s="20">
        <f t="shared" ca="1" si="1"/>
        <v>0</v>
      </c>
      <c r="R17" s="20">
        <f t="shared" ca="1" si="2"/>
        <v>0</v>
      </c>
    </row>
    <row r="18" spans="2:18">
      <c r="B18" s="30">
        <v>45978</v>
      </c>
      <c r="C18" s="56">
        <f>NETWORKDAYS(val_date,B18,feriados)-1</f>
        <v>791</v>
      </c>
      <c r="D18" s="46">
        <f ca="1">SUMIF(tbl_Bonds[Coupon],$B18,INDIRECT("tbl_Bonds["&amp;D$4&amp;"]"))</f>
        <v>-1081.7898200006216</v>
      </c>
      <c r="E18" s="46">
        <f ca="1">SUMIF(tbl_Bonds[Coupon],$B18,INDIRECT("tbl_Bonds["&amp;E$4&amp;"]"))</f>
        <v>-1026.8899197098672</v>
      </c>
      <c r="F18" s="46">
        <f ca="1">SUMIF(tbl_Bonds[Coupon],$B18,INDIRECT("tbl_Bonds["&amp;F$4&amp;"]"))</f>
        <v>1088.529409719288</v>
      </c>
      <c r="G18" s="43">
        <f>_xlfn.XLOOKUP(B18,tbl_Bonds[Coupon],tbl_Bonds[Pré Mercado])</f>
        <v>0.11689729255746713</v>
      </c>
      <c r="H18" s="88">
        <v>0</v>
      </c>
      <c r="I18" s="43">
        <f>_xlfn.XLOOKUP(B18,tbl_Bonds[Coupon],tbl_Bonds[Pré Simulada])</f>
        <v>0.11689729255746713</v>
      </c>
      <c r="J18" s="43">
        <f>_xlfn.XLOOKUP($B18,tbl_Bonds[Coupon],tbl_Bonds[Real Mercado])</f>
        <v>6.0071388550429816E-2</v>
      </c>
      <c r="K18" s="88">
        <v>0</v>
      </c>
      <c r="L18" s="43">
        <f>_xlfn.XLOOKUP($B18,tbl_Bonds[Coupon],tbl_Bonds[Real Simulada])</f>
        <v>6.0071388550429816E-2</v>
      </c>
      <c r="M18" s="43">
        <f>_xlfn.XLOOKUP($B18,tbl_Bonds[Coupon],tbl_Bonds[Implícita Mercado])</f>
        <v>5.3651431773697356E-2</v>
      </c>
      <c r="N18" s="88">
        <v>0</v>
      </c>
      <c r="O18" s="43">
        <f>_xlfn.XLOOKUP($B18,tbl_Bonds[Coupon],tbl_Bonds[Implícita Simulada])</f>
        <v>5.3651431773697356E-2</v>
      </c>
      <c r="P18" s="20">
        <f t="shared" ca="1" si="0"/>
        <v>0</v>
      </c>
      <c r="Q18" s="20">
        <f t="shared" ca="1" si="1"/>
        <v>0</v>
      </c>
      <c r="R18" s="20">
        <f t="shared" ca="1" si="2"/>
        <v>0</v>
      </c>
    </row>
    <row r="19" spans="2:18">
      <c r="B19" s="30">
        <v>46071</v>
      </c>
      <c r="C19" s="56">
        <f>NETWORKDAYS(val_date,B19,feriados)-1</f>
        <v>854</v>
      </c>
      <c r="D19" s="46">
        <f ca="1">SUMIF(tbl_Bonds[Coupon],$B19,INDIRECT("tbl_Bonds["&amp;D$4&amp;"]"))</f>
        <v>-1762.9399287153144</v>
      </c>
      <c r="E19" s="46">
        <f ca="1">SUMIF(tbl_Bonds[Coupon],$B19,INDIRECT("tbl_Bonds["&amp;E$4&amp;"]"))</f>
        <v>-1672.6430915281785</v>
      </c>
      <c r="F19" s="46">
        <f ca="1">SUMIF(tbl_Bonds[Coupon],$B19,INDIRECT("tbl_Bonds["&amp;F$4&amp;"]"))</f>
        <v>1771.7343662650724</v>
      </c>
      <c r="G19" s="43">
        <f>_xlfn.XLOOKUP(B19,tbl_Bonds[Coupon],tbl_Bonds[Pré Mercado])</f>
        <v>0.11659182503244317</v>
      </c>
      <c r="H19" s="88">
        <v>0</v>
      </c>
      <c r="I19" s="43">
        <f>_xlfn.XLOOKUP(B19,tbl_Bonds[Coupon],tbl_Bonds[Pré Simulada])</f>
        <v>0.11659182503244317</v>
      </c>
      <c r="J19" s="43">
        <f>_xlfn.XLOOKUP($B19,tbl_Bonds[Coupon],tbl_Bonds[Real Mercado])</f>
        <v>5.927838770503624E-2</v>
      </c>
      <c r="K19" s="88">
        <v>0</v>
      </c>
      <c r="L19" s="43">
        <f>_xlfn.XLOOKUP($B19,tbl_Bonds[Coupon],tbl_Bonds[Real Simulada])</f>
        <v>5.927838770503624E-2</v>
      </c>
      <c r="M19" s="43">
        <f>_xlfn.XLOOKUP($B19,tbl_Bonds[Coupon],tbl_Bonds[Implícita Mercado])</f>
        <v>5.4141996542348858E-2</v>
      </c>
      <c r="N19" s="88">
        <v>0</v>
      </c>
      <c r="O19" s="43">
        <f>_xlfn.XLOOKUP($B19,tbl_Bonds[Coupon],tbl_Bonds[Implícita Simulada])</f>
        <v>5.4141996542348858E-2</v>
      </c>
      <c r="P19" s="20">
        <f t="shared" ca="1" si="0"/>
        <v>0</v>
      </c>
      <c r="Q19" s="20">
        <f t="shared" ca="1" si="1"/>
        <v>0</v>
      </c>
      <c r="R19" s="20">
        <f t="shared" ca="1" si="2"/>
        <v>0</v>
      </c>
    </row>
    <row r="20" spans="2:18">
      <c r="B20" s="30">
        <v>46157</v>
      </c>
      <c r="C20" s="56">
        <f>NETWORKDAYS(val_date,B20,feriados)-1</f>
        <v>913</v>
      </c>
      <c r="D20" s="46">
        <f ca="1">SUMIF(tbl_Bonds[Coupon],$B20,INDIRECT("tbl_Bonds["&amp;D$4&amp;"]"))</f>
        <v>-1221.285749144932</v>
      </c>
      <c r="E20" s="46">
        <f ca="1">SUMIF(tbl_Bonds[Coupon],$B20,INDIRECT("tbl_Bonds["&amp;E$4&amp;"]"))</f>
        <v>-1158.2254810943111</v>
      </c>
      <c r="F20" s="46">
        <f ca="1">SUMIF(tbl_Bonds[Coupon],$B20,INDIRECT("tbl_Bonds["&amp;F$4&amp;"]"))</f>
        <v>1226.1486986879179</v>
      </c>
      <c r="G20" s="43">
        <f>_xlfn.XLOOKUP(B20,tbl_Bonds[Coupon],tbl_Bonds[Pré Mercado])</f>
        <v>0.11643527123250733</v>
      </c>
      <c r="H20" s="88">
        <v>0</v>
      </c>
      <c r="I20" s="43">
        <f>_xlfn.XLOOKUP(B20,tbl_Bonds[Coupon],tbl_Bonds[Pré Simulada])</f>
        <v>0.11643527123250733</v>
      </c>
      <c r="J20" s="43">
        <f>_xlfn.XLOOKUP($B20,tbl_Bonds[Coupon],tbl_Bonds[Real Mercado])</f>
        <v>5.8675502773394728E-2</v>
      </c>
      <c r="K20" s="88">
        <v>0</v>
      </c>
      <c r="L20" s="43">
        <f>_xlfn.XLOOKUP($B20,tbl_Bonds[Coupon],tbl_Bonds[Real Simulada])</f>
        <v>5.8675502773394728E-2</v>
      </c>
      <c r="M20" s="43">
        <f>_xlfn.XLOOKUP($B20,tbl_Bonds[Coupon],tbl_Bonds[Implícita Mercado])</f>
        <v>5.4589692520684352E-2</v>
      </c>
      <c r="N20" s="88">
        <v>0</v>
      </c>
      <c r="O20" s="43">
        <f>_xlfn.XLOOKUP($B20,tbl_Bonds[Coupon],tbl_Bonds[Implícita Simulada])</f>
        <v>5.4589692520684352E-2</v>
      </c>
      <c r="P20" s="20">
        <f t="shared" ca="1" si="0"/>
        <v>0</v>
      </c>
      <c r="Q20" s="20">
        <f t="shared" ca="1" si="1"/>
        <v>0</v>
      </c>
      <c r="R20" s="20">
        <f t="shared" ca="1" si="2"/>
        <v>0</v>
      </c>
    </row>
    <row r="21" spans="2:18">
      <c r="B21" s="30">
        <v>46251</v>
      </c>
      <c r="C21" s="56">
        <f>NETWORKDAYS(val_date,B21,feriados)-1</f>
        <v>978</v>
      </c>
      <c r="D21" s="46">
        <f ca="1">SUMIF(tbl_Bonds[Coupon],$B21,INDIRECT("tbl_Bonds["&amp;D$4&amp;"]"))</f>
        <v>-12438.391982283869</v>
      </c>
      <c r="E21" s="46">
        <f ca="1">SUMIF(tbl_Bonds[Coupon],$B21,INDIRECT("tbl_Bonds["&amp;E$4&amp;"]"))</f>
        <v>-11790.691302774409</v>
      </c>
      <c r="F21" s="46">
        <f ca="1">SUMIF(tbl_Bonds[Coupon],$B21,INDIRECT("tbl_Bonds["&amp;F$4&amp;"]"))</f>
        <v>12475.797326058117</v>
      </c>
      <c r="G21" s="43">
        <f>_xlfn.XLOOKUP(B21,tbl_Bonds[Coupon],tbl_Bonds[Pré Mercado])</f>
        <v>0.11637191467183143</v>
      </c>
      <c r="H21" s="88">
        <v>0</v>
      </c>
      <c r="I21" s="43">
        <f>_xlfn.XLOOKUP(B21,tbl_Bonds[Coupon],tbl_Bonds[Pré Simulada])</f>
        <v>0.11637191467183143</v>
      </c>
      <c r="J21" s="43">
        <f>_xlfn.XLOOKUP($B21,tbl_Bonds[Coupon],tbl_Bonds[Real Mercado])</f>
        <v>5.8133069907817969E-2</v>
      </c>
      <c r="K21" s="88">
        <v>0</v>
      </c>
      <c r="L21" s="43">
        <f>_xlfn.XLOOKUP($B21,tbl_Bonds[Coupon],tbl_Bonds[Real Simulada])</f>
        <v>5.8133069907817969E-2</v>
      </c>
      <c r="M21" s="43">
        <f>_xlfn.XLOOKUP($B21,tbl_Bonds[Coupon],tbl_Bonds[Implícita Mercado])</f>
        <v>5.5066564562549658E-2</v>
      </c>
      <c r="N21" s="88">
        <v>0</v>
      </c>
      <c r="O21" s="43">
        <f>_xlfn.XLOOKUP($B21,tbl_Bonds[Coupon],tbl_Bonds[Implícita Simulada])</f>
        <v>5.5066564562549658E-2</v>
      </c>
      <c r="P21" s="20">
        <f t="shared" ca="1" si="0"/>
        <v>0</v>
      </c>
      <c r="Q21" s="20">
        <f t="shared" ca="1" si="1"/>
        <v>0</v>
      </c>
      <c r="R21" s="20">
        <f t="shared" ca="1" si="2"/>
        <v>0</v>
      </c>
    </row>
    <row r="22" spans="2:18">
      <c r="B22" s="30">
        <v>46342</v>
      </c>
      <c r="C22" s="56">
        <f>NETWORKDAYS(val_date,B22,feriados)-1</f>
        <v>1040</v>
      </c>
      <c r="D22" s="46">
        <f ca="1">SUMIF(tbl_Bonds[Coupon],$B22,INDIRECT("tbl_Bonds["&amp;D$4&amp;"]"))</f>
        <v>-1358.0024721579944</v>
      </c>
      <c r="E22" s="46">
        <f ca="1">SUMIF(tbl_Bonds[Coupon],$B22,INDIRECT("tbl_Bonds["&amp;E$4&amp;"]"))</f>
        <v>-1286.7473365088058</v>
      </c>
      <c r="F22" s="46">
        <f ca="1">SUMIF(tbl_Bonds[Coupon],$B22,INDIRECT("tbl_Bonds["&amp;F$4&amp;"]"))</f>
        <v>1360.9972477530982</v>
      </c>
      <c r="G22" s="43">
        <f>_xlfn.XLOOKUP(B22,tbl_Bonds[Coupon],tbl_Bonds[Pré Mercado])</f>
        <v>0.11639008955215797</v>
      </c>
      <c r="H22" s="88">
        <v>0</v>
      </c>
      <c r="I22" s="43">
        <f>_xlfn.XLOOKUP(B22,tbl_Bonds[Coupon],tbl_Bonds[Pré Simulada])</f>
        <v>0.11639008955215797</v>
      </c>
      <c r="J22" s="43">
        <f>_xlfn.XLOOKUP($B22,tbl_Bonds[Coupon],tbl_Bonds[Real Mercado])</f>
        <v>5.7724810900317891E-2</v>
      </c>
      <c r="K22" s="88">
        <v>0</v>
      </c>
      <c r="L22" s="43">
        <f>_xlfn.XLOOKUP($B22,tbl_Bonds[Coupon],tbl_Bonds[Real Simulada])</f>
        <v>5.7724810900317891E-2</v>
      </c>
      <c r="M22" s="43">
        <f>_xlfn.XLOOKUP($B22,tbl_Bonds[Coupon],tbl_Bonds[Implícita Mercado])</f>
        <v>5.5484848781022444E-2</v>
      </c>
      <c r="N22" s="88">
        <v>0</v>
      </c>
      <c r="O22" s="43">
        <f>_xlfn.XLOOKUP($B22,tbl_Bonds[Coupon],tbl_Bonds[Implícita Simulada])</f>
        <v>5.5484848781022444E-2</v>
      </c>
      <c r="P22" s="20">
        <f t="shared" ca="1" si="0"/>
        <v>0</v>
      </c>
      <c r="Q22" s="20">
        <f t="shared" ca="1" si="1"/>
        <v>0</v>
      </c>
      <c r="R22" s="20">
        <f t="shared" ca="1" si="2"/>
        <v>0</v>
      </c>
    </row>
    <row r="23" spans="2:18">
      <c r="B23" s="30">
        <v>46433</v>
      </c>
      <c r="C23" s="56">
        <f>NETWORKDAYS(val_date,B23,feriados)-1</f>
        <v>1101</v>
      </c>
      <c r="D23" s="46">
        <f ca="1">SUMIF(tbl_Bonds[Coupon],$B23,INDIRECT("tbl_Bonds["&amp;D$4&amp;"]"))</f>
        <v>-1828.4956829747912</v>
      </c>
      <c r="E23" s="46">
        <f ca="1">SUMIF(tbl_Bonds[Coupon],$B23,INDIRECT("tbl_Bonds["&amp;E$4&amp;"]"))</f>
        <v>-1731.9190849681304</v>
      </c>
      <c r="F23" s="46">
        <f ca="1">SUMIF(tbl_Bonds[Coupon],$B23,INDIRECT("tbl_Bonds["&amp;F$4&amp;"]"))</f>
        <v>1831.3114119493803</v>
      </c>
      <c r="G23" s="43">
        <f>_xlfn.XLOOKUP(B23,tbl_Bonds[Coupon],tbl_Bonds[Pré Mercado])</f>
        <v>0.11646160743294708</v>
      </c>
      <c r="H23" s="88">
        <v>0</v>
      </c>
      <c r="I23" s="43">
        <f>_xlfn.XLOOKUP(B23,tbl_Bonds[Coupon],tbl_Bonds[Pré Simulada])</f>
        <v>0.11646160743294708</v>
      </c>
      <c r="J23" s="43">
        <f>_xlfn.XLOOKUP($B23,tbl_Bonds[Coupon],tbl_Bonds[Real Mercado])</f>
        <v>5.7407981869316727E-2</v>
      </c>
      <c r="K23" s="88">
        <v>0</v>
      </c>
      <c r="L23" s="43">
        <f>_xlfn.XLOOKUP($B23,tbl_Bonds[Coupon],tbl_Bonds[Real Simulada])</f>
        <v>5.7407981869316727E-2</v>
      </c>
      <c r="M23" s="43">
        <f>_xlfn.XLOOKUP($B23,tbl_Bonds[Coupon],tbl_Bonds[Implícita Mercado])</f>
        <v>5.5866933897950277E-2</v>
      </c>
      <c r="N23" s="88">
        <v>0</v>
      </c>
      <c r="O23" s="43">
        <f>_xlfn.XLOOKUP($B23,tbl_Bonds[Coupon],tbl_Bonds[Implícita Simulada])</f>
        <v>5.5866933897950277E-2</v>
      </c>
      <c r="P23" s="20">
        <f t="shared" ca="1" si="0"/>
        <v>0</v>
      </c>
      <c r="Q23" s="20">
        <f t="shared" ca="1" si="1"/>
        <v>0</v>
      </c>
      <c r="R23" s="20">
        <f t="shared" ca="1" si="2"/>
        <v>0</v>
      </c>
    </row>
    <row r="24" spans="2:18">
      <c r="B24" s="30">
        <v>46524</v>
      </c>
      <c r="C24" s="56">
        <f>NETWORKDAYS(val_date,B24,feriados)-1</f>
        <v>1164</v>
      </c>
      <c r="D24" s="46">
        <f ca="1">SUMIF(tbl_Bonds[Coupon],$B24,INDIRECT("tbl_Bonds["&amp;D$4&amp;"]"))</f>
        <v>-19573.726665146765</v>
      </c>
      <c r="E24" s="46">
        <f ca="1">SUMIF(tbl_Bonds[Coupon],$B24,INDIRECT("tbl_Bonds["&amp;E$4&amp;"]"))</f>
        <v>-18533.152577868652</v>
      </c>
      <c r="F24" s="46">
        <f ca="1">SUMIF(tbl_Bonds[Coupon],$B24,INDIRECT("tbl_Bonds["&amp;F$4&amp;"]"))</f>
        <v>19592.191772394501</v>
      </c>
      <c r="G24" s="43">
        <f>_xlfn.XLOOKUP(B24,tbl_Bonds[Coupon],tbl_Bonds[Pré Mercado])</f>
        <v>0.11657438368857059</v>
      </c>
      <c r="H24" s="88">
        <v>0</v>
      </c>
      <c r="I24" s="43">
        <f>_xlfn.XLOOKUP(B24,tbl_Bonds[Coupon],tbl_Bonds[Pré Simulada])</f>
        <v>0.11657438368857059</v>
      </c>
      <c r="J24" s="43">
        <f>_xlfn.XLOOKUP($B24,tbl_Bonds[Coupon],tbl_Bonds[Real Mercado])</f>
        <v>5.715583461245699E-2</v>
      </c>
      <c r="K24" s="88">
        <v>0</v>
      </c>
      <c r="L24" s="43">
        <f>_xlfn.XLOOKUP($B24,tbl_Bonds[Coupon],tbl_Bonds[Real Simulada])</f>
        <v>5.715583461245699E-2</v>
      </c>
      <c r="M24" s="43">
        <f>_xlfn.XLOOKUP($B24,tbl_Bonds[Coupon],tbl_Bonds[Implícita Mercado])</f>
        <v>5.6218908932760714E-2</v>
      </c>
      <c r="N24" s="88">
        <v>0</v>
      </c>
      <c r="O24" s="43">
        <f>_xlfn.XLOOKUP($B24,tbl_Bonds[Coupon],tbl_Bonds[Implícita Simulada])</f>
        <v>5.6218908932760714E-2</v>
      </c>
      <c r="P24" s="20">
        <f t="shared" ca="1" si="0"/>
        <v>0</v>
      </c>
      <c r="Q24" s="20">
        <f t="shared" ca="1" si="1"/>
        <v>0</v>
      </c>
      <c r="R24" s="20">
        <f t="shared" ca="1" si="2"/>
        <v>0</v>
      </c>
    </row>
    <row r="25" spans="2:18">
      <c r="B25" s="30">
        <v>46615</v>
      </c>
      <c r="C25" s="56">
        <f>NETWORKDAYS(val_date,B25,feriados)-1</f>
        <v>1228</v>
      </c>
      <c r="D25" s="46">
        <f ca="1">SUMIF(tbl_Bonds[Coupon],$B25,INDIRECT("tbl_Bonds["&amp;D$4&amp;"]"))</f>
        <v>-1987.6836513780108</v>
      </c>
      <c r="E25" s="46">
        <f ca="1">SUMIF(tbl_Bonds[Coupon],$B25,INDIRECT("tbl_Bonds["&amp;E$4&amp;"]"))</f>
        <v>-1881.4412383756764</v>
      </c>
      <c r="F25" s="46">
        <f ca="1">SUMIF(tbl_Bonds[Coupon],$B25,INDIRECT("tbl_Bonds["&amp;F$4&amp;"]"))</f>
        <v>1988.6020484577002</v>
      </c>
      <c r="G25" s="43">
        <f>_xlfn.XLOOKUP(B25,tbl_Bonds[Coupon],tbl_Bonds[Pré Mercado])</f>
        <v>0.11671586421546679</v>
      </c>
      <c r="H25" s="88">
        <v>0</v>
      </c>
      <c r="I25" s="43">
        <f>_xlfn.XLOOKUP(B25,tbl_Bonds[Coupon],tbl_Bonds[Pré Simulada])</f>
        <v>0.11671586421546679</v>
      </c>
      <c r="J25" s="43">
        <f>_xlfn.XLOOKUP($B25,tbl_Bonds[Coupon],tbl_Bonds[Real Mercado])</f>
        <v>5.6968724466762044E-2</v>
      </c>
      <c r="K25" s="88">
        <v>0</v>
      </c>
      <c r="L25" s="43">
        <f>_xlfn.XLOOKUP($B25,tbl_Bonds[Coupon],tbl_Bonds[Real Simulada])</f>
        <v>5.6968724466762044E-2</v>
      </c>
      <c r="M25" s="43">
        <f>_xlfn.XLOOKUP($B25,tbl_Bonds[Coupon],tbl_Bonds[Implícita Mercado])</f>
        <v>5.6538828426135002E-2</v>
      </c>
      <c r="N25" s="88">
        <v>0</v>
      </c>
      <c r="O25" s="43">
        <f>_xlfn.XLOOKUP($B25,tbl_Bonds[Coupon],tbl_Bonds[Implícita Simulada])</f>
        <v>5.6538828426135002E-2</v>
      </c>
      <c r="P25" s="20">
        <f t="shared" ca="1" si="0"/>
        <v>0</v>
      </c>
      <c r="Q25" s="20">
        <f t="shared" ca="1" si="1"/>
        <v>0</v>
      </c>
      <c r="R25" s="20">
        <f t="shared" ca="1" si="2"/>
        <v>0</v>
      </c>
    </row>
    <row r="26" spans="2:18">
      <c r="B26" s="30">
        <v>46707</v>
      </c>
      <c r="C26" s="56">
        <f>NETWORKDAYS(val_date,B26,feriados)-1</f>
        <v>1290</v>
      </c>
      <c r="D26" s="46">
        <f ca="1">SUMIF(tbl_Bonds[Coupon],$B26,INDIRECT("tbl_Bonds["&amp;D$4&amp;"]"))</f>
        <v>-1023.8896443781932</v>
      </c>
      <c r="E26" s="46">
        <f ca="1">SUMIF(tbl_Bonds[Coupon],$B26,INDIRECT("tbl_Bonds["&amp;E$4&amp;"]"))</f>
        <v>-968.89464464045216</v>
      </c>
      <c r="F26" s="46">
        <f ca="1">SUMIF(tbl_Bonds[Coupon],$B26,INDIRECT("tbl_Bonds["&amp;F$4&amp;"]"))</f>
        <v>1023.9587440039406</v>
      </c>
      <c r="G26" s="43">
        <f>_xlfn.XLOOKUP(B26,tbl_Bonds[Coupon],tbl_Bonds[Pré Mercado])</f>
        <v>0.11686894003503029</v>
      </c>
      <c r="H26" s="88">
        <v>0</v>
      </c>
      <c r="I26" s="43">
        <f>_xlfn.XLOOKUP(B26,tbl_Bonds[Coupon],tbl_Bonds[Pré Simulada])</f>
        <v>0.11686894003503029</v>
      </c>
      <c r="J26" s="43">
        <f>_xlfn.XLOOKUP($B26,tbl_Bonds[Coupon],tbl_Bonds[Real Mercado])</f>
        <v>5.6839715309690009E-2</v>
      </c>
      <c r="K26" s="88">
        <v>0</v>
      </c>
      <c r="L26" s="43">
        <f>_xlfn.XLOOKUP($B26,tbl_Bonds[Coupon],tbl_Bonds[Real Simulada])</f>
        <v>5.6839715309690009E-2</v>
      </c>
      <c r="M26" s="43">
        <f>_xlfn.XLOOKUP($B26,tbl_Bonds[Coupon],tbl_Bonds[Implícita Mercado])</f>
        <v>5.6808529739978075E-2</v>
      </c>
      <c r="N26" s="88">
        <v>0</v>
      </c>
      <c r="O26" s="43">
        <f>_xlfn.XLOOKUP($B26,tbl_Bonds[Coupon],tbl_Bonds[Implícita Simulada])</f>
        <v>5.6808529739978075E-2</v>
      </c>
      <c r="P26" s="20">
        <f t="shared" ca="1" si="0"/>
        <v>0</v>
      </c>
      <c r="Q26" s="20">
        <f t="shared" ca="1" si="1"/>
        <v>0</v>
      </c>
      <c r="R26" s="20">
        <f t="shared" ca="1" si="2"/>
        <v>0</v>
      </c>
    </row>
    <row r="27" spans="2:18">
      <c r="B27" s="30">
        <v>46798</v>
      </c>
      <c r="C27" s="56">
        <f>NETWORKDAYS(val_date,B27,feriados)-1</f>
        <v>1355</v>
      </c>
      <c r="D27" s="46">
        <f ca="1">SUMIF(tbl_Bonds[Coupon],$B27,INDIRECT("tbl_Bonds["&amp;D$4&amp;"]"))</f>
        <v>-2135.6229112956303</v>
      </c>
      <c r="E27" s="46">
        <f ca="1">SUMIF(tbl_Bonds[Coupon],$B27,INDIRECT("tbl_Bonds["&amp;E$4&amp;"]"))</f>
        <v>-2020.4399905221358</v>
      </c>
      <c r="F27" s="46">
        <f ca="1">SUMIF(tbl_Bonds[Coupon],$B27,INDIRECT("tbl_Bonds["&amp;F$4&amp;"]"))</f>
        <v>2135.0934909819371</v>
      </c>
      <c r="G27" s="43">
        <f>_xlfn.XLOOKUP(B27,tbl_Bonds[Coupon],tbl_Bonds[Pré Mercado])</f>
        <v>0.11703860353993888</v>
      </c>
      <c r="H27" s="88">
        <v>0</v>
      </c>
      <c r="I27" s="43">
        <f>_xlfn.XLOOKUP(B27,tbl_Bonds[Coupon],tbl_Bonds[Pré Simulada])</f>
        <v>0.11703860353993888</v>
      </c>
      <c r="J27" s="43">
        <f>_xlfn.XLOOKUP($B27,tbl_Bonds[Coupon],tbl_Bonds[Real Mercado])</f>
        <v>5.675390529669766E-2</v>
      </c>
      <c r="K27" s="88">
        <v>0</v>
      </c>
      <c r="L27" s="43">
        <f>_xlfn.XLOOKUP($B27,tbl_Bonds[Coupon],tbl_Bonds[Real Simulada])</f>
        <v>5.675390529669766E-2</v>
      </c>
      <c r="M27" s="43">
        <f>_xlfn.XLOOKUP($B27,tbl_Bonds[Coupon],tbl_Bonds[Implícita Mercado])</f>
        <v>5.7054164176732813E-2</v>
      </c>
      <c r="N27" s="88">
        <v>0</v>
      </c>
      <c r="O27" s="43">
        <f>_xlfn.XLOOKUP($B27,tbl_Bonds[Coupon],tbl_Bonds[Implícita Simulada])</f>
        <v>5.7054164176732813E-2</v>
      </c>
      <c r="P27" s="20">
        <f t="shared" ca="1" si="0"/>
        <v>0</v>
      </c>
      <c r="Q27" s="20">
        <f t="shared" ca="1" si="1"/>
        <v>0</v>
      </c>
      <c r="R27" s="20">
        <f t="shared" ca="1" si="2"/>
        <v>0</v>
      </c>
    </row>
    <row r="28" spans="2:18">
      <c r="B28" s="30">
        <v>46888</v>
      </c>
      <c r="C28" s="56">
        <f>NETWORKDAYS(val_date,B28,feriados)-1</f>
        <v>1414</v>
      </c>
      <c r="D28" s="46">
        <f ca="1">SUMIF(tbl_Bonds[Coupon],$B28,INDIRECT("tbl_Bonds["&amp;D$4&amp;"]"))</f>
        <v>-1093.0834673131185</v>
      </c>
      <c r="E28" s="46">
        <f ca="1">SUMIF(tbl_Bonds[Coupon],$B28,INDIRECT("tbl_Bonds["&amp;E$4&amp;"]"))</f>
        <v>-1033.9267697752309</v>
      </c>
      <c r="F28" s="46">
        <f ca="1">SUMIF(tbl_Bonds[Coupon],$B28,INDIRECT("tbl_Bonds["&amp;F$4&amp;"]"))</f>
        <v>1092.5553639527943</v>
      </c>
      <c r="G28" s="43">
        <f>_xlfn.XLOOKUP(B28,tbl_Bonds[Coupon],tbl_Bonds[Pré Mercado])</f>
        <v>0.11719588464999479</v>
      </c>
      <c r="H28" s="88">
        <v>0</v>
      </c>
      <c r="I28" s="43">
        <f>_xlfn.XLOOKUP(B28,tbl_Bonds[Coupon],tbl_Bonds[Pré Simulada])</f>
        <v>0.11719588464999479</v>
      </c>
      <c r="J28" s="43">
        <f>_xlfn.XLOOKUP($B28,tbl_Bonds[Coupon],tbl_Bonds[Real Mercado])</f>
        <v>5.6709240208270062E-2</v>
      </c>
      <c r="K28" s="88">
        <v>0</v>
      </c>
      <c r="L28" s="43">
        <f>_xlfn.XLOOKUP($B28,tbl_Bonds[Coupon],tbl_Bonds[Real Simulada])</f>
        <v>5.6709240208270062E-2</v>
      </c>
      <c r="M28" s="43">
        <f>_xlfn.XLOOKUP($B28,tbl_Bonds[Coupon],tbl_Bonds[Implícita Mercado])</f>
        <v>5.724503337137854E-2</v>
      </c>
      <c r="N28" s="88">
        <v>0</v>
      </c>
      <c r="O28" s="43">
        <f>_xlfn.XLOOKUP($B28,tbl_Bonds[Coupon],tbl_Bonds[Implícita Simulada])</f>
        <v>5.724503337137854E-2</v>
      </c>
      <c r="P28" s="20">
        <f t="shared" ca="1" si="0"/>
        <v>0</v>
      </c>
      <c r="Q28" s="20">
        <f t="shared" ca="1" si="1"/>
        <v>0</v>
      </c>
      <c r="R28" s="20">
        <f t="shared" ca="1" si="2"/>
        <v>0</v>
      </c>
    </row>
    <row r="29" spans="2:18">
      <c r="B29" s="30">
        <v>46980</v>
      </c>
      <c r="C29" s="56">
        <f>NETWORKDAYS(val_date,B29,feriados)-1</f>
        <v>1479</v>
      </c>
      <c r="D29" s="46">
        <f ca="1">SUMIF(tbl_Bonds[Coupon],$B29,INDIRECT("tbl_Bonds["&amp;D$4&amp;"]"))</f>
        <v>-14889.393281544624</v>
      </c>
      <c r="E29" s="46">
        <f ca="1">SUMIF(tbl_Bonds[Coupon],$B29,INDIRECT("tbl_Bonds["&amp;E$4&amp;"]"))</f>
        <v>-14081.233346096995</v>
      </c>
      <c r="F29" s="46">
        <f ca="1">SUMIF(tbl_Bonds[Coupon],$B29,INDIRECT("tbl_Bonds["&amp;F$4&amp;"]"))</f>
        <v>14879.505743806072</v>
      </c>
      <c r="G29" s="43">
        <f>_xlfn.XLOOKUP(B29,tbl_Bonds[Coupon],tbl_Bonds[Pré Mercado])</f>
        <v>0.11736890213289761</v>
      </c>
      <c r="H29" s="88">
        <v>0</v>
      </c>
      <c r="I29" s="43">
        <f>_xlfn.XLOOKUP(B29,tbl_Bonds[Coupon],tbl_Bonds[Pré Simulada])</f>
        <v>0.11736890213289761</v>
      </c>
      <c r="J29" s="43">
        <f>_xlfn.XLOOKUP($B29,tbl_Bonds[Coupon],tbl_Bonds[Real Mercado])</f>
        <v>5.6694932019935917E-2</v>
      </c>
      <c r="K29" s="88">
        <v>0</v>
      </c>
      <c r="L29" s="43">
        <f>_xlfn.XLOOKUP($B29,tbl_Bonds[Coupon],tbl_Bonds[Real Simulada])</f>
        <v>5.6694932019935917E-2</v>
      </c>
      <c r="M29" s="43">
        <f>_xlfn.XLOOKUP($B29,tbl_Bonds[Coupon],tbl_Bonds[Implícita Mercado])</f>
        <v>5.742304317837621E-2</v>
      </c>
      <c r="N29" s="88">
        <v>0</v>
      </c>
      <c r="O29" s="43">
        <f>_xlfn.XLOOKUP($B29,tbl_Bonds[Coupon],tbl_Bonds[Implícita Simulada])</f>
        <v>5.742304317837621E-2</v>
      </c>
      <c r="P29" s="20">
        <f t="shared" ca="1" si="0"/>
        <v>0</v>
      </c>
      <c r="Q29" s="20">
        <f t="shared" ca="1" si="1"/>
        <v>0</v>
      </c>
      <c r="R29" s="20">
        <f t="shared" ca="1" si="2"/>
        <v>0</v>
      </c>
    </row>
    <row r="30" spans="2:18">
      <c r="B30" s="30">
        <v>47073</v>
      </c>
      <c r="C30" s="56">
        <f>NETWORKDAYS(val_date,B30,feriados)-1</f>
        <v>1542</v>
      </c>
      <c r="D30" s="46">
        <f ca="1">SUMIF(tbl_Bonds[Coupon],$B30,INDIRECT("tbl_Bonds["&amp;D$4&amp;"]"))</f>
        <v>-1159.1359671989935</v>
      </c>
      <c r="E30" s="46">
        <f ca="1">SUMIF(tbl_Bonds[Coupon],$B30,INDIRECT("tbl_Bonds["&amp;E$4&amp;"]"))</f>
        <v>-1096.0595300481937</v>
      </c>
      <c r="F30" s="46">
        <f ca="1">SUMIF(tbl_Bonds[Coupon],$B30,INDIRECT("tbl_Bonds["&amp;F$4&amp;"]"))</f>
        <v>1158.2080199363197</v>
      </c>
      <c r="G30" s="43">
        <f>_xlfn.XLOOKUP(B30,tbl_Bonds[Coupon],tbl_Bonds[Pré Mercado])</f>
        <v>0.11753368327278076</v>
      </c>
      <c r="H30" s="88">
        <v>0</v>
      </c>
      <c r="I30" s="43">
        <f>_xlfn.XLOOKUP(B30,tbl_Bonds[Coupon],tbl_Bonds[Pré Simulada])</f>
        <v>0.11753368327278076</v>
      </c>
      <c r="J30" s="43">
        <f>_xlfn.XLOOKUP($B30,tbl_Bonds[Coupon],tbl_Bonds[Real Mercado])</f>
        <v>5.6704466377620388E-2</v>
      </c>
      <c r="K30" s="88">
        <v>0</v>
      </c>
      <c r="L30" s="43">
        <f>_xlfn.XLOOKUP($B30,tbl_Bonds[Coupon],tbl_Bonds[Real Simulada])</f>
        <v>5.6704466377620388E-2</v>
      </c>
      <c r="M30" s="43">
        <f>_xlfn.XLOOKUP($B30,tbl_Bonds[Coupon],tbl_Bonds[Implícita Mercado])</f>
        <v>5.7567744841153123E-2</v>
      </c>
      <c r="N30" s="88">
        <v>0</v>
      </c>
      <c r="O30" s="43">
        <f>_xlfn.XLOOKUP($B30,tbl_Bonds[Coupon],tbl_Bonds[Implícita Simulada])</f>
        <v>5.7567744841153123E-2</v>
      </c>
      <c r="P30" s="20">
        <f t="shared" ca="1" si="0"/>
        <v>0</v>
      </c>
      <c r="Q30" s="20">
        <f t="shared" ca="1" si="1"/>
        <v>0</v>
      </c>
      <c r="R30" s="20">
        <f t="shared" ca="1" si="2"/>
        <v>0</v>
      </c>
    </row>
    <row r="31" spans="2:18">
      <c r="B31" s="30">
        <v>47164</v>
      </c>
      <c r="C31" s="56">
        <f>NETWORKDAYS(val_date,B31,feriados)-1</f>
        <v>1603</v>
      </c>
      <c r="D31" s="46">
        <f ca="1">SUMIF(tbl_Bonds[Coupon],$B31,INDIRECT("tbl_Bonds["&amp;D$4&amp;"]"))</f>
        <v>-1999.7815615470226</v>
      </c>
      <c r="E31" s="46">
        <f ca="1">SUMIF(tbl_Bonds[Coupon],$B31,INDIRECT("tbl_Bonds["&amp;E$4&amp;"]"))</f>
        <v>-1890.7542598157474</v>
      </c>
      <c r="F31" s="46">
        <f ca="1">SUMIF(tbl_Bonds[Coupon],$B31,INDIRECT("tbl_Bonds["&amp;F$4&amp;"]"))</f>
        <v>1998.0226068753454</v>
      </c>
      <c r="G31" s="43">
        <f>_xlfn.XLOOKUP(B31,tbl_Bonds[Coupon],tbl_Bonds[Pré Mercado])</f>
        <v>0.11768880617970637</v>
      </c>
      <c r="H31" s="88">
        <v>0</v>
      </c>
      <c r="I31" s="43">
        <f>_xlfn.XLOOKUP(B31,tbl_Bonds[Coupon],tbl_Bonds[Pré Simulada])</f>
        <v>0.11768880617970637</v>
      </c>
      <c r="J31" s="43">
        <f>_xlfn.XLOOKUP($B31,tbl_Bonds[Coupon],tbl_Bonds[Real Mercado])</f>
        <v>5.6735781893983983E-2</v>
      </c>
      <c r="K31" s="88">
        <v>0</v>
      </c>
      <c r="L31" s="43">
        <f>_xlfn.XLOOKUP($B31,tbl_Bonds[Coupon],tbl_Bonds[Real Simulada])</f>
        <v>5.6735781893983983E-2</v>
      </c>
      <c r="M31" s="43">
        <f>_xlfn.XLOOKUP($B31,tbl_Bonds[Coupon],tbl_Bonds[Implícita Mercado])</f>
        <v>5.7683163424037343E-2</v>
      </c>
      <c r="N31" s="88">
        <v>0</v>
      </c>
      <c r="O31" s="43">
        <f>_xlfn.XLOOKUP($B31,tbl_Bonds[Coupon],tbl_Bonds[Implícita Simulada])</f>
        <v>5.7683163424037343E-2</v>
      </c>
      <c r="P31" s="20">
        <f t="shared" ca="1" si="0"/>
        <v>0</v>
      </c>
      <c r="Q31" s="20">
        <f t="shared" ca="1" si="1"/>
        <v>0</v>
      </c>
      <c r="R31" s="20">
        <f t="shared" ca="1" si="2"/>
        <v>0</v>
      </c>
    </row>
    <row r="32" spans="2:18">
      <c r="B32" s="30">
        <v>47253</v>
      </c>
      <c r="C32" s="56">
        <f>NETWORKDAYS(val_date,B32,feriados)-1</f>
        <v>1664</v>
      </c>
      <c r="D32" s="46">
        <f ca="1">SUMIF(tbl_Bonds[Coupon],$B32,INDIRECT("tbl_Bonds["&amp;D$4&amp;"]"))</f>
        <v>-1217.2284812265846</v>
      </c>
      <c r="E32" s="46">
        <f ca="1">SUMIF(tbl_Bonds[Coupon],$B32,INDIRECT("tbl_Bonds["&amp;E$4&amp;"]"))</f>
        <v>-1150.7508423187871</v>
      </c>
      <c r="F32" s="46">
        <f ca="1">SUMIF(tbl_Bonds[Coupon],$B32,INDIRECT("tbl_Bonds["&amp;F$4&amp;"]"))</f>
        <v>1216.0883381372078</v>
      </c>
      <c r="G32" s="43">
        <f>_xlfn.XLOOKUP(B32,tbl_Bonds[Coupon],tbl_Bonds[Pré Mercado])</f>
        <v>0.1178385328920409</v>
      </c>
      <c r="H32" s="88">
        <v>0</v>
      </c>
      <c r="I32" s="43">
        <f>_xlfn.XLOOKUP(B32,tbl_Bonds[Coupon],tbl_Bonds[Pré Simulada])</f>
        <v>0.1178385328920409</v>
      </c>
      <c r="J32" s="43">
        <f>_xlfn.XLOOKUP($B32,tbl_Bonds[Coupon],tbl_Bonds[Real Mercado])</f>
        <v>5.6779566995880826E-2</v>
      </c>
      <c r="K32" s="88">
        <v>0</v>
      </c>
      <c r="L32" s="43">
        <f>_xlfn.XLOOKUP($B32,tbl_Bonds[Coupon],tbl_Bonds[Real Simulada])</f>
        <v>5.6779566995880826E-2</v>
      </c>
      <c r="M32" s="43">
        <f>_xlfn.XLOOKUP($B32,tbl_Bonds[Coupon],tbl_Bonds[Implícita Mercado])</f>
        <v>5.7779762342214047E-2</v>
      </c>
      <c r="N32" s="88">
        <v>0</v>
      </c>
      <c r="O32" s="43">
        <f>_xlfn.XLOOKUP($B32,tbl_Bonds[Coupon],tbl_Bonds[Implícita Simulada])</f>
        <v>5.7779762342214047E-2</v>
      </c>
      <c r="P32" s="20">
        <f t="shared" ca="1" si="0"/>
        <v>0</v>
      </c>
      <c r="Q32" s="20">
        <f t="shared" ca="1" si="1"/>
        <v>0</v>
      </c>
      <c r="R32" s="20">
        <f t="shared" ca="1" si="2"/>
        <v>0</v>
      </c>
    </row>
    <row r="33" spans="2:18">
      <c r="B33" s="30">
        <v>47345</v>
      </c>
      <c r="C33" s="56">
        <f>NETWORKDAYS(val_date,B33,feriados)-1</f>
        <v>1729</v>
      </c>
      <c r="D33" s="46">
        <f ca="1">SUMIF(tbl_Bonds[Coupon],$B33,INDIRECT("tbl_Bonds["&amp;D$4&amp;"]"))</f>
        <v>-2096.5912706420881</v>
      </c>
      <c r="E33" s="46">
        <f ca="1">SUMIF(tbl_Bonds[Coupon],$B33,INDIRECT("tbl_Bonds["&amp;E$4&amp;"]"))</f>
        <v>-1981.938631523843</v>
      </c>
      <c r="F33" s="46">
        <f ca="1">SUMIF(tbl_Bonds[Coupon],$B33,INDIRECT("tbl_Bonds["&amp;F$4&amp;"]"))</f>
        <v>2094.5953216124294</v>
      </c>
      <c r="G33" s="43">
        <f>_xlfn.XLOOKUP(B33,tbl_Bonds[Coupon],tbl_Bonds[Pré Mercado])</f>
        <v>0.11799146123194351</v>
      </c>
      <c r="H33" s="88">
        <v>0</v>
      </c>
      <c r="I33" s="43">
        <f>_xlfn.XLOOKUP(B33,tbl_Bonds[Coupon],tbl_Bonds[Pré Simulada])</f>
        <v>0.11799146123194351</v>
      </c>
      <c r="J33" s="43">
        <f>_xlfn.XLOOKUP($B33,tbl_Bonds[Coupon],tbl_Bonds[Real Mercado])</f>
        <v>5.6843208866909523E-2</v>
      </c>
      <c r="K33" s="88">
        <v>0</v>
      </c>
      <c r="L33" s="43">
        <f>_xlfn.XLOOKUP($B33,tbl_Bonds[Coupon],tbl_Bonds[Real Simulada])</f>
        <v>5.6843208866909523E-2</v>
      </c>
      <c r="M33" s="43">
        <f>_xlfn.XLOOKUP($B33,tbl_Bonds[Coupon],tbl_Bonds[Implícita Mercado])</f>
        <v>5.7860887908244507E-2</v>
      </c>
      <c r="N33" s="88">
        <v>0</v>
      </c>
      <c r="O33" s="43">
        <f>_xlfn.XLOOKUP($B33,tbl_Bonds[Coupon],tbl_Bonds[Implícita Simulada])</f>
        <v>5.7860887908244507E-2</v>
      </c>
      <c r="P33" s="20">
        <f t="shared" ca="1" si="0"/>
        <v>0</v>
      </c>
      <c r="Q33" s="20">
        <f t="shared" ca="1" si="1"/>
        <v>0</v>
      </c>
      <c r="R33" s="20">
        <f t="shared" ca="1" si="2"/>
        <v>0</v>
      </c>
    </row>
    <row r="34" spans="2:18">
      <c r="B34" s="30">
        <v>47438</v>
      </c>
      <c r="C34" s="56">
        <f>NETWORKDAYS(val_date,B34,feriados)-1</f>
        <v>1792</v>
      </c>
      <c r="D34" s="46">
        <f ca="1">SUMIF(tbl_Bonds[Coupon],$B34,INDIRECT("tbl_Bonds["&amp;D$4&amp;"]"))</f>
        <v>-1273.3035830811339</v>
      </c>
      <c r="E34" s="46">
        <f ca="1">SUMIF(tbl_Bonds[Coupon],$B34,INDIRECT("tbl_Bonds["&amp;E$4&amp;"]"))</f>
        <v>-1203.5939135763526</v>
      </c>
      <c r="F34" s="46">
        <f ca="1">SUMIF(tbl_Bonds[Coupon],$B34,INDIRECT("tbl_Bonds["&amp;F$4&amp;"]"))</f>
        <v>1272.0921333457372</v>
      </c>
      <c r="G34" s="43">
        <f>_xlfn.XLOOKUP(B34,tbl_Bonds[Coupon],tbl_Bonds[Pré Mercado])</f>
        <v>0.1181328379826086</v>
      </c>
      <c r="H34" s="88">
        <v>0</v>
      </c>
      <c r="I34" s="43">
        <f>_xlfn.XLOOKUP(B34,tbl_Bonds[Coupon],tbl_Bonds[Pré Simulada])</f>
        <v>0.1181328379826086</v>
      </c>
      <c r="J34" s="43">
        <f>_xlfn.XLOOKUP($B34,tbl_Bonds[Coupon],tbl_Bonds[Real Mercado])</f>
        <v>5.6912256341070222E-2</v>
      </c>
      <c r="K34" s="88">
        <v>0</v>
      </c>
      <c r="L34" s="43">
        <f>_xlfn.XLOOKUP($B34,tbl_Bonds[Coupon],tbl_Bonds[Real Simulada])</f>
        <v>5.6912256341070222E-2</v>
      </c>
      <c r="M34" s="43">
        <f>_xlfn.XLOOKUP($B34,tbl_Bonds[Coupon],tbl_Bonds[Implícita Mercado])</f>
        <v>5.7924849221559604E-2</v>
      </c>
      <c r="N34" s="88">
        <v>0</v>
      </c>
      <c r="O34" s="43">
        <f>_xlfn.XLOOKUP($B34,tbl_Bonds[Coupon],tbl_Bonds[Implícita Simulada])</f>
        <v>5.7924849221559604E-2</v>
      </c>
      <c r="P34" s="20">
        <f t="shared" ca="1" si="0"/>
        <v>0</v>
      </c>
      <c r="Q34" s="20">
        <f t="shared" ca="1" si="1"/>
        <v>0</v>
      </c>
      <c r="R34" s="20">
        <f t="shared" ca="1" si="2"/>
        <v>0</v>
      </c>
    </row>
    <row r="35" spans="2:18">
      <c r="B35" s="30">
        <v>47529</v>
      </c>
      <c r="C35" s="56">
        <f>NETWORKDAYS(val_date,B35,feriados)-1</f>
        <v>1855</v>
      </c>
      <c r="D35" s="46">
        <f ca="1">SUMIF(tbl_Bonds[Coupon],$B35,INDIRECT("tbl_Bonds["&amp;D$4&amp;"]"))</f>
        <v>-2185.497173356373</v>
      </c>
      <c r="E35" s="46">
        <f ca="1">SUMIF(tbl_Bonds[Coupon],$B35,INDIRECT("tbl_Bonds["&amp;E$4&amp;"]"))</f>
        <v>-2065.7533528356116</v>
      </c>
      <c r="F35" s="46">
        <f ca="1">SUMIF(tbl_Bonds[Coupon],$B35,INDIRECT("tbl_Bonds["&amp;F$4&amp;"]"))</f>
        <v>2183.480529850428</v>
      </c>
      <c r="G35" s="43">
        <f>_xlfn.XLOOKUP(B35,tbl_Bonds[Coupon],tbl_Bonds[Pré Mercado])</f>
        <v>0.11826738921135904</v>
      </c>
      <c r="H35" s="88">
        <v>0</v>
      </c>
      <c r="I35" s="43">
        <f>_xlfn.XLOOKUP(B35,tbl_Bonds[Coupon],tbl_Bonds[Pré Simulada])</f>
        <v>0.11826738921135904</v>
      </c>
      <c r="J35" s="43">
        <f>_xlfn.XLOOKUP($B35,tbl_Bonds[Coupon],tbl_Bonds[Real Mercado])</f>
        <v>5.699082751972151E-2</v>
      </c>
      <c r="K35" s="88">
        <v>0</v>
      </c>
      <c r="L35" s="43">
        <f>_xlfn.XLOOKUP($B35,tbl_Bonds[Coupon],tbl_Bonds[Real Simulada])</f>
        <v>5.699082751972151E-2</v>
      </c>
      <c r="M35" s="43">
        <f>_xlfn.XLOOKUP($B35,tbl_Bonds[Coupon],tbl_Bonds[Implícita Mercado])</f>
        <v>5.7973532188232424E-2</v>
      </c>
      <c r="N35" s="88">
        <v>0</v>
      </c>
      <c r="O35" s="43">
        <f>_xlfn.XLOOKUP($B35,tbl_Bonds[Coupon],tbl_Bonds[Implícita Simulada])</f>
        <v>5.7973532188232424E-2</v>
      </c>
      <c r="P35" s="20">
        <f t="shared" ca="1" si="0"/>
        <v>0</v>
      </c>
      <c r="Q35" s="20">
        <f t="shared" ca="1" si="1"/>
        <v>0</v>
      </c>
      <c r="R35" s="20">
        <f t="shared" ca="1" si="2"/>
        <v>0</v>
      </c>
    </row>
    <row r="36" spans="2:18">
      <c r="B36" s="30">
        <v>47618</v>
      </c>
      <c r="C36" s="56">
        <f>NETWORKDAYS(val_date,B36,feriados)-1</f>
        <v>1914</v>
      </c>
      <c r="D36" s="46">
        <f ca="1">SUMIF(tbl_Bonds[Coupon],$B36,INDIRECT("tbl_Bonds["&amp;D$4&amp;"]"))</f>
        <v>-1322.3658273463827</v>
      </c>
      <c r="E36" s="46">
        <f ca="1">SUMIF(tbl_Bonds[Coupon],$B36,INDIRECT("tbl_Bonds["&amp;E$4&amp;"]"))</f>
        <v>-1249.8654051385613</v>
      </c>
      <c r="F36" s="46">
        <f ca="1">SUMIF(tbl_Bonds[Coupon],$B36,INDIRECT("tbl_Bonds["&amp;F$4&amp;"]"))</f>
        <v>1321.1908929973572</v>
      </c>
      <c r="G36" s="43">
        <f>_xlfn.XLOOKUP(B36,tbl_Bonds[Coupon],tbl_Bonds[Pré Mercado])</f>
        <v>0.11838727903530923</v>
      </c>
      <c r="H36" s="88">
        <v>0</v>
      </c>
      <c r="I36" s="43">
        <f>_xlfn.XLOOKUP(B36,tbl_Bonds[Coupon],tbl_Bonds[Pré Simulada])</f>
        <v>0.11838727903530923</v>
      </c>
      <c r="J36" s="43">
        <f>_xlfn.XLOOKUP($B36,tbl_Bonds[Coupon],tbl_Bonds[Real Mercado])</f>
        <v>5.7066966659098606E-2</v>
      </c>
      <c r="K36" s="88">
        <v>0</v>
      </c>
      <c r="L36" s="43">
        <f>_xlfn.XLOOKUP($B36,tbl_Bonds[Coupon],tbl_Bonds[Real Simulada])</f>
        <v>5.7066966659098606E-2</v>
      </c>
      <c r="M36" s="43">
        <f>_xlfn.XLOOKUP($B36,tbl_Bonds[Coupon],tbl_Bonds[Implícita Mercado])</f>
        <v>5.8010297393168875E-2</v>
      </c>
      <c r="N36" s="88">
        <v>0</v>
      </c>
      <c r="O36" s="43">
        <f>_xlfn.XLOOKUP($B36,tbl_Bonds[Coupon],tbl_Bonds[Implícita Simulada])</f>
        <v>5.8010297393168875E-2</v>
      </c>
      <c r="P36" s="20">
        <f t="shared" ca="1" si="0"/>
        <v>0</v>
      </c>
      <c r="Q36" s="20">
        <f t="shared" ca="1" si="1"/>
        <v>0</v>
      </c>
      <c r="R36" s="20">
        <f t="shared" ca="1" si="2"/>
        <v>0</v>
      </c>
    </row>
    <row r="37" spans="2:18">
      <c r="B37" s="30">
        <v>47710</v>
      </c>
      <c r="C37" s="56">
        <f>NETWORKDAYS(val_date,B37,feriados)-1</f>
        <v>1979</v>
      </c>
      <c r="D37" s="46">
        <f ca="1">SUMIF(tbl_Bonds[Coupon],$B37,INDIRECT("tbl_Bonds["&amp;D$4&amp;"]"))</f>
        <v>-7032.0825921393498</v>
      </c>
      <c r="E37" s="46">
        <f ca="1">SUMIF(tbl_Bonds[Coupon],$B37,INDIRECT("tbl_Bonds["&amp;E$4&amp;"]"))</f>
        <v>-6646.3641285886479</v>
      </c>
      <c r="F37" s="46">
        <f ca="1">SUMIF(tbl_Bonds[Coupon],$B37,INDIRECT("tbl_Bonds["&amp;F$4&amp;"]"))</f>
        <v>7026.2459674059228</v>
      </c>
      <c r="G37" s="43">
        <f>_xlfn.XLOOKUP(B37,tbl_Bonds[Coupon],tbl_Bonds[Pré Mercado])</f>
        <v>0.11851270064571921</v>
      </c>
      <c r="H37" s="88">
        <v>0</v>
      </c>
      <c r="I37" s="43">
        <f>_xlfn.XLOOKUP(B37,tbl_Bonds[Coupon],tbl_Bonds[Pré Simulada])</f>
        <v>0.11851270064571921</v>
      </c>
      <c r="J37" s="43">
        <f>_xlfn.XLOOKUP($B37,tbl_Bonds[Coupon],tbl_Bonds[Real Mercado])</f>
        <v>5.7156852715572137E-2</v>
      </c>
      <c r="K37" s="88">
        <v>0</v>
      </c>
      <c r="L37" s="43">
        <f>_xlfn.XLOOKUP($B37,tbl_Bonds[Coupon],tbl_Bonds[Real Simulada])</f>
        <v>5.7156852715572137E-2</v>
      </c>
      <c r="M37" s="43">
        <f>_xlfn.XLOOKUP($B37,tbl_Bonds[Coupon],tbl_Bonds[Implícita Mercado])</f>
        <v>5.8039061744824538E-2</v>
      </c>
      <c r="N37" s="88">
        <v>0</v>
      </c>
      <c r="O37" s="43">
        <f>_xlfn.XLOOKUP($B37,tbl_Bonds[Coupon],tbl_Bonds[Implícita Simulada])</f>
        <v>5.8039061744824538E-2</v>
      </c>
      <c r="P37" s="20">
        <f t="shared" ca="1" si="0"/>
        <v>0</v>
      </c>
      <c r="Q37" s="20">
        <f t="shared" ca="1" si="1"/>
        <v>0</v>
      </c>
      <c r="R37" s="20">
        <f t="shared" ca="1" si="2"/>
        <v>0</v>
      </c>
    </row>
    <row r="38" spans="2:18">
      <c r="B38" s="30">
        <v>47805</v>
      </c>
      <c r="C38" s="56">
        <f>NETWORKDAYS(val_date,B38,feriados)-1</f>
        <v>2045</v>
      </c>
      <c r="D38" s="46">
        <f ca="1">SUMIF(tbl_Bonds[Coupon],$B38,INDIRECT("tbl_Bonds["&amp;D$4&amp;"]"))</f>
        <v>-1370.5489999909441</v>
      </c>
      <c r="E38" s="46">
        <f ca="1">SUMIF(tbl_Bonds[Coupon],$B38,INDIRECT("tbl_Bonds["&amp;E$4&amp;"]"))</f>
        <v>-1295.3429572542082</v>
      </c>
      <c r="F38" s="46">
        <f ca="1">SUMIF(tbl_Bonds[Coupon],$B38,INDIRECT("tbl_Bonds["&amp;F$4&amp;"]"))</f>
        <v>1369.4987613583369</v>
      </c>
      <c r="G38" s="43">
        <f>_xlfn.XLOOKUP(B38,tbl_Bonds[Coupon],tbl_Bonds[Pré Mercado])</f>
        <v>0.11863319273641666</v>
      </c>
      <c r="H38" s="88">
        <v>0</v>
      </c>
      <c r="I38" s="43">
        <f>_xlfn.XLOOKUP(B38,tbl_Bonds[Coupon],tbl_Bonds[Pré Simulada])</f>
        <v>0.11863319273641666</v>
      </c>
      <c r="J38" s="43">
        <f>_xlfn.XLOOKUP($B38,tbl_Bonds[Coupon],tbl_Bonds[Real Mercado])</f>
        <v>5.7248282474742007E-2</v>
      </c>
      <c r="K38" s="88">
        <v>0</v>
      </c>
      <c r="L38" s="43">
        <f>_xlfn.XLOOKUP($B38,tbl_Bonds[Coupon],tbl_Bonds[Real Simulada])</f>
        <v>5.7248282474742007E-2</v>
      </c>
      <c r="M38" s="43">
        <f>_xlfn.XLOOKUP($B38,tbl_Bonds[Coupon],tbl_Bonds[Implícita Mercado])</f>
        <v>5.8061291362325296E-2</v>
      </c>
      <c r="N38" s="88">
        <v>0</v>
      </c>
      <c r="O38" s="43">
        <f>_xlfn.XLOOKUP($B38,tbl_Bonds[Coupon],tbl_Bonds[Implícita Simulada])</f>
        <v>5.8061291362325296E-2</v>
      </c>
      <c r="P38" s="20">
        <f t="shared" ca="1" si="0"/>
        <v>0</v>
      </c>
      <c r="Q38" s="20">
        <f t="shared" ca="1" si="1"/>
        <v>0</v>
      </c>
      <c r="R38" s="20">
        <f t="shared" ca="1" si="2"/>
        <v>0</v>
      </c>
    </row>
    <row r="39" spans="2:18">
      <c r="B39" s="30">
        <v>47896</v>
      </c>
      <c r="C39" s="56">
        <f>NETWORKDAYS(val_date,B39,feriados)-1</f>
        <v>2108</v>
      </c>
      <c r="D39" s="46">
        <f ca="1">SUMIF(tbl_Bonds[Coupon],$B39,INDIRECT("tbl_Bonds["&amp;D$4&amp;"]"))</f>
        <v>-2196.2976315035389</v>
      </c>
      <c r="E39" s="46">
        <f ca="1">SUMIF(tbl_Bonds[Coupon],$B39,INDIRECT("tbl_Bonds["&amp;E$4&amp;"]"))</f>
        <v>-2075.75316997051</v>
      </c>
      <c r="F39" s="46">
        <f ca="1">SUMIF(tbl_Bonds[Coupon],$B39,INDIRECT("tbl_Bonds["&amp;F$4&amp;"]"))</f>
        <v>2194.7707144970927</v>
      </c>
      <c r="G39" s="43">
        <f>_xlfn.XLOOKUP(B39,tbl_Bonds[Coupon],tbl_Bonds[Pré Mercado])</f>
        <v>0.1187420783777112</v>
      </c>
      <c r="H39" s="88">
        <v>0</v>
      </c>
      <c r="I39" s="43">
        <f>_xlfn.XLOOKUP(B39,tbl_Bonds[Coupon],tbl_Bonds[Pré Simulada])</f>
        <v>0.1187420783777112</v>
      </c>
      <c r="J39" s="43">
        <f>_xlfn.XLOOKUP($B39,tbl_Bonds[Coupon],tbl_Bonds[Real Mercado])</f>
        <v>5.7337312092009096E-2</v>
      </c>
      <c r="K39" s="88">
        <v>0</v>
      </c>
      <c r="L39" s="43">
        <f>_xlfn.XLOOKUP($B39,tbl_Bonds[Coupon],tbl_Bonds[Real Simulada])</f>
        <v>5.7337312092009096E-2</v>
      </c>
      <c r="M39" s="43">
        <f>_xlfn.XLOOKUP($B39,tbl_Bonds[Coupon],tbl_Bonds[Implícita Mercado])</f>
        <v>5.8075178529090499E-2</v>
      </c>
      <c r="N39" s="88">
        <v>0</v>
      </c>
      <c r="O39" s="43">
        <f>_xlfn.XLOOKUP($B39,tbl_Bonds[Coupon],tbl_Bonds[Implícita Simulada])</f>
        <v>5.8075178529090499E-2</v>
      </c>
      <c r="P39" s="20">
        <f t="shared" ca="1" si="0"/>
        <v>0</v>
      </c>
      <c r="Q39" s="20">
        <f t="shared" ca="1" si="1"/>
        <v>0</v>
      </c>
      <c r="R39" s="20">
        <f t="shared" ca="1" si="2"/>
        <v>0</v>
      </c>
    </row>
    <row r="40" spans="2:18">
      <c r="B40" s="30">
        <v>47983</v>
      </c>
      <c r="C40" s="56">
        <f>NETWORKDAYS(val_date,B40,feriados)-1</f>
        <v>2166</v>
      </c>
      <c r="D40" s="46">
        <f ca="1">SUMIF(tbl_Bonds[Coupon],$B40,INDIRECT("tbl_Bonds["&amp;D$4&amp;"]"))</f>
        <v>-1411.1796202380633</v>
      </c>
      <c r="E40" s="46">
        <f ca="1">SUMIF(tbl_Bonds[Coupon],$B40,INDIRECT("tbl_Bonds["&amp;E$4&amp;"]"))</f>
        <v>-1333.7133433788417</v>
      </c>
      <c r="F40" s="46">
        <f ca="1">SUMIF(tbl_Bonds[Coupon],$B40,INDIRECT("tbl_Bonds["&amp;F$4&amp;"]"))</f>
        <v>1410.2922264737695</v>
      </c>
      <c r="G40" s="43">
        <f>_xlfn.XLOOKUP(B40,tbl_Bonds[Coupon],tbl_Bonds[Pré Mercado])</f>
        <v>0.11883731211931328</v>
      </c>
      <c r="H40" s="88">
        <v>0</v>
      </c>
      <c r="I40" s="43">
        <f>_xlfn.XLOOKUP(B40,tbl_Bonds[Coupon],tbl_Bonds[Pré Simulada])</f>
        <v>0.11883731211931328</v>
      </c>
      <c r="J40" s="43">
        <f>_xlfn.XLOOKUP($B40,tbl_Bonds[Coupon],tbl_Bonds[Real Mercado])</f>
        <v>5.7417931184525317E-2</v>
      </c>
      <c r="K40" s="88">
        <v>0</v>
      </c>
      <c r="L40" s="43">
        <f>_xlfn.XLOOKUP($B40,tbl_Bonds[Coupon],tbl_Bonds[Real Simulada])</f>
        <v>5.7417931184525317E-2</v>
      </c>
      <c r="M40" s="43">
        <f>_xlfn.XLOOKUP($B40,tbl_Bonds[Coupon],tbl_Bonds[Implícita Mercado])</f>
        <v>5.8084434014569641E-2</v>
      </c>
      <c r="N40" s="88">
        <v>0</v>
      </c>
      <c r="O40" s="43">
        <f>_xlfn.XLOOKUP($B40,tbl_Bonds[Coupon],tbl_Bonds[Implícita Simulada])</f>
        <v>5.8084434014569641E-2</v>
      </c>
      <c r="P40" s="20">
        <f t="shared" ca="1" si="0"/>
        <v>0</v>
      </c>
      <c r="Q40" s="20">
        <f t="shared" ca="1" si="1"/>
        <v>0</v>
      </c>
      <c r="R40" s="20">
        <f t="shared" ca="1" si="2"/>
        <v>0</v>
      </c>
    </row>
    <row r="41" spans="2:18">
      <c r="B41" s="30">
        <v>48075</v>
      </c>
      <c r="C41" s="56">
        <f>NETWORKDAYS(val_date,B41,feriados)-1</f>
        <v>2231</v>
      </c>
      <c r="D41" s="46">
        <f ca="1">SUMIF(tbl_Bonds[Coupon],$B41,INDIRECT("tbl_Bonds["&amp;D$4&amp;"]"))</f>
        <v>-2258.4462260671535</v>
      </c>
      <c r="E41" s="46">
        <f ca="1">SUMIF(tbl_Bonds[Coupon],$B41,INDIRECT("tbl_Bonds["&amp;E$4&amp;"]"))</f>
        <v>-2134.4590627697071</v>
      </c>
      <c r="F41" s="46">
        <f ca="1">SUMIF(tbl_Bonds[Coupon],$B41,INDIRECT("tbl_Bonds["&amp;F$4&amp;"]"))</f>
        <v>2257.2077971750141</v>
      </c>
      <c r="G41" s="43">
        <f>_xlfn.XLOOKUP(B41,tbl_Bonds[Coupon],tbl_Bonds[Pré Mercado])</f>
        <v>0.11893865889866469</v>
      </c>
      <c r="H41" s="88">
        <v>0</v>
      </c>
      <c r="I41" s="43">
        <f>_xlfn.XLOOKUP(B41,tbl_Bonds[Coupon],tbl_Bonds[Pré Simulada])</f>
        <v>0.11893865889866469</v>
      </c>
      <c r="J41" s="43">
        <f>_xlfn.XLOOKUP($B41,tbl_Bonds[Coupon],tbl_Bonds[Real Mercado])</f>
        <v>5.7508281745383361E-2</v>
      </c>
      <c r="K41" s="88">
        <v>0</v>
      </c>
      <c r="L41" s="43">
        <f>_xlfn.XLOOKUP($B41,tbl_Bonds[Coupon],tbl_Bonds[Real Simulada])</f>
        <v>5.7508281745383361E-2</v>
      </c>
      <c r="M41" s="43">
        <f>_xlfn.XLOOKUP($B41,tbl_Bonds[Coupon],tbl_Bonds[Implícita Mercado])</f>
        <v>5.8089895028151872E-2</v>
      </c>
      <c r="N41" s="88">
        <v>0</v>
      </c>
      <c r="O41" s="43">
        <f>_xlfn.XLOOKUP($B41,tbl_Bonds[Coupon],tbl_Bonds[Implícita Simulada])</f>
        <v>5.8089895028151872E-2</v>
      </c>
      <c r="P41" s="20">
        <f t="shared" ca="1" si="0"/>
        <v>0</v>
      </c>
      <c r="Q41" s="20">
        <f t="shared" ca="1" si="1"/>
        <v>0</v>
      </c>
      <c r="R41" s="20">
        <f t="shared" ca="1" si="2"/>
        <v>0</v>
      </c>
    </row>
    <row r="42" spans="2:18">
      <c r="B42" s="30">
        <v>48169</v>
      </c>
      <c r="C42" s="56">
        <f>NETWORKDAYS(val_date,B42,feriados)-1</f>
        <v>2297</v>
      </c>
      <c r="D42" s="46">
        <f ca="1">SUMIF(tbl_Bonds[Coupon],$B42,INDIRECT("tbl_Bonds["&amp;D$4&amp;"]"))</f>
        <v>-1451.2297658847797</v>
      </c>
      <c r="E42" s="46">
        <f ca="1">SUMIF(tbl_Bonds[Coupon],$B42,INDIRECT("tbl_Bonds["&amp;E$4&amp;"]"))</f>
        <v>-1371.5531405331328</v>
      </c>
      <c r="F42" s="46">
        <f ca="1">SUMIF(tbl_Bonds[Coupon],$B42,INDIRECT("tbl_Bonds["&amp;F$4&amp;"]"))</f>
        <v>1450.5504993069324</v>
      </c>
      <c r="G42" s="43">
        <f>_xlfn.XLOOKUP(B42,tbl_Bonds[Coupon],tbl_Bonds[Pré Mercado])</f>
        <v>0.11903610157038018</v>
      </c>
      <c r="H42" s="88">
        <v>0</v>
      </c>
      <c r="I42" s="43">
        <f>_xlfn.XLOOKUP(B42,tbl_Bonds[Coupon],tbl_Bonds[Pré Simulada])</f>
        <v>0.11903610157038018</v>
      </c>
      <c r="J42" s="43">
        <f>_xlfn.XLOOKUP($B42,tbl_Bonds[Coupon],tbl_Bonds[Real Mercado])</f>
        <v>5.7597092218049317E-2</v>
      </c>
      <c r="K42" s="88">
        <v>0</v>
      </c>
      <c r="L42" s="43">
        <f>_xlfn.XLOOKUP($B42,tbl_Bonds[Coupon],tbl_Bonds[Real Simulada])</f>
        <v>5.7597092218049317E-2</v>
      </c>
      <c r="M42" s="43">
        <f>_xlfn.XLOOKUP($B42,tbl_Bonds[Coupon],tbl_Bonds[Implícita Mercado])</f>
        <v>5.8093103419797343E-2</v>
      </c>
      <c r="N42" s="88">
        <v>0</v>
      </c>
      <c r="O42" s="43">
        <f>_xlfn.XLOOKUP($B42,tbl_Bonds[Coupon],tbl_Bonds[Implícita Simulada])</f>
        <v>5.8093103419797343E-2</v>
      </c>
      <c r="P42" s="20">
        <f t="shared" ca="1" si="0"/>
        <v>0</v>
      </c>
      <c r="Q42" s="20">
        <f t="shared" ca="1" si="1"/>
        <v>0</v>
      </c>
      <c r="R42" s="20">
        <f t="shared" ca="1" si="2"/>
        <v>0</v>
      </c>
    </row>
    <row r="43" spans="2:18">
      <c r="B43" s="30">
        <v>48260</v>
      </c>
      <c r="C43" s="56">
        <f>NETWORKDAYS(val_date,B43,feriados)-1</f>
        <v>2358</v>
      </c>
      <c r="D43" s="46">
        <f ca="1">SUMIF(tbl_Bonds[Coupon],$B43,INDIRECT("tbl_Bonds["&amp;D$4&amp;"]"))</f>
        <v>-2316.8422906300348</v>
      </c>
      <c r="E43" s="46">
        <f ca="1">SUMIF(tbl_Bonds[Coupon],$B43,INDIRECT("tbl_Bonds["&amp;E$4&amp;"]"))</f>
        <v>-2189.6401697980727</v>
      </c>
      <c r="F43" s="46">
        <f ca="1">SUMIF(tbl_Bonds[Coupon],$B43,INDIRECT("tbl_Bonds["&amp;F$4&amp;"]"))</f>
        <v>2315.9327263336286</v>
      </c>
      <c r="G43" s="43">
        <f>_xlfn.XLOOKUP(B43,tbl_Bonds[Coupon],tbl_Bonds[Pré Mercado])</f>
        <v>0.11912158088679581</v>
      </c>
      <c r="H43" s="88">
        <v>0</v>
      </c>
      <c r="I43" s="43">
        <f>_xlfn.XLOOKUP(B43,tbl_Bonds[Coupon],tbl_Bonds[Pré Simulada])</f>
        <v>0.11912158088679581</v>
      </c>
      <c r="J43" s="43">
        <f>_xlfn.XLOOKUP($B43,tbl_Bonds[Coupon],tbl_Bonds[Real Mercado])</f>
        <v>5.7677395986454938E-2</v>
      </c>
      <c r="K43" s="88">
        <v>0</v>
      </c>
      <c r="L43" s="43">
        <f>_xlfn.XLOOKUP($B43,tbl_Bonds[Coupon],tbl_Bonds[Real Simulada])</f>
        <v>5.7677395986454938E-2</v>
      </c>
      <c r="M43" s="43">
        <f>_xlfn.XLOOKUP($B43,tbl_Bonds[Coupon],tbl_Bonds[Implícita Mercado])</f>
        <v>5.8093588183373734E-2</v>
      </c>
      <c r="N43" s="88">
        <v>0</v>
      </c>
      <c r="O43" s="43">
        <f>_xlfn.XLOOKUP($B43,tbl_Bonds[Coupon],tbl_Bonds[Implícita Simulada])</f>
        <v>5.8093588183373734E-2</v>
      </c>
      <c r="P43" s="20">
        <f t="shared" ca="1" si="0"/>
        <v>0</v>
      </c>
      <c r="Q43" s="20">
        <f t="shared" ca="1" si="1"/>
        <v>0</v>
      </c>
      <c r="R43" s="20">
        <f t="shared" ca="1" si="2"/>
        <v>0</v>
      </c>
    </row>
    <row r="44" spans="2:18">
      <c r="B44" s="30">
        <v>48351</v>
      </c>
      <c r="C44" s="56">
        <f>NETWORKDAYS(val_date,B44,feriados)-1</f>
        <v>2421</v>
      </c>
      <c r="D44" s="46">
        <f ca="1">SUMIF(tbl_Bonds[Coupon],$B44,INDIRECT("tbl_Bonds["&amp;D$4&amp;"]"))</f>
        <v>-1485.6135456693701</v>
      </c>
      <c r="E44" s="46">
        <f ca="1">SUMIF(tbl_Bonds[Coupon],$B44,INDIRECT("tbl_Bonds["&amp;E$4&amp;"]"))</f>
        <v>-1404.048555928435</v>
      </c>
      <c r="F44" s="46">
        <f ca="1">SUMIF(tbl_Bonds[Coupon],$B44,INDIRECT("tbl_Bonds["&amp;F$4&amp;"]"))</f>
        <v>1485.1423056393398</v>
      </c>
      <c r="G44" s="43">
        <f>_xlfn.XLOOKUP(B44,tbl_Bonds[Coupon],tbl_Bonds[Pré Mercado])</f>
        <v>0.11920554230632582</v>
      </c>
      <c r="H44" s="88">
        <v>0</v>
      </c>
      <c r="I44" s="43">
        <f>_xlfn.XLOOKUP(B44,tbl_Bonds[Coupon],tbl_Bonds[Pré Simulada])</f>
        <v>0.11920554230632582</v>
      </c>
      <c r="J44" s="43">
        <f>_xlfn.XLOOKUP($B44,tbl_Bonds[Coupon],tbl_Bonds[Real Mercado])</f>
        <v>5.7757126301591022E-2</v>
      </c>
      <c r="K44" s="88">
        <v>0</v>
      </c>
      <c r="L44" s="43">
        <f>_xlfn.XLOOKUP($B44,tbl_Bonds[Coupon],tbl_Bonds[Real Simulada])</f>
        <v>5.7757126301591022E-2</v>
      </c>
      <c r="M44" s="43">
        <f>_xlfn.XLOOKUP($B44,tbl_Bonds[Coupon],tbl_Bonds[Implícita Mercado])</f>
        <v>5.8093166894075399E-2</v>
      </c>
      <c r="N44" s="88">
        <v>0</v>
      </c>
      <c r="O44" s="43">
        <f>_xlfn.XLOOKUP($B44,tbl_Bonds[Coupon],tbl_Bonds[Implícita Simulada])</f>
        <v>5.8093166894075399E-2</v>
      </c>
      <c r="P44" s="20">
        <f t="shared" ca="1" si="0"/>
        <v>0</v>
      </c>
      <c r="Q44" s="20">
        <f t="shared" ca="1" si="1"/>
        <v>0</v>
      </c>
      <c r="R44" s="20">
        <f t="shared" ca="1" si="2"/>
        <v>0</v>
      </c>
    </row>
    <row r="45" spans="2:18">
      <c r="B45" s="30">
        <v>48442</v>
      </c>
      <c r="C45" s="56">
        <f>NETWORKDAYS(val_date,B45,feriados)-1</f>
        <v>2485</v>
      </c>
      <c r="D45" s="46">
        <f ca="1">SUMIF(tbl_Bonds[Coupon],$B45,INDIRECT("tbl_Bonds["&amp;D$4&amp;"]"))</f>
        <v>-31829.247574431221</v>
      </c>
      <c r="E45" s="46">
        <f ca="1">SUMIF(tbl_Bonds[Coupon],$B45,INDIRECT("tbl_Bonds["&amp;E$4&amp;"]"))</f>
        <v>-30081.765095210772</v>
      </c>
      <c r="F45" s="46">
        <f ca="1">SUMIF(tbl_Bonds[Coupon],$B45,INDIRECT("tbl_Bonds["&amp;F$4&amp;"]"))</f>
        <v>31821.553307635924</v>
      </c>
      <c r="G45" s="43">
        <f>_xlfn.XLOOKUP(B45,tbl_Bonds[Coupon],tbl_Bonds[Pré Mercado])</f>
        <v>0.11928663253884547</v>
      </c>
      <c r="H45" s="88">
        <v>0</v>
      </c>
      <c r="I45" s="43">
        <f>_xlfn.XLOOKUP(B45,tbl_Bonds[Coupon],tbl_Bonds[Pré Simulada])</f>
        <v>0.11928663253884547</v>
      </c>
      <c r="J45" s="43">
        <f>_xlfn.XLOOKUP($B45,tbl_Bonds[Coupon],tbl_Bonds[Real Mercado])</f>
        <v>5.7835355150152479E-2</v>
      </c>
      <c r="K45" s="88">
        <v>0</v>
      </c>
      <c r="L45" s="43">
        <f>_xlfn.XLOOKUP($B45,tbl_Bonds[Coupon],tbl_Bonds[Real Simulada])</f>
        <v>5.7835355150152479E-2</v>
      </c>
      <c r="M45" s="43">
        <f>_xlfn.XLOOKUP($B45,tbl_Bonds[Coupon],tbl_Bonds[Implícita Mercado])</f>
        <v>5.8091578017454903E-2</v>
      </c>
      <c r="N45" s="88">
        <v>0</v>
      </c>
      <c r="O45" s="43">
        <f>_xlfn.XLOOKUP($B45,tbl_Bonds[Coupon],tbl_Bonds[Implícita Simulada])</f>
        <v>5.8091578017454903E-2</v>
      </c>
      <c r="P45" s="20">
        <f t="shared" ca="1" si="0"/>
        <v>0</v>
      </c>
      <c r="Q45" s="20">
        <f t="shared" ca="1" si="1"/>
        <v>0</v>
      </c>
      <c r="R45" s="20">
        <f t="shared" ca="1" si="2"/>
        <v>0</v>
      </c>
    </row>
    <row r="46" spans="2:18">
      <c r="B46" s="30">
        <v>48534</v>
      </c>
      <c r="C46" s="56">
        <f>NETWORKDAYS(val_date,B46,feriados)-1</f>
        <v>2547</v>
      </c>
      <c r="D46" s="46">
        <f ca="1">SUMIF(tbl_Bonds[Coupon],$B46,INDIRECT("tbl_Bonds["&amp;D$4&amp;"]"))</f>
        <v>-1517.2624304845699</v>
      </c>
      <c r="E46" s="46">
        <f ca="1">SUMIF(tbl_Bonds[Coupon],$B46,INDIRECT("tbl_Bonds["&amp;E$4&amp;"]"))</f>
        <v>-1433.9638982585384</v>
      </c>
      <c r="F46" s="46">
        <f ca="1">SUMIF(tbl_Bonds[Coupon],$B46,INDIRECT("tbl_Bonds["&amp;F$4&amp;"]"))</f>
        <v>1517.0013220508079</v>
      </c>
      <c r="G46" s="43">
        <f>_xlfn.XLOOKUP(B46,tbl_Bonds[Coupon],tbl_Bonds[Pré Mercado])</f>
        <v>0.11936141271582239</v>
      </c>
      <c r="H46" s="88">
        <v>0</v>
      </c>
      <c r="I46" s="43">
        <f>_xlfn.XLOOKUP(B46,tbl_Bonds[Coupon],tbl_Bonds[Pré Simulada])</f>
        <v>0.11936141271582239</v>
      </c>
      <c r="J46" s="43">
        <f>_xlfn.XLOOKUP($B46,tbl_Bonds[Coupon],tbl_Bonds[Real Mercado])</f>
        <v>5.7907633774759049E-2</v>
      </c>
      <c r="K46" s="88">
        <v>0</v>
      </c>
      <c r="L46" s="43">
        <f>_xlfn.XLOOKUP($B46,tbl_Bonds[Coupon],tbl_Bonds[Real Simulada])</f>
        <v>5.7907633774759049E-2</v>
      </c>
      <c r="M46" s="43">
        <f>_xlfn.XLOOKUP($B46,tbl_Bonds[Coupon],tbl_Bonds[Implícita Mercado])</f>
        <v>5.8089951278503804E-2</v>
      </c>
      <c r="N46" s="88">
        <v>0</v>
      </c>
      <c r="O46" s="43">
        <f>_xlfn.XLOOKUP($B46,tbl_Bonds[Coupon],tbl_Bonds[Implícita Simulada])</f>
        <v>5.8089951278503804E-2</v>
      </c>
      <c r="P46" s="20">
        <f t="shared" ca="1" si="0"/>
        <v>0</v>
      </c>
      <c r="Q46" s="20">
        <f t="shared" ca="1" si="1"/>
        <v>0</v>
      </c>
      <c r="R46" s="20">
        <f t="shared" ca="1" si="2"/>
        <v>0</v>
      </c>
    </row>
    <row r="47" spans="2:18">
      <c r="B47" s="30">
        <v>48625</v>
      </c>
      <c r="C47" s="56">
        <f>NETWORKDAYS(val_date,B47,feriados)-1</f>
        <v>2612</v>
      </c>
      <c r="D47" s="46">
        <f ca="1">SUMIF(tbl_Bonds[Coupon],$B47,INDIRECT("tbl_Bonds["&amp;D$4&amp;"]"))</f>
        <v>-1529.0397694790759</v>
      </c>
      <c r="E47" s="46">
        <f ca="1">SUMIF(tbl_Bonds[Coupon],$B47,INDIRECT("tbl_Bonds["&amp;E$4&amp;"]"))</f>
        <v>-1445.0971852284451</v>
      </c>
      <c r="F47" s="46">
        <f ca="1">SUMIF(tbl_Bonds[Coupon],$B47,INDIRECT("tbl_Bonds["&amp;F$4&amp;"]"))</f>
        <v>1528.8839531182757</v>
      </c>
      <c r="G47" s="43">
        <f>_xlfn.XLOOKUP(B47,tbl_Bonds[Coupon],tbl_Bonds[Pré Mercado])</f>
        <v>0.11943608482042488</v>
      </c>
      <c r="H47" s="88">
        <v>0</v>
      </c>
      <c r="I47" s="43">
        <f>_xlfn.XLOOKUP(B47,tbl_Bonds[Coupon],tbl_Bonds[Pré Simulada])</f>
        <v>0.11943608482042488</v>
      </c>
      <c r="J47" s="43">
        <f>_xlfn.XLOOKUP($B47,tbl_Bonds[Coupon],tbl_Bonds[Real Mercado])</f>
        <v>5.7980046197837254E-2</v>
      </c>
      <c r="K47" s="88">
        <v>0</v>
      </c>
      <c r="L47" s="43">
        <f>_xlfn.XLOOKUP($B47,tbl_Bonds[Coupon],tbl_Bonds[Real Simulada])</f>
        <v>5.7980046197837254E-2</v>
      </c>
      <c r="M47" s="43">
        <f>_xlfn.XLOOKUP($B47,tbl_Bonds[Coupon],tbl_Bonds[Implícita Mercado])</f>
        <v>5.8088111866002823E-2</v>
      </c>
      <c r="N47" s="88">
        <v>0</v>
      </c>
      <c r="O47" s="43">
        <f>_xlfn.XLOOKUP($B47,tbl_Bonds[Coupon],tbl_Bonds[Implícita Simulada])</f>
        <v>5.8088111866002823E-2</v>
      </c>
      <c r="P47" s="20">
        <f t="shared" ca="1" si="0"/>
        <v>0</v>
      </c>
      <c r="Q47" s="20">
        <f t="shared" ca="1" si="1"/>
        <v>0</v>
      </c>
      <c r="R47" s="20">
        <f t="shared" ca="1" si="2"/>
        <v>0</v>
      </c>
    </row>
    <row r="48" spans="2:18">
      <c r="B48" s="30">
        <v>48715</v>
      </c>
      <c r="C48" s="56">
        <f>NETWORKDAYS(val_date,B48,feriados)-1</f>
        <v>2672</v>
      </c>
      <c r="D48" s="46">
        <f ca="1">SUMIF(tbl_Bonds[Coupon],$B48,INDIRECT("tbl_Bonds["&amp;D$4&amp;"]"))</f>
        <v>-1545.5904353795343</v>
      </c>
      <c r="E48" s="46">
        <f ca="1">SUMIF(tbl_Bonds[Coupon],$B48,INDIRECT("tbl_Bonds["&amp;E$4&amp;"]"))</f>
        <v>-1460.7408096711488</v>
      </c>
      <c r="F48" s="46">
        <f ca="1">SUMIF(tbl_Bonds[Coupon],$B48,INDIRECT("tbl_Bonds["&amp;F$4&amp;"]"))</f>
        <v>1545.5272387520538</v>
      </c>
      <c r="G48" s="43">
        <f>_xlfn.XLOOKUP(B48,tbl_Bonds[Coupon],tbl_Bonds[Pré Mercado])</f>
        <v>0.11950184550850161</v>
      </c>
      <c r="H48" s="88">
        <v>0</v>
      </c>
      <c r="I48" s="43">
        <f>_xlfn.XLOOKUP(B48,tbl_Bonds[Coupon],tbl_Bonds[Pré Simulada])</f>
        <v>0.11950184550850161</v>
      </c>
      <c r="J48" s="43">
        <f>_xlfn.XLOOKUP($B48,tbl_Bonds[Coupon],tbl_Bonds[Real Mercado])</f>
        <v>5.8043456490650902E-2</v>
      </c>
      <c r="K48" s="88">
        <v>0</v>
      </c>
      <c r="L48" s="43">
        <f>_xlfn.XLOOKUP($B48,tbl_Bonds[Coupon],tbl_Bonds[Real Simulada])</f>
        <v>5.8043456490650902E-2</v>
      </c>
      <c r="M48" s="43">
        <f>_xlfn.XLOOKUP($B48,tbl_Bonds[Coupon],tbl_Bonds[Implícita Mercado])</f>
        <v>5.8086840033223508E-2</v>
      </c>
      <c r="N48" s="88">
        <v>0</v>
      </c>
      <c r="O48" s="43">
        <f>_xlfn.XLOOKUP($B48,tbl_Bonds[Coupon],tbl_Bonds[Implícita Simulada])</f>
        <v>5.8086840033223508E-2</v>
      </c>
      <c r="P48" s="20">
        <f t="shared" ca="1" si="0"/>
        <v>0</v>
      </c>
      <c r="Q48" s="20">
        <f t="shared" ca="1" si="1"/>
        <v>0</v>
      </c>
      <c r="R48" s="20">
        <f t="shared" ca="1" si="2"/>
        <v>0</v>
      </c>
    </row>
    <row r="49" spans="2:18">
      <c r="B49" s="30">
        <v>48806</v>
      </c>
      <c r="C49" s="56">
        <f>NETWORKDAYS(val_date,B49,feriados)-1</f>
        <v>2736</v>
      </c>
      <c r="D49" s="46">
        <f ca="1">SUMIF(tbl_Bonds[Coupon],$B49,INDIRECT("tbl_Bonds["&amp;D$4&amp;"]"))</f>
        <v>-1555.594394083181</v>
      </c>
      <c r="E49" s="46">
        <f ca="1">SUMIF(tbl_Bonds[Coupon],$B49,INDIRECT("tbl_Bonds["&amp;E$4&amp;"]"))</f>
        <v>-1470.1967366878403</v>
      </c>
      <c r="F49" s="46">
        <f ca="1">SUMIF(tbl_Bonds[Coupon],$B49,INDIRECT("tbl_Bonds["&amp;F$4&amp;"]"))</f>
        <v>1555.6263393858835</v>
      </c>
      <c r="G49" s="43">
        <f>_xlfn.XLOOKUP(B49,tbl_Bonds[Coupon],tbl_Bonds[Pré Mercado])</f>
        <v>0.11956885530821211</v>
      </c>
      <c r="H49" s="88">
        <v>0</v>
      </c>
      <c r="I49" s="43">
        <f>_xlfn.XLOOKUP(B49,tbl_Bonds[Coupon],tbl_Bonds[Pré Simulada])</f>
        <v>0.11956885530821211</v>
      </c>
      <c r="J49" s="43">
        <f>_xlfn.XLOOKUP($B49,tbl_Bonds[Coupon],tbl_Bonds[Real Mercado])</f>
        <v>5.810761154270061E-2</v>
      </c>
      <c r="K49" s="88">
        <v>0</v>
      </c>
      <c r="L49" s="43">
        <f>_xlfn.XLOOKUP($B49,tbl_Bonds[Coupon],tbl_Bonds[Real Simulada])</f>
        <v>5.810761154270061E-2</v>
      </c>
      <c r="M49" s="43">
        <f>_xlfn.XLOOKUP($B49,tbl_Bonds[Coupon],tbl_Bonds[Implícita Mercado])</f>
        <v>5.8086017122378264E-2</v>
      </c>
      <c r="N49" s="88">
        <v>0</v>
      </c>
      <c r="O49" s="43">
        <f>_xlfn.XLOOKUP($B49,tbl_Bonds[Coupon],tbl_Bonds[Implícita Simulada])</f>
        <v>5.8086017122378264E-2</v>
      </c>
      <c r="P49" s="20">
        <f t="shared" ca="1" si="0"/>
        <v>0</v>
      </c>
      <c r="Q49" s="20">
        <f t="shared" ca="1" si="1"/>
        <v>0</v>
      </c>
      <c r="R49" s="20">
        <f t="shared" ca="1" si="2"/>
        <v>0</v>
      </c>
    </row>
    <row r="50" spans="2:18">
      <c r="B50" s="30">
        <v>48899</v>
      </c>
      <c r="C50" s="56">
        <f>NETWORKDAYS(val_date,B50,feriados)-1</f>
        <v>2799</v>
      </c>
      <c r="D50" s="46">
        <f ca="1">SUMIF(tbl_Bonds[Coupon],$B50,INDIRECT("tbl_Bonds["&amp;D$4&amp;"]"))</f>
        <v>-1571.4368433676127</v>
      </c>
      <c r="E50" s="46">
        <f ca="1">SUMIF(tbl_Bonds[Coupon],$B50,INDIRECT("tbl_Bonds["&amp;E$4&amp;"]"))</f>
        <v>-1485.1694507890468</v>
      </c>
      <c r="F50" s="46">
        <f ca="1">SUMIF(tbl_Bonds[Coupon],$B50,INDIRECT("tbl_Bonds["&amp;F$4&amp;"]"))</f>
        <v>1571.5575982670464</v>
      </c>
      <c r="G50" s="43">
        <f>_xlfn.XLOOKUP(B50,tbl_Bonds[Coupon],tbl_Bonds[Pré Mercado])</f>
        <v>0.11963185756408813</v>
      </c>
      <c r="H50" s="88">
        <v>0</v>
      </c>
      <c r="I50" s="43">
        <f>_xlfn.XLOOKUP(B50,tbl_Bonds[Coupon],tbl_Bonds[Pré Simulada])</f>
        <v>0.11963185756408813</v>
      </c>
      <c r="J50" s="43">
        <f>_xlfn.XLOOKUP($B50,tbl_Bonds[Coupon],tbl_Bonds[Real Mercado])</f>
        <v>5.8167204978008868E-2</v>
      </c>
      <c r="K50" s="88">
        <v>0</v>
      </c>
      <c r="L50" s="43">
        <f>_xlfn.XLOOKUP($B50,tbl_Bonds[Coupon],tbl_Bonds[Real Simulada])</f>
        <v>5.8167204978008868E-2</v>
      </c>
      <c r="M50" s="43">
        <f>_xlfn.XLOOKUP($B50,tbl_Bonds[Coupon],tbl_Bonds[Implícita Mercado])</f>
        <v>5.8085960589666641E-2</v>
      </c>
      <c r="N50" s="88">
        <v>0</v>
      </c>
      <c r="O50" s="43">
        <f>_xlfn.XLOOKUP($B50,tbl_Bonds[Coupon],tbl_Bonds[Implícita Simulada])</f>
        <v>5.8085960589666641E-2</v>
      </c>
      <c r="P50" s="20">
        <f t="shared" ca="1" si="0"/>
        <v>0</v>
      </c>
      <c r="Q50" s="20">
        <f t="shared" ca="1" si="1"/>
        <v>0</v>
      </c>
      <c r="R50" s="20">
        <f t="shared" ca="1" si="2"/>
        <v>0</v>
      </c>
    </row>
    <row r="51" spans="2:18">
      <c r="B51" s="30">
        <v>48990</v>
      </c>
      <c r="C51" s="56">
        <f>NETWORKDAYS(val_date,B51,feriados)-1</f>
        <v>2864</v>
      </c>
      <c r="D51" s="46">
        <f ca="1">SUMIF(tbl_Bonds[Coupon],$B51,INDIRECT("tbl_Bonds["&amp;D$4&amp;"]"))</f>
        <v>-1580.1485393310882</v>
      </c>
      <c r="E51" s="46">
        <f ca="1">SUMIF(tbl_Bonds[Coupon],$B51,INDIRECT("tbl_Bonds["&amp;E$4&amp;"]"))</f>
        <v>-1493.4016210539421</v>
      </c>
      <c r="F51" s="46">
        <f ca="1">SUMIF(tbl_Bonds[Coupon],$B51,INDIRECT("tbl_Bonds["&amp;F$4&amp;"]"))</f>
        <v>1580.3549339971205</v>
      </c>
      <c r="G51" s="43">
        <f>_xlfn.XLOOKUP(B51,tbl_Bonds[Coupon],tbl_Bonds[Pré Mercado])</f>
        <v>0.11969397895680058</v>
      </c>
      <c r="H51" s="88">
        <v>0</v>
      </c>
      <c r="I51" s="43">
        <f>_xlfn.XLOOKUP(B51,tbl_Bonds[Coupon],tbl_Bonds[Pré Simulada])</f>
        <v>0.11969397895680058</v>
      </c>
      <c r="J51" s="43">
        <f>_xlfn.XLOOKUP($B51,tbl_Bonds[Coupon],tbl_Bonds[Real Mercado])</f>
        <v>5.8225008086649765E-2</v>
      </c>
      <c r="K51" s="88">
        <v>0</v>
      </c>
      <c r="L51" s="43">
        <f>_xlfn.XLOOKUP($B51,tbl_Bonds[Coupon],tbl_Bonds[Real Simulada])</f>
        <v>5.8225008086649765E-2</v>
      </c>
      <c r="M51" s="43">
        <f>_xlfn.XLOOKUP($B51,tbl_Bonds[Coupon],tbl_Bonds[Implícita Mercado])</f>
        <v>5.8086868517013501E-2</v>
      </c>
      <c r="N51" s="88">
        <v>0</v>
      </c>
      <c r="O51" s="43">
        <f>_xlfn.XLOOKUP($B51,tbl_Bonds[Coupon],tbl_Bonds[Implícita Simulada])</f>
        <v>5.8086868517013501E-2</v>
      </c>
      <c r="P51" s="20">
        <f t="shared" ca="1" si="0"/>
        <v>0</v>
      </c>
      <c r="Q51" s="20">
        <f t="shared" ca="1" si="1"/>
        <v>0</v>
      </c>
      <c r="R51" s="20">
        <f t="shared" ca="1" si="2"/>
        <v>0</v>
      </c>
    </row>
    <row r="52" spans="2:18">
      <c r="B52" s="30">
        <v>49079</v>
      </c>
      <c r="C52" s="56">
        <f>NETWORKDAYS(val_date,B52,feriados)-1</f>
        <v>2922</v>
      </c>
      <c r="D52" s="46">
        <f ca="1">SUMIF(tbl_Bonds[Coupon],$B52,INDIRECT("tbl_Bonds["&amp;D$4&amp;"]"))</f>
        <v>-1593.8209088512676</v>
      </c>
      <c r="E52" s="46">
        <f ca="1">SUMIF(tbl_Bonds[Coupon],$B52,INDIRECT("tbl_Bonds["&amp;E$4&amp;"]"))</f>
        <v>-1506.3210445692303</v>
      </c>
      <c r="F52" s="46">
        <f ca="1">SUMIF(tbl_Bonds[Coupon],$B52,INDIRECT("tbl_Bonds["&amp;F$4&amp;"]"))</f>
        <v>1594.0997686369692</v>
      </c>
      <c r="G52" s="43">
        <f>_xlfn.XLOOKUP(B52,tbl_Bonds[Coupon],tbl_Bonds[Pré Mercado])</f>
        <v>0.11974709192095902</v>
      </c>
      <c r="H52" s="88">
        <v>0</v>
      </c>
      <c r="I52" s="43">
        <f>_xlfn.XLOOKUP(B52,tbl_Bonds[Coupon],tbl_Bonds[Pré Simulada])</f>
        <v>0.11974709192095902</v>
      </c>
      <c r="J52" s="43">
        <f>_xlfn.XLOOKUP($B52,tbl_Bonds[Coupon],tbl_Bonds[Real Mercado])</f>
        <v>5.8273585043413068E-2</v>
      </c>
      <c r="K52" s="88">
        <v>0</v>
      </c>
      <c r="L52" s="43">
        <f>_xlfn.XLOOKUP($B52,tbl_Bonds[Coupon],tbl_Bonds[Real Simulada])</f>
        <v>5.8273585043413068E-2</v>
      </c>
      <c r="M52" s="43">
        <f>_xlfn.XLOOKUP($B52,tbl_Bonds[Coupon],tbl_Bonds[Implícita Mercado])</f>
        <v>5.8088485012417923E-2</v>
      </c>
      <c r="N52" s="88">
        <v>0</v>
      </c>
      <c r="O52" s="43">
        <f>_xlfn.XLOOKUP($B52,tbl_Bonds[Coupon],tbl_Bonds[Implícita Simulada])</f>
        <v>5.8088485012417923E-2</v>
      </c>
      <c r="P52" s="20">
        <f t="shared" ca="1" si="0"/>
        <v>0</v>
      </c>
      <c r="Q52" s="20">
        <f t="shared" ca="1" si="1"/>
        <v>0</v>
      </c>
      <c r="R52" s="20">
        <f t="shared" ca="1" si="2"/>
        <v>0</v>
      </c>
    </row>
    <row r="53" spans="2:18">
      <c r="B53" s="30">
        <v>49171</v>
      </c>
      <c r="C53" s="56">
        <f>NETWORKDAYS(val_date,B53,feriados)-1</f>
        <v>2987</v>
      </c>
      <c r="D53" s="46">
        <f ca="1">SUMIF(tbl_Bonds[Coupon],$B53,INDIRECT("tbl_Bonds["&amp;D$4&amp;"]"))</f>
        <v>-1601.1755880656401</v>
      </c>
      <c r="E53" s="46">
        <f ca="1">SUMIF(tbl_Bonds[Coupon],$B53,INDIRECT("tbl_Bonds["&amp;E$4&amp;"]"))</f>
        <v>-1513.2676111339424</v>
      </c>
      <c r="F53" s="46">
        <f ca="1">SUMIF(tbl_Bonds[Coupon],$B53,INDIRECT("tbl_Bonds["&amp;F$4&amp;"]"))</f>
        <v>1601.5281725240911</v>
      </c>
      <c r="G53" s="43">
        <f>_xlfn.XLOOKUP(B53,tbl_Bonds[Coupon],tbl_Bonds[Pré Mercado])</f>
        <v>0.11980417582365722</v>
      </c>
      <c r="H53" s="88">
        <v>0</v>
      </c>
      <c r="I53" s="43">
        <f>_xlfn.XLOOKUP(B53,tbl_Bonds[Coupon],tbl_Bonds[Pré Simulada])</f>
        <v>0.11980417582365722</v>
      </c>
      <c r="J53" s="43">
        <f>_xlfn.XLOOKUP($B53,tbl_Bonds[Coupon],tbl_Bonds[Real Mercado])</f>
        <v>5.8324492388269089E-2</v>
      </c>
      <c r="K53" s="88">
        <v>0</v>
      </c>
      <c r="L53" s="43">
        <f>_xlfn.XLOOKUP($B53,tbl_Bonds[Coupon],tbl_Bonds[Real Simulada])</f>
        <v>5.8324492388269089E-2</v>
      </c>
      <c r="M53" s="43">
        <f>_xlfn.XLOOKUP($B53,tbl_Bonds[Coupon],tbl_Bonds[Implícita Mercado])</f>
        <v>5.809152730404965E-2</v>
      </c>
      <c r="N53" s="88">
        <v>0</v>
      </c>
      <c r="O53" s="43">
        <f>_xlfn.XLOOKUP($B53,tbl_Bonds[Coupon],tbl_Bonds[Implícita Simulada])</f>
        <v>5.809152730404965E-2</v>
      </c>
      <c r="P53" s="20">
        <f t="shared" ca="1" si="0"/>
        <v>0</v>
      </c>
      <c r="Q53" s="20">
        <f t="shared" ca="1" si="1"/>
        <v>0</v>
      </c>
      <c r="R53" s="20">
        <f t="shared" ca="1" si="2"/>
        <v>0</v>
      </c>
    </row>
    <row r="54" spans="2:18">
      <c r="B54" s="30">
        <v>49264</v>
      </c>
      <c r="C54" s="56">
        <f>NETWORKDAYS(val_date,B54,feriados)-1</f>
        <v>3050</v>
      </c>
      <c r="D54" s="46">
        <f ca="1">SUMIF(tbl_Bonds[Coupon],$B54,INDIRECT("tbl_Bonds["&amp;D$4&amp;"]"))</f>
        <v>-1614.5168458964602</v>
      </c>
      <c r="E54" s="46">
        <f ca="1">SUMIF(tbl_Bonds[Coupon],$B54,INDIRECT("tbl_Bonds["&amp;E$4&amp;"]"))</f>
        <v>-1525.8708058725199</v>
      </c>
      <c r="F54" s="46">
        <f ca="1">SUMIF(tbl_Bonds[Coupon],$B54,INDIRECT("tbl_Bonds["&amp;F$4&amp;"]"))</f>
        <v>1614.9370017612951</v>
      </c>
      <c r="G54" s="43">
        <f>_xlfn.XLOOKUP(B54,tbl_Bonds[Coupon],tbl_Bonds[Pré Mercado])</f>
        <v>0.11985718969671773</v>
      </c>
      <c r="H54" s="88">
        <v>0</v>
      </c>
      <c r="I54" s="43">
        <f>_xlfn.XLOOKUP(B54,tbl_Bonds[Coupon],tbl_Bonds[Pré Simulada])</f>
        <v>0.11985718969671773</v>
      </c>
      <c r="J54" s="43">
        <f>_xlfn.XLOOKUP($B54,tbl_Bonds[Coupon],tbl_Bonds[Real Mercado])</f>
        <v>5.8370732786934276E-2</v>
      </c>
      <c r="K54" s="88">
        <v>0</v>
      </c>
      <c r="L54" s="43">
        <f>_xlfn.XLOOKUP($B54,tbl_Bonds[Coupon],tbl_Bonds[Real Simulada])</f>
        <v>5.8370732786934276E-2</v>
      </c>
      <c r="M54" s="43">
        <f>_xlfn.XLOOKUP($B54,tbl_Bonds[Coupon],tbl_Bonds[Implícita Mercado])</f>
        <v>5.8095387399661913E-2</v>
      </c>
      <c r="N54" s="88">
        <v>0</v>
      </c>
      <c r="O54" s="43">
        <f>_xlfn.XLOOKUP($B54,tbl_Bonds[Coupon],tbl_Bonds[Implícita Simulada])</f>
        <v>5.8095387399661913E-2</v>
      </c>
      <c r="P54" s="20">
        <f t="shared" ca="1" si="0"/>
        <v>0</v>
      </c>
      <c r="Q54" s="20">
        <f t="shared" ca="1" si="1"/>
        <v>0</v>
      </c>
      <c r="R54" s="20">
        <f t="shared" ca="1" si="2"/>
        <v>0</v>
      </c>
    </row>
    <row r="55" spans="2:18">
      <c r="B55" s="30">
        <v>49355</v>
      </c>
      <c r="C55" s="56">
        <f>NETWORKDAYS(val_date,B55,feriados)-1</f>
        <v>3111</v>
      </c>
      <c r="D55" s="46">
        <f ca="1">SUMIF(tbl_Bonds[Coupon],$B55,INDIRECT("tbl_Bonds["&amp;D$4&amp;"]"))</f>
        <v>-1619.9764914324419</v>
      </c>
      <c r="E55" s="46">
        <f ca="1">SUMIF(tbl_Bonds[Coupon],$B55,INDIRECT("tbl_Bonds["&amp;E$4&amp;"]"))</f>
        <v>-1531.0234705255152</v>
      </c>
      <c r="F55" s="46">
        <f ca="1">SUMIF(tbl_Bonds[Coupon],$B55,INDIRECT("tbl_Bonds["&amp;F$4&amp;"]"))</f>
        <v>1620.4541148397682</v>
      </c>
      <c r="G55" s="43">
        <f>_xlfn.XLOOKUP(B55,tbl_Bonds[Coupon],tbl_Bonds[Pré Mercado])</f>
        <v>0.1199064799245569</v>
      </c>
      <c r="H55" s="88">
        <v>0</v>
      </c>
      <c r="I55" s="43">
        <f>_xlfn.XLOOKUP(B55,tbl_Bonds[Coupon],tbl_Bonds[Pré Simulada])</f>
        <v>0.1199064799245569</v>
      </c>
      <c r="J55" s="43">
        <f>_xlfn.XLOOKUP($B55,tbl_Bonds[Coupon],tbl_Bonds[Real Mercado])</f>
        <v>5.8412328241514766E-2</v>
      </c>
      <c r="K55" s="88">
        <v>0</v>
      </c>
      <c r="L55" s="43">
        <f>_xlfn.XLOOKUP($B55,tbl_Bonds[Coupon],tbl_Bonds[Real Simulada])</f>
        <v>5.8412328241514766E-2</v>
      </c>
      <c r="M55" s="43">
        <f>_xlfn.XLOOKUP($B55,tbl_Bonds[Coupon],tbl_Bonds[Implícita Mercado])</f>
        <v>5.810037436798976E-2</v>
      </c>
      <c r="N55" s="88">
        <v>0</v>
      </c>
      <c r="O55" s="43">
        <f>_xlfn.XLOOKUP($B55,tbl_Bonds[Coupon],tbl_Bonds[Implícita Simulada])</f>
        <v>5.810037436798976E-2</v>
      </c>
      <c r="P55" s="20">
        <f t="shared" ca="1" si="0"/>
        <v>0</v>
      </c>
      <c r="Q55" s="20">
        <f t="shared" ca="1" si="1"/>
        <v>0</v>
      </c>
      <c r="R55" s="20">
        <f t="shared" ca="1" si="2"/>
        <v>0</v>
      </c>
    </row>
    <row r="56" spans="2:18">
      <c r="B56" s="30">
        <v>49444</v>
      </c>
      <c r="C56" s="56">
        <f>NETWORKDAYS(val_date,B56,feriados)-1</f>
        <v>3172</v>
      </c>
      <c r="D56" s="46">
        <f ca="1">SUMIF(tbl_Bonds[Coupon],$B56,INDIRECT("tbl_Bonds["&amp;D$4&amp;"]"))</f>
        <v>-10076.289748281435</v>
      </c>
      <c r="E56" s="46">
        <f ca="1">SUMIF(tbl_Bonds[Coupon],$B56,INDIRECT("tbl_Bonds["&amp;E$4&amp;"]"))</f>
        <v>-9522.9484102576316</v>
      </c>
      <c r="F56" s="46">
        <f ca="1">SUMIF(tbl_Bonds[Coupon],$B56,INDIRECT("tbl_Bonds["&amp;F$4&amp;"]"))</f>
        <v>10079.578089895815</v>
      </c>
      <c r="G56" s="43">
        <f>_xlfn.XLOOKUP(B56,tbl_Bonds[Coupon],tbl_Bonds[Pré Mercado])</f>
        <v>0.11995387783157511</v>
      </c>
      <c r="H56" s="88">
        <v>0</v>
      </c>
      <c r="I56" s="43">
        <f>_xlfn.XLOOKUP(B56,tbl_Bonds[Coupon],tbl_Bonds[Pré Simulada])</f>
        <v>0.11995387783157511</v>
      </c>
      <c r="J56" s="43">
        <f>_xlfn.XLOOKUP($B56,tbl_Bonds[Coupon],tbl_Bonds[Real Mercado])</f>
        <v>5.845140132792781E-2</v>
      </c>
      <c r="K56" s="88">
        <v>0</v>
      </c>
      <c r="L56" s="43">
        <f>_xlfn.XLOOKUP($B56,tbl_Bonds[Coupon],tbl_Bonds[Real Simulada])</f>
        <v>5.845140132792781E-2</v>
      </c>
      <c r="M56" s="43">
        <f>_xlfn.XLOOKUP($B56,tbl_Bonds[Coupon],tbl_Bonds[Implícita Mercado])</f>
        <v>5.8106093860155639E-2</v>
      </c>
      <c r="N56" s="88">
        <v>0</v>
      </c>
      <c r="O56" s="43">
        <f>_xlfn.XLOOKUP($B56,tbl_Bonds[Coupon],tbl_Bonds[Implícita Simulada])</f>
        <v>5.8106093860155639E-2</v>
      </c>
      <c r="P56" s="20">
        <f t="shared" ca="1" si="0"/>
        <v>0</v>
      </c>
      <c r="Q56" s="20">
        <f t="shared" ca="1" si="1"/>
        <v>0</v>
      </c>
      <c r="R56" s="20">
        <f t="shared" ca="1" si="2"/>
        <v>0</v>
      </c>
    </row>
    <row r="57" spans="2:18">
      <c r="B57" s="30">
        <v>49536</v>
      </c>
      <c r="C57" s="56">
        <f>NETWORKDAYS(val_date,B57,feriados)-1</f>
        <v>3237</v>
      </c>
      <c r="D57" s="46">
        <f ca="1">SUMIF(tbl_Bonds[Coupon],$B57,INDIRECT("tbl_Bonds["&amp;D$4&amp;"]"))</f>
        <v>-1636.757647279265</v>
      </c>
      <c r="E57" s="46">
        <f ca="1">SUMIF(tbl_Bonds[Coupon],$B57,INDIRECT("tbl_Bonds["&amp;E$4&amp;"]"))</f>
        <v>-1546.8637277638375</v>
      </c>
      <c r="F57" s="46">
        <f ca="1">SUMIF(tbl_Bonds[Coupon],$B57,INDIRECT("tbl_Bonds["&amp;F$4&amp;"]"))</f>
        <v>1637.339333985316</v>
      </c>
      <c r="G57" s="43">
        <f>_xlfn.XLOOKUP(B57,tbl_Bonds[Coupon],tbl_Bonds[Pré Mercado])</f>
        <v>0.12000242022926019</v>
      </c>
      <c r="H57" s="88">
        <v>0</v>
      </c>
      <c r="I57" s="43">
        <f>_xlfn.XLOOKUP(B57,tbl_Bonds[Coupon],tbl_Bonds[Pré Simulada])</f>
        <v>0.12000242022926019</v>
      </c>
      <c r="J57" s="43">
        <f>_xlfn.XLOOKUP($B57,tbl_Bonds[Coupon],tbl_Bonds[Real Mercado])</f>
        <v>5.8489706848831924E-2</v>
      </c>
      <c r="K57" s="88">
        <v>0</v>
      </c>
      <c r="L57" s="43">
        <f>_xlfn.XLOOKUP($B57,tbl_Bonds[Coupon],tbl_Bonds[Real Simulada])</f>
        <v>5.8489706848831924E-2</v>
      </c>
      <c r="M57" s="43">
        <f>_xlfn.XLOOKUP($B57,tbl_Bonds[Coupon],tbl_Bonds[Implícita Mercado])</f>
        <v>5.8113662146890954E-2</v>
      </c>
      <c r="N57" s="88">
        <v>0</v>
      </c>
      <c r="O57" s="43">
        <f>_xlfn.XLOOKUP($B57,tbl_Bonds[Coupon],tbl_Bonds[Implícita Simulada])</f>
        <v>5.8113662146890954E-2</v>
      </c>
      <c r="P57" s="20">
        <f t="shared" ca="1" si="0"/>
        <v>0</v>
      </c>
      <c r="Q57" s="20">
        <f t="shared" ca="1" si="1"/>
        <v>0</v>
      </c>
      <c r="R57" s="20">
        <f t="shared" ca="1" si="2"/>
        <v>0</v>
      </c>
    </row>
    <row r="58" spans="2:18">
      <c r="B58" s="30">
        <v>49629</v>
      </c>
      <c r="C58" s="56">
        <f>NETWORKDAYS(val_date,B58,feriados)-1</f>
        <v>3300</v>
      </c>
      <c r="D58" s="46">
        <f ca="1">SUMIF(tbl_Bonds[Coupon],$B58,INDIRECT("tbl_Bonds["&amp;D$4&amp;"]"))</f>
        <v>-1395.7977927351562</v>
      </c>
      <c r="E58" s="46">
        <f ca="1">SUMIF(tbl_Bonds[Coupon],$B58,INDIRECT("tbl_Bonds["&amp;E$4&amp;"]"))</f>
        <v>-1319.127800360829</v>
      </c>
      <c r="F58" s="46">
        <f ca="1">SUMIF(tbl_Bonds[Coupon],$B58,INDIRECT("tbl_Bonds["&amp;F$4&amp;"]"))</f>
        <v>1396.3289384491732</v>
      </c>
      <c r="G58" s="43">
        <f>_xlfn.XLOOKUP(B58,tbl_Bonds[Coupon],tbl_Bonds[Pré Mercado])</f>
        <v>0.12004764540153573</v>
      </c>
      <c r="H58" s="88">
        <v>0</v>
      </c>
      <c r="I58" s="43">
        <f>_xlfn.XLOOKUP(B58,tbl_Bonds[Coupon],tbl_Bonds[Pré Simulada])</f>
        <v>0.12004764540153573</v>
      </c>
      <c r="J58" s="43">
        <f>_xlfn.XLOOKUP($B58,tbl_Bonds[Coupon],tbl_Bonds[Real Mercado])</f>
        <v>5.8524380683759647E-2</v>
      </c>
      <c r="K58" s="88">
        <v>0</v>
      </c>
      <c r="L58" s="43">
        <f>_xlfn.XLOOKUP($B58,tbl_Bonds[Coupon],tbl_Bonds[Real Simulada])</f>
        <v>5.8524380683759647E-2</v>
      </c>
      <c r="M58" s="43">
        <f>_xlfn.XLOOKUP($B58,tbl_Bonds[Coupon],tbl_Bonds[Implícita Mercado])</f>
        <v>5.8121726259442674E-2</v>
      </c>
      <c r="N58" s="88">
        <v>0</v>
      </c>
      <c r="O58" s="43">
        <f>_xlfn.XLOOKUP($B58,tbl_Bonds[Coupon],tbl_Bonds[Implícita Simulada])</f>
        <v>5.8121726259442674E-2</v>
      </c>
      <c r="P58" s="20">
        <f t="shared" ca="1" si="0"/>
        <v>0</v>
      </c>
      <c r="Q58" s="20">
        <f t="shared" ca="1" si="1"/>
        <v>0</v>
      </c>
      <c r="R58" s="20">
        <f t="shared" ca="1" si="2"/>
        <v>0</v>
      </c>
    </row>
    <row r="59" spans="2:18">
      <c r="B59" s="30">
        <v>49720</v>
      </c>
      <c r="C59" s="56">
        <f>NETWORKDAYS(val_date,B59,feriados)-1</f>
        <v>3363</v>
      </c>
      <c r="D59" s="46">
        <f ca="1">SUMIF(tbl_Bonds[Coupon],$B59,INDIRECT("tbl_Bonds["&amp;D$4&amp;"]"))</f>
        <v>-1651.3313728720354</v>
      </c>
      <c r="E59" s="46">
        <f ca="1">SUMIF(tbl_Bonds[Coupon],$B59,INDIRECT("tbl_Bonds["&amp;E$4&amp;"]"))</f>
        <v>-1560.6113017657383</v>
      </c>
      <c r="F59" s="46">
        <f ca="1">SUMIF(tbl_Bonds[Coupon],$B59,INDIRECT("tbl_Bonds["&amp;F$4&amp;"]"))</f>
        <v>1651.9946753042002</v>
      </c>
      <c r="G59" s="43">
        <f>_xlfn.XLOOKUP(B59,tbl_Bonds[Coupon],tbl_Bonds[Pré Mercado])</f>
        <v>0.1200911767032468</v>
      </c>
      <c r="H59" s="88">
        <v>0</v>
      </c>
      <c r="I59" s="43">
        <f>_xlfn.XLOOKUP(B59,tbl_Bonds[Coupon],tbl_Bonds[Pré Simulada])</f>
        <v>0.1200911767032468</v>
      </c>
      <c r="J59" s="43">
        <f>_xlfn.XLOOKUP($B59,tbl_Bonds[Coupon],tbl_Bonds[Real Mercado])</f>
        <v>5.8556139186790812E-2</v>
      </c>
      <c r="K59" s="88">
        <v>0</v>
      </c>
      <c r="L59" s="43">
        <f>_xlfn.XLOOKUP($B59,tbl_Bonds[Coupon],tbl_Bonds[Real Simulada])</f>
        <v>5.8556139186790812E-2</v>
      </c>
      <c r="M59" s="43">
        <f>_xlfn.XLOOKUP($B59,tbl_Bonds[Coupon],tbl_Bonds[Implícita Mercado])</f>
        <v>5.8131103872528289E-2</v>
      </c>
      <c r="N59" s="88">
        <v>0</v>
      </c>
      <c r="O59" s="43">
        <f>_xlfn.XLOOKUP($B59,tbl_Bonds[Coupon],tbl_Bonds[Implícita Simulada])</f>
        <v>5.8131103872528289E-2</v>
      </c>
      <c r="P59" s="20">
        <f t="shared" ca="1" si="0"/>
        <v>0</v>
      </c>
      <c r="Q59" s="20">
        <f t="shared" ca="1" si="1"/>
        <v>0</v>
      </c>
      <c r="R59" s="20">
        <f t="shared" ca="1" si="2"/>
        <v>0</v>
      </c>
    </row>
    <row r="60" spans="2:18">
      <c r="B60" s="30">
        <v>49810</v>
      </c>
      <c r="C60" s="56">
        <f>NETWORKDAYS(val_date,B60,feriados)-1</f>
        <v>3422</v>
      </c>
      <c r="D60" s="46">
        <f ca="1">SUMIF(tbl_Bonds[Coupon],$B60,INDIRECT("tbl_Bonds["&amp;D$4&amp;"]"))</f>
        <v>-1406.9336633490764</v>
      </c>
      <c r="E60" s="46">
        <f ca="1">SUMIF(tbl_Bonds[Coupon],$B60,INDIRECT("tbl_Bonds["&amp;E$4&amp;"]"))</f>
        <v>-1329.6285248259087</v>
      </c>
      <c r="F60" s="46">
        <f ca="1">SUMIF(tbl_Bonds[Coupon],$B60,INDIRECT("tbl_Bonds["&amp;F$4&amp;"]"))</f>
        <v>1407.5234792521078</v>
      </c>
      <c r="G60" s="43">
        <f>_xlfn.XLOOKUP(B60,tbl_Bonds[Coupon],tbl_Bonds[Pré Mercado])</f>
        <v>0.12013049074279633</v>
      </c>
      <c r="H60" s="88">
        <v>0</v>
      </c>
      <c r="I60" s="43">
        <f>_xlfn.XLOOKUP(B60,tbl_Bonds[Coupon],tbl_Bonds[Pré Simulada])</f>
        <v>0.12013049074279633</v>
      </c>
      <c r="J60" s="43">
        <f>_xlfn.XLOOKUP($B60,tbl_Bonds[Coupon],tbl_Bonds[Real Mercado])</f>
        <v>5.8583997211028471E-2</v>
      </c>
      <c r="K60" s="88">
        <v>0</v>
      </c>
      <c r="L60" s="43">
        <f>_xlfn.XLOOKUP($B60,tbl_Bonds[Coupon],tbl_Bonds[Real Simulada])</f>
        <v>5.8583997211028471E-2</v>
      </c>
      <c r="M60" s="43">
        <f>_xlfn.XLOOKUP($B60,tbl_Bonds[Coupon],tbl_Bonds[Implícita Mercado])</f>
        <v>5.8140396215799139E-2</v>
      </c>
      <c r="N60" s="88">
        <v>0</v>
      </c>
      <c r="O60" s="43">
        <f>_xlfn.XLOOKUP($B60,tbl_Bonds[Coupon],tbl_Bonds[Implícita Simulada])</f>
        <v>5.8140396215799139E-2</v>
      </c>
      <c r="P60" s="20">
        <f t="shared" ca="1" si="0"/>
        <v>0</v>
      </c>
      <c r="Q60" s="20">
        <f t="shared" ca="1" si="1"/>
        <v>0</v>
      </c>
      <c r="R60" s="20">
        <f t="shared" ca="1" si="2"/>
        <v>0</v>
      </c>
    </row>
    <row r="61" spans="2:18">
      <c r="B61" s="30">
        <v>49902</v>
      </c>
      <c r="C61" s="56">
        <f>NETWORKDAYS(val_date,B61,feriados)-1</f>
        <v>3487</v>
      </c>
      <c r="D61" s="46">
        <f ca="1">SUMIF(tbl_Bonds[Coupon],$B61,INDIRECT("tbl_Bonds["&amp;D$4&amp;"]"))</f>
        <v>-1663.6399079649862</v>
      </c>
      <c r="E61" s="46">
        <f ca="1">SUMIF(tbl_Bonds[Coupon],$B61,INDIRECT("tbl_Bonds["&amp;E$4&amp;"]"))</f>
        <v>-1572.2125757805779</v>
      </c>
      <c r="F61" s="46">
        <f ca="1">SUMIF(tbl_Bonds[Coupon],$B61,INDIRECT("tbl_Bonds["&amp;F$4&amp;"]"))</f>
        <v>1664.3628793053349</v>
      </c>
      <c r="G61" s="43">
        <f>_xlfn.XLOOKUP(B61,tbl_Bonds[Coupon],tbl_Bonds[Pré Mercado])</f>
        <v>0.12017226232074725</v>
      </c>
      <c r="H61" s="88">
        <v>0</v>
      </c>
      <c r="I61" s="43">
        <f>_xlfn.XLOOKUP(B61,tbl_Bonds[Coupon],tbl_Bonds[Pré Simulada])</f>
        <v>0.12017226232074725</v>
      </c>
      <c r="J61" s="43">
        <f>_xlfn.XLOOKUP($B61,tbl_Bonds[Coupon],tbl_Bonds[Real Mercado])</f>
        <v>5.8611859295576219E-2</v>
      </c>
      <c r="K61" s="88">
        <v>0</v>
      </c>
      <c r="L61" s="43">
        <f>_xlfn.XLOOKUP($B61,tbl_Bonds[Coupon],tbl_Bonds[Real Simulada])</f>
        <v>5.8611859295576219E-2</v>
      </c>
      <c r="M61" s="43">
        <f>_xlfn.XLOOKUP($B61,tbl_Bonds[Coupon],tbl_Bonds[Implícita Mercado])</f>
        <v>5.8152005046111732E-2</v>
      </c>
      <c r="N61" s="88">
        <v>0</v>
      </c>
      <c r="O61" s="43">
        <f>_xlfn.XLOOKUP($B61,tbl_Bonds[Coupon],tbl_Bonds[Implícita Simulada])</f>
        <v>5.8152005046111732E-2</v>
      </c>
      <c r="P61" s="20">
        <f t="shared" ca="1" si="0"/>
        <v>0</v>
      </c>
      <c r="Q61" s="20">
        <f t="shared" ca="1" si="1"/>
        <v>0</v>
      </c>
      <c r="R61" s="20">
        <f t="shared" ca="1" si="2"/>
        <v>0</v>
      </c>
    </row>
    <row r="62" spans="2:18" ht="17" thickBot="1">
      <c r="B62" s="60">
        <v>49996</v>
      </c>
      <c r="C62" s="61">
        <f>NETWORKDAYS(val_date,B62,feriados)-1</f>
        <v>3553</v>
      </c>
      <c r="D62" s="62">
        <f ca="1">SUMIF(tbl_Bonds[Coupon],$B62,INDIRECT("tbl_Bonds["&amp;D$4&amp;"]"))</f>
        <v>-1417.0992536678066</v>
      </c>
      <c r="E62" s="62">
        <f ca="1">SUMIF(tbl_Bonds[Coupon],$B62,INDIRECT("tbl_Bonds["&amp;E$4&amp;"]"))</f>
        <v>-1339.2052571184354</v>
      </c>
      <c r="F62" s="62">
        <f ca="1">SUMIF(tbl_Bonds[Coupon],$B62,INDIRECT("tbl_Bonds["&amp;F$4&amp;"]"))</f>
        <v>1417.733747238834</v>
      </c>
      <c r="G62" s="63">
        <f>_xlfn.XLOOKUP(B62,tbl_Bonds[Coupon],tbl_Bonds[Pré Mercado])</f>
        <v>0.12021311213738863</v>
      </c>
      <c r="H62" s="90">
        <v>0</v>
      </c>
      <c r="I62" s="63">
        <f>_xlfn.XLOOKUP(B62,tbl_Bonds[Coupon],tbl_Bonds[Pré Simulada])</f>
        <v>0.12021311213738863</v>
      </c>
      <c r="J62" s="63">
        <f>_xlfn.XLOOKUP($B62,tbl_Bonds[Coupon],tbl_Bonds[Real Mercado])</f>
        <v>5.8638128010987556E-2</v>
      </c>
      <c r="K62" s="90">
        <v>0</v>
      </c>
      <c r="L62" s="63">
        <f>_xlfn.XLOOKUP($B62,tbl_Bonds[Coupon],tbl_Bonds[Real Simulada])</f>
        <v>5.8638128010987556E-2</v>
      </c>
      <c r="M62" s="63">
        <f>_xlfn.XLOOKUP($B62,tbl_Bonds[Coupon],tbl_Bonds[Implícita Mercado])</f>
        <v>5.8164335714771864E-2</v>
      </c>
      <c r="N62" s="90">
        <v>0</v>
      </c>
      <c r="O62" s="63">
        <f>_xlfn.XLOOKUP($B62,tbl_Bonds[Coupon],tbl_Bonds[Implícita Simulada])</f>
        <v>5.8164335714771864E-2</v>
      </c>
      <c r="P62" s="101">
        <f t="shared" ca="1" si="0"/>
        <v>0</v>
      </c>
      <c r="Q62" s="101">
        <f t="shared" ca="1" si="1"/>
        <v>0</v>
      </c>
      <c r="R62" s="101">
        <f t="shared" ca="1" si="2"/>
        <v>0</v>
      </c>
    </row>
    <row r="63" spans="2:18" ht="17" thickTop="1">
      <c r="B63" s="64">
        <v>50089</v>
      </c>
      <c r="C63" s="65">
        <f>NETWORKDAYS(val_date,B63,feriados)-1</f>
        <v>3616</v>
      </c>
      <c r="D63" s="66">
        <f ca="1">SUMIF(tbl_Bonds[Coupon],$B63,INDIRECT("tbl_Bonds["&amp;D$4&amp;"]"))</f>
        <v>-1674.4213683093399</v>
      </c>
      <c r="E63" s="66">
        <f ca="1">SUMIF(tbl_Bonds[Coupon],$B63,INDIRECT("tbl_Bonds["&amp;E$4&amp;"]"))</f>
        <v>-1582.3638654769979</v>
      </c>
      <c r="F63" s="66">
        <f ca="1">SUMIF(tbl_Bonds[Coupon],$B63,INDIRECT("tbl_Bonds["&amp;F$4&amp;"]"))</f>
        <v>1675.1865999010643</v>
      </c>
      <c r="G63" s="67">
        <f>_xlfn.XLOOKUP(B63,tbl_Bonds[Coupon],tbl_Bonds[Pré Mercado])</f>
        <v>0.1202507133679222</v>
      </c>
      <c r="H63" s="91">
        <v>0</v>
      </c>
      <c r="I63" s="67">
        <f>_xlfn.XLOOKUP(B63,tbl_Bonds[Coupon],tbl_Bonds[Pré Simulada])</f>
        <v>0.1202507133679222</v>
      </c>
      <c r="J63" s="67">
        <f>_xlfn.XLOOKUP($B63,tbl_Bonds[Coupon],tbl_Bonds[Real Mercado])</f>
        <v>5.8660801841484034E-2</v>
      </c>
      <c r="K63" s="91">
        <v>0</v>
      </c>
      <c r="L63" s="67">
        <f>_xlfn.XLOOKUP($B63,tbl_Bonds[Coupon],tbl_Bonds[Real Simulada])</f>
        <v>5.8660801841484034E-2</v>
      </c>
      <c r="M63" s="67">
        <f>_xlfn.XLOOKUP($B63,tbl_Bonds[Coupon],tbl_Bonds[Implícita Mercado])</f>
        <v>5.8177190059257589E-2</v>
      </c>
      <c r="N63" s="91">
        <v>0</v>
      </c>
      <c r="O63" s="67">
        <f>_xlfn.XLOOKUP($B63,tbl_Bonds[Coupon],tbl_Bonds[Implícita Simulada])</f>
        <v>5.8177190059257589E-2</v>
      </c>
      <c r="P63" s="102">
        <f t="shared" ca="1" si="0"/>
        <v>0</v>
      </c>
      <c r="Q63" s="102">
        <f t="shared" ca="1" si="1"/>
        <v>0</v>
      </c>
      <c r="R63" s="105">
        <f t="shared" ca="1" si="2"/>
        <v>0</v>
      </c>
    </row>
    <row r="64" spans="2:18">
      <c r="B64" s="68">
        <v>50175</v>
      </c>
      <c r="C64" s="56">
        <f>NETWORKDAYS(val_date,B64,feriados)-1</f>
        <v>3675</v>
      </c>
      <c r="D64" s="46">
        <f ca="1">SUMIF(tbl_Bonds[Coupon],$B64,INDIRECT("tbl_Bonds["&amp;D$4&amp;"]"))</f>
        <v>-1424.9846721439103</v>
      </c>
      <c r="E64" s="46">
        <f ca="1">SUMIF(tbl_Bonds[Coupon],$B64,INDIRECT("tbl_Bonds["&amp;E$4&amp;"]"))</f>
        <v>-1346.6250890931674</v>
      </c>
      <c r="F64" s="46">
        <f ca="1">SUMIF(tbl_Bonds[Coupon],$B64,INDIRECT("tbl_Bonds["&amp;F$4&amp;"]"))</f>
        <v>1425.6458056139952</v>
      </c>
      <c r="G64" s="43">
        <f>_xlfn.XLOOKUP(B64,tbl_Bonds[Coupon],tbl_Bonds[Pré Mercado])</f>
        <v>0.12028475749761516</v>
      </c>
      <c r="H64" s="88">
        <v>0</v>
      </c>
      <c r="I64" s="43">
        <f>_xlfn.XLOOKUP(B64,tbl_Bonds[Coupon],tbl_Bonds[Pré Simulada])</f>
        <v>0.12028475749761516</v>
      </c>
      <c r="J64" s="43">
        <f>_xlfn.XLOOKUP($B64,tbl_Bonds[Coupon],tbl_Bonds[Real Mercado])</f>
        <v>5.8680561097130379E-2</v>
      </c>
      <c r="K64" s="88">
        <v>0</v>
      </c>
      <c r="L64" s="43">
        <f>_xlfn.XLOOKUP($B64,tbl_Bonds[Coupon],tbl_Bonds[Real Simulada])</f>
        <v>5.8680561097130379E-2</v>
      </c>
      <c r="M64" s="43">
        <f>_xlfn.XLOOKUP($B64,tbl_Bonds[Coupon],tbl_Bonds[Implícita Mercado])</f>
        <v>5.8189597608516941E-2</v>
      </c>
      <c r="N64" s="88">
        <v>0</v>
      </c>
      <c r="O64" s="63">
        <f>_xlfn.XLOOKUP($B64,tbl_Bonds[Coupon],tbl_Bonds[Implícita Simulada])</f>
        <v>5.8189597608516941E-2</v>
      </c>
      <c r="P64" s="20">
        <f t="shared" ca="1" si="0"/>
        <v>0</v>
      </c>
      <c r="Q64" s="20">
        <f t="shared" ca="1" si="1"/>
        <v>0</v>
      </c>
      <c r="R64" s="106">
        <f t="shared" ca="1" si="2"/>
        <v>0</v>
      </c>
    </row>
    <row r="65" spans="2:18">
      <c r="B65" s="68">
        <v>50269</v>
      </c>
      <c r="C65" s="56">
        <f>NETWORKDAYS(val_date,B65,feriados)-1</f>
        <v>3740</v>
      </c>
      <c r="D65" s="46">
        <f ca="1">SUMIF(tbl_Bonds[Coupon],$B65,INDIRECT("tbl_Bonds["&amp;D$4&amp;"]"))</f>
        <v>-1682.9477509020674</v>
      </c>
      <c r="E65" s="46">
        <f ca="1">SUMIF(tbl_Bonds[Coupon],$B65,INDIRECT("tbl_Bonds["&amp;E$4&amp;"]"))</f>
        <v>-1590.380703333549</v>
      </c>
      <c r="F65" s="46">
        <f ca="1">SUMIF(tbl_Bonds[Coupon],$B65,INDIRECT("tbl_Bonds["&amp;F$4&amp;"]"))</f>
        <v>1683.7362095608846</v>
      </c>
      <c r="G65" s="43">
        <f>_xlfn.XLOOKUP(B65,tbl_Bonds[Coupon],tbl_Bonds[Pré Mercado])</f>
        <v>0.12032101936210414</v>
      </c>
      <c r="H65" s="88">
        <v>0</v>
      </c>
      <c r="I65" s="43">
        <f>_xlfn.XLOOKUP(B65,tbl_Bonds[Coupon],tbl_Bonds[Pré Simulada])</f>
        <v>0.12032101936210414</v>
      </c>
      <c r="J65" s="43">
        <f>_xlfn.XLOOKUP($B65,tbl_Bonds[Coupon],tbl_Bonds[Real Mercado])</f>
        <v>5.8700099138915718E-2</v>
      </c>
      <c r="K65" s="88">
        <v>0</v>
      </c>
      <c r="L65" s="43">
        <f>_xlfn.XLOOKUP($B65,tbl_Bonds[Coupon],tbl_Bonds[Real Simulada])</f>
        <v>5.8700099138915718E-2</v>
      </c>
      <c r="M65" s="43">
        <f>_xlfn.XLOOKUP($B65,tbl_Bonds[Coupon],tbl_Bonds[Implícita Mercado])</f>
        <v>5.8204320020614153E-2</v>
      </c>
      <c r="N65" s="88">
        <v>0</v>
      </c>
      <c r="O65" s="63">
        <f>_xlfn.XLOOKUP($B65,tbl_Bonds[Coupon],tbl_Bonds[Implícita Simulada])</f>
        <v>5.8204320020614153E-2</v>
      </c>
      <c r="P65" s="20">
        <f t="shared" ca="1" si="0"/>
        <v>0</v>
      </c>
      <c r="Q65" s="20">
        <f t="shared" ca="1" si="1"/>
        <v>0</v>
      </c>
      <c r="R65" s="106">
        <f t="shared" ca="1" si="2"/>
        <v>0</v>
      </c>
    </row>
    <row r="66" spans="2:18">
      <c r="B66" s="68">
        <v>50360</v>
      </c>
      <c r="C66" s="56">
        <f>NETWORKDAYS(val_date,B66,feriados)-1</f>
        <v>3802</v>
      </c>
      <c r="D66" s="46">
        <f ca="1">SUMIF(tbl_Bonds[Coupon],$B66,INDIRECT("tbl_Bonds["&amp;D$4&amp;"]"))</f>
        <v>-1431.6646950948661</v>
      </c>
      <c r="E66" s="46">
        <f ca="1">SUMIF(tbl_Bonds[Coupon],$B66,INDIRECT("tbl_Bonds["&amp;E$4&amp;"]"))</f>
        <v>-1352.9006522761274</v>
      </c>
      <c r="F66" s="46">
        <f ca="1">SUMIF(tbl_Bonds[Coupon],$B66,INDIRECT("tbl_Bonds["&amp;F$4&amp;"]"))</f>
        <v>1432.3394195390385</v>
      </c>
      <c r="G66" s="43">
        <f>_xlfn.XLOOKUP(B66,tbl_Bonds[Coupon],tbl_Bonds[Pré Mercado])</f>
        <v>0.12035445137264894</v>
      </c>
      <c r="H66" s="88">
        <v>0</v>
      </c>
      <c r="I66" s="43">
        <f>_xlfn.XLOOKUP(B66,tbl_Bonds[Coupon],tbl_Bonds[Pré Simulada])</f>
        <v>0.12035445137264894</v>
      </c>
      <c r="J66" s="43">
        <f>_xlfn.XLOOKUP($B66,tbl_Bonds[Coupon],tbl_Bonds[Real Mercado])</f>
        <v>5.8717368819042326E-2</v>
      </c>
      <c r="K66" s="88">
        <v>0</v>
      </c>
      <c r="L66" s="43">
        <f>_xlfn.XLOOKUP($B66,tbl_Bonds[Coupon],tbl_Bonds[Real Simulada])</f>
        <v>5.8717368819042326E-2</v>
      </c>
      <c r="M66" s="43">
        <f>_xlfn.XLOOKUP($B66,tbl_Bonds[Coupon],tbl_Bonds[Implícita Mercado])</f>
        <v>5.8218636843994753E-2</v>
      </c>
      <c r="N66" s="88">
        <v>0</v>
      </c>
      <c r="O66" s="63">
        <f>_xlfn.XLOOKUP($B66,tbl_Bonds[Coupon],tbl_Bonds[Implícita Simulada])</f>
        <v>5.8218636843994753E-2</v>
      </c>
      <c r="P66" s="20">
        <f t="shared" ca="1" si="0"/>
        <v>0</v>
      </c>
      <c r="Q66" s="20">
        <f t="shared" ca="1" si="1"/>
        <v>0</v>
      </c>
      <c r="R66" s="106">
        <f t="shared" ca="1" si="2"/>
        <v>0</v>
      </c>
    </row>
    <row r="67" spans="2:18">
      <c r="B67" s="68">
        <v>50451</v>
      </c>
      <c r="C67" s="56">
        <f>NETWORKDAYS(val_date,B67,feriados)-1</f>
        <v>3865</v>
      </c>
      <c r="D67" s="46">
        <f ca="1">SUMIF(tbl_Bonds[Coupon],$B67,INDIRECT("tbl_Bonds["&amp;D$4&amp;"]"))</f>
        <v>-1689.8178244482619</v>
      </c>
      <c r="E67" s="46">
        <f ca="1">SUMIF(tbl_Bonds[Coupon],$B67,INDIRECT("tbl_Bonds["&amp;E$4&amp;"]"))</f>
        <v>-1596.8280192502482</v>
      </c>
      <c r="F67" s="46">
        <f ca="1">SUMIF(tbl_Bonds[Coupon],$B67,INDIRECT("tbl_Bonds["&amp;F$4&amp;"]"))</f>
        <v>1690.6145155248878</v>
      </c>
      <c r="G67" s="43">
        <f>_xlfn.XLOOKUP(B67,tbl_Bonds[Coupon],tbl_Bonds[Pré Mercado])</f>
        <v>0.12038732306130104</v>
      </c>
      <c r="H67" s="88">
        <v>0</v>
      </c>
      <c r="I67" s="43">
        <f>_xlfn.XLOOKUP(B67,tbl_Bonds[Coupon],tbl_Bonds[Pré Simulada])</f>
        <v>0.12038732306130104</v>
      </c>
      <c r="J67" s="43">
        <f>_xlfn.XLOOKUP($B67,tbl_Bonds[Coupon],tbl_Bonds[Real Mercado])</f>
        <v>5.8732996877415289E-2</v>
      </c>
      <c r="K67" s="88">
        <v>0</v>
      </c>
      <c r="L67" s="43">
        <f>_xlfn.XLOOKUP($B67,tbl_Bonds[Coupon],tbl_Bonds[Real Simulada])</f>
        <v>5.8732996877415289E-2</v>
      </c>
      <c r="M67" s="43">
        <f>_xlfn.XLOOKUP($B67,tbl_Bonds[Coupon],tbl_Bonds[Implícita Mercado])</f>
        <v>5.8234064269589547E-2</v>
      </c>
      <c r="N67" s="88">
        <v>0</v>
      </c>
      <c r="O67" s="63">
        <f>_xlfn.XLOOKUP($B67,tbl_Bonds[Coupon],tbl_Bonds[Implícita Simulada])</f>
        <v>5.8234064269589547E-2</v>
      </c>
      <c r="P67" s="20">
        <f t="shared" ca="1" si="0"/>
        <v>0</v>
      </c>
      <c r="Q67" s="20">
        <f t="shared" ca="1" si="1"/>
        <v>0</v>
      </c>
      <c r="R67" s="106">
        <f t="shared" ca="1" si="2"/>
        <v>0</v>
      </c>
    </row>
    <row r="68" spans="2:18">
      <c r="B68" s="68">
        <v>50542</v>
      </c>
      <c r="C68" s="56">
        <f>NETWORKDAYS(val_date,B68,feriados)-1</f>
        <v>3926</v>
      </c>
      <c r="D68" s="46">
        <f ca="1">SUMIF(tbl_Bonds[Coupon],$B68,INDIRECT("tbl_Bonds["&amp;D$4&amp;"]"))</f>
        <v>-1436.7605712427574</v>
      </c>
      <c r="E68" s="46">
        <f ca="1">SUMIF(tbl_Bonds[Coupon],$B68,INDIRECT("tbl_Bonds["&amp;E$4&amp;"]"))</f>
        <v>-1357.6770327408271</v>
      </c>
      <c r="F68" s="46">
        <f ca="1">SUMIF(tbl_Bonds[Coupon],$B68,INDIRECT("tbl_Bonds["&amp;F$4&amp;"]"))</f>
        <v>1437.4365311474025</v>
      </c>
      <c r="G68" s="43">
        <f>_xlfn.XLOOKUP(B68,tbl_Bonds[Coupon],tbl_Bonds[Pré Mercado])</f>
        <v>0.12041814511225046</v>
      </c>
      <c r="H68" s="88">
        <v>0</v>
      </c>
      <c r="I68" s="43">
        <f>_xlfn.XLOOKUP(B68,tbl_Bonds[Coupon],tbl_Bonds[Pré Simulada])</f>
        <v>0.12041814511225046</v>
      </c>
      <c r="J68" s="43">
        <f>_xlfn.XLOOKUP($B68,tbl_Bonds[Coupon],tbl_Bonds[Real Mercado])</f>
        <v>5.8747033276694616E-2</v>
      </c>
      <c r="K68" s="88">
        <v>0</v>
      </c>
      <c r="L68" s="43">
        <f>_xlfn.XLOOKUP($B68,tbl_Bonds[Coupon],tbl_Bonds[Real Simulada])</f>
        <v>5.8747033276694616E-2</v>
      </c>
      <c r="M68" s="43">
        <f>_xlfn.XLOOKUP($B68,tbl_Bonds[Coupon],tbl_Bonds[Implícita Mercado])</f>
        <v>5.8249146813281527E-2</v>
      </c>
      <c r="N68" s="88">
        <v>0</v>
      </c>
      <c r="O68" s="63">
        <f>_xlfn.XLOOKUP($B68,tbl_Bonds[Coupon],tbl_Bonds[Implícita Simulada])</f>
        <v>5.8249146813281527E-2</v>
      </c>
      <c r="P68" s="20">
        <f t="shared" ca="1" si="0"/>
        <v>0</v>
      </c>
      <c r="Q68" s="20">
        <f t="shared" ca="1" si="1"/>
        <v>0</v>
      </c>
      <c r="R68" s="106">
        <f t="shared" ca="1" si="2"/>
        <v>0</v>
      </c>
    </row>
    <row r="69" spans="2:18">
      <c r="B69" s="68">
        <v>50633</v>
      </c>
      <c r="C69" s="56">
        <f>NETWORKDAYS(val_date,B69,feriados)-1</f>
        <v>3990</v>
      </c>
      <c r="D69" s="46">
        <f ca="1">SUMIF(tbl_Bonds[Coupon],$B69,INDIRECT("tbl_Bonds["&amp;D$4&amp;"]"))</f>
        <v>-1695.048084858196</v>
      </c>
      <c r="E69" s="46">
        <f ca="1">SUMIF(tbl_Bonds[Coupon],$B69,INDIRECT("tbl_Bonds["&amp;E$4&amp;"]"))</f>
        <v>-1601.7224573152484</v>
      </c>
      <c r="F69" s="46">
        <f ca="1">SUMIF(tbl_Bonds[Coupon],$B69,INDIRECT("tbl_Bonds["&amp;F$4&amp;"]"))</f>
        <v>1695.8396561244474</v>
      </c>
      <c r="G69" s="43">
        <f>_xlfn.XLOOKUP(B69,tbl_Bonds[Coupon],tbl_Bonds[Pré Mercado])</f>
        <v>0.12044946906148286</v>
      </c>
      <c r="H69" s="88">
        <v>0</v>
      </c>
      <c r="I69" s="43">
        <f>_xlfn.XLOOKUP(B69,tbl_Bonds[Coupon],tbl_Bonds[Pré Simulada])</f>
        <v>0.12044946906148286</v>
      </c>
      <c r="J69" s="43">
        <f>_xlfn.XLOOKUP($B69,tbl_Bonds[Coupon],tbl_Bonds[Real Mercado])</f>
        <v>5.8759991321506444E-2</v>
      </c>
      <c r="K69" s="88">
        <v>0</v>
      </c>
      <c r="L69" s="43">
        <f>_xlfn.XLOOKUP($B69,tbl_Bonds[Coupon],tbl_Bonds[Real Simulada])</f>
        <v>5.8759991321506444E-2</v>
      </c>
      <c r="M69" s="43">
        <f>_xlfn.XLOOKUP($B69,tbl_Bonds[Coupon],tbl_Bonds[Implícita Mercado])</f>
        <v>5.8265780259018296E-2</v>
      </c>
      <c r="N69" s="88">
        <v>0</v>
      </c>
      <c r="O69" s="63">
        <f>_xlfn.XLOOKUP($B69,tbl_Bonds[Coupon],tbl_Bonds[Implícita Simulada])</f>
        <v>5.8265780259018296E-2</v>
      </c>
      <c r="P69" s="20">
        <f t="shared" ca="1" si="0"/>
        <v>0</v>
      </c>
      <c r="Q69" s="20">
        <f t="shared" ca="1" si="1"/>
        <v>0</v>
      </c>
      <c r="R69" s="106">
        <f t="shared" ca="1" si="2"/>
        <v>0</v>
      </c>
    </row>
    <row r="70" spans="2:18">
      <c r="B70" s="68">
        <v>50725</v>
      </c>
      <c r="C70" s="56">
        <f>NETWORKDAYS(val_date,B70,feriados)-1</f>
        <v>4052</v>
      </c>
      <c r="D70" s="46">
        <f ca="1">SUMIF(tbl_Bonds[Coupon],$B70,INDIRECT("tbl_Bonds["&amp;D$4&amp;"]"))</f>
        <v>-1440.5732988372777</v>
      </c>
      <c r="E70" s="46">
        <f ca="1">SUMIF(tbl_Bonds[Coupon],$B70,INDIRECT("tbl_Bonds["&amp;E$4&amp;"]"))</f>
        <v>-1361.2377013637079</v>
      </c>
      <c r="F70" s="46">
        <f ca="1">SUMIF(tbl_Bonds[Coupon],$B70,INDIRECT("tbl_Bonds["&amp;F$4&amp;"]"))</f>
        <v>1441.239813492567</v>
      </c>
      <c r="G70" s="43">
        <f>_xlfn.XLOOKUP(B70,tbl_Bonds[Coupon],tbl_Bonds[Pré Mercado])</f>
        <v>0.12047886973194637</v>
      </c>
      <c r="H70" s="88">
        <v>0</v>
      </c>
      <c r="I70" s="43">
        <f>_xlfn.XLOOKUP(B70,tbl_Bonds[Coupon],tbl_Bonds[Pré Simulada])</f>
        <v>0.12047886973194637</v>
      </c>
      <c r="J70" s="43">
        <f>_xlfn.XLOOKUP($B70,tbl_Bonds[Coupon],tbl_Bonds[Real Mercado])</f>
        <v>5.8771595525586973E-2</v>
      </c>
      <c r="K70" s="88">
        <v>0</v>
      </c>
      <c r="L70" s="43">
        <f>_xlfn.XLOOKUP($B70,tbl_Bonds[Coupon],tbl_Bonds[Real Simulada])</f>
        <v>5.8771595525586973E-2</v>
      </c>
      <c r="M70" s="43">
        <f>_xlfn.XLOOKUP($B70,tbl_Bonds[Coupon],tbl_Bonds[Implícita Mercado])</f>
        <v>5.8281950568933816E-2</v>
      </c>
      <c r="N70" s="88">
        <v>0</v>
      </c>
      <c r="O70" s="63">
        <f>_xlfn.XLOOKUP($B70,tbl_Bonds[Coupon],tbl_Bonds[Implícita Simulada])</f>
        <v>5.8281950568933816E-2</v>
      </c>
      <c r="P70" s="20">
        <f t="shared" ref="P70:P133" ca="1" si="4">(I70-G70)*10000*E70</f>
        <v>0</v>
      </c>
      <c r="Q70" s="20">
        <f t="shared" ref="Q70:Q133" ca="1" si="5">(L70-J70)*10000*D70</f>
        <v>0</v>
      </c>
      <c r="R70" s="106">
        <f t="shared" ref="R70:R133" ca="1" si="6">(O70-M70)*10000*F70</f>
        <v>0</v>
      </c>
    </row>
    <row r="71" spans="2:18">
      <c r="B71" s="68">
        <v>50816</v>
      </c>
      <c r="C71" s="56">
        <f>NETWORKDAYS(val_date,B71,feriados)-1</f>
        <v>4117</v>
      </c>
      <c r="D71" s="46">
        <f ca="1">SUMIF(tbl_Bonds[Coupon],$B71,INDIRECT("tbl_Bonds["&amp;D$4&amp;"]"))</f>
        <v>-1698.7718939756726</v>
      </c>
      <c r="E71" s="46">
        <f ca="1">SUMIF(tbl_Bonds[Coupon],$B71,INDIRECT("tbl_Bonds["&amp;E$4&amp;"]"))</f>
        <v>-1605.1899622067567</v>
      </c>
      <c r="F71" s="46">
        <f ca="1">SUMIF(tbl_Bonds[Coupon],$B71,INDIRECT("tbl_Bonds["&amp;F$4&amp;"]"))</f>
        <v>1699.5465211800288</v>
      </c>
      <c r="G71" s="43">
        <f>_xlfn.XLOOKUP(B71,tbl_Bonds[Coupon],tbl_Bonds[Pré Mercado])</f>
        <v>0.12050874137297377</v>
      </c>
      <c r="H71" s="88">
        <v>0</v>
      </c>
      <c r="I71" s="43">
        <f>_xlfn.XLOOKUP(B71,tbl_Bonds[Coupon],tbl_Bonds[Pré Simulada])</f>
        <v>0.12050874137297377</v>
      </c>
      <c r="J71" s="43">
        <f>_xlfn.XLOOKUP($B71,tbl_Bonds[Coupon],tbl_Bonds[Real Mercado])</f>
        <v>5.8782175441086881E-2</v>
      </c>
      <c r="K71" s="88">
        <v>0</v>
      </c>
      <c r="L71" s="43">
        <f>_xlfn.XLOOKUP($B71,tbl_Bonds[Coupon],tbl_Bonds[Real Simulada])</f>
        <v>5.8782175441086881E-2</v>
      </c>
      <c r="M71" s="43">
        <f>_xlfn.XLOOKUP($B71,tbl_Bonds[Coupon],tbl_Bonds[Implícita Mercado])</f>
        <v>5.8299588626735677E-2</v>
      </c>
      <c r="N71" s="88">
        <v>0</v>
      </c>
      <c r="O71" s="63">
        <f>_xlfn.XLOOKUP($B71,tbl_Bonds[Coupon],tbl_Bonds[Implícita Simulada])</f>
        <v>5.8299588626735677E-2</v>
      </c>
      <c r="P71" s="20">
        <f t="shared" ca="1" si="4"/>
        <v>0</v>
      </c>
      <c r="Q71" s="20">
        <f t="shared" ca="1" si="5"/>
        <v>0</v>
      </c>
      <c r="R71" s="106">
        <f t="shared" ca="1" si="6"/>
        <v>0</v>
      </c>
    </row>
    <row r="72" spans="2:18">
      <c r="B72" s="68">
        <v>50906</v>
      </c>
      <c r="C72" s="56">
        <f>NETWORKDAYS(val_date,B72,feriados)-1</f>
        <v>4177</v>
      </c>
      <c r="D72" s="46">
        <f ca="1">SUMIF(tbl_Bonds[Coupon],$B72,INDIRECT("tbl_Bonds["&amp;D$4&amp;"]"))</f>
        <v>-1443.0671652130507</v>
      </c>
      <c r="E72" s="46">
        <f ca="1">SUMIF(tbl_Bonds[Coupon],$B72,INDIRECT("tbl_Bonds["&amp;E$4&amp;"]"))</f>
        <v>-1363.5505370672311</v>
      </c>
      <c r="F72" s="46">
        <f ca="1">SUMIF(tbl_Bonds[Coupon],$B72,INDIRECT("tbl_Bonds["&amp;F$4&amp;"]"))</f>
        <v>1443.7152727770335</v>
      </c>
      <c r="G72" s="43">
        <f>_xlfn.XLOOKUP(B72,tbl_Bonds[Coupon],tbl_Bonds[Pré Mercado])</f>
        <v>0.12053548931732623</v>
      </c>
      <c r="H72" s="88">
        <v>0</v>
      </c>
      <c r="I72" s="43">
        <f>_xlfn.XLOOKUP(B72,tbl_Bonds[Coupon],tbl_Bonds[Pré Simulada])</f>
        <v>0.12053548931732623</v>
      </c>
      <c r="J72" s="43">
        <f>_xlfn.XLOOKUP($B72,tbl_Bonds[Coupon],tbl_Bonds[Real Mercado])</f>
        <v>5.8791172804259162E-2</v>
      </c>
      <c r="K72" s="88">
        <v>0</v>
      </c>
      <c r="L72" s="43">
        <f>_xlfn.XLOOKUP($B72,tbl_Bonds[Coupon],tbl_Bonds[Real Simulada])</f>
        <v>5.8791172804259162E-2</v>
      </c>
      <c r="M72" s="43">
        <f>_xlfn.XLOOKUP($B72,tbl_Bonds[Coupon],tbl_Bonds[Implícita Mercado])</f>
        <v>5.8315858446627677E-2</v>
      </c>
      <c r="N72" s="88">
        <v>0</v>
      </c>
      <c r="O72" s="63">
        <f>_xlfn.XLOOKUP($B72,tbl_Bonds[Coupon],tbl_Bonds[Implícita Simulada])</f>
        <v>5.8315858446627677E-2</v>
      </c>
      <c r="P72" s="20">
        <f t="shared" ca="1" si="4"/>
        <v>0</v>
      </c>
      <c r="Q72" s="20">
        <f t="shared" ca="1" si="5"/>
        <v>0</v>
      </c>
      <c r="R72" s="106">
        <f t="shared" ca="1" si="6"/>
        <v>0</v>
      </c>
    </row>
    <row r="73" spans="2:18">
      <c r="B73" s="68">
        <v>50997</v>
      </c>
      <c r="C73" s="56">
        <f>NETWORKDAYS(val_date,B73,feriados)-1</f>
        <v>4241</v>
      </c>
      <c r="D73" s="46">
        <f ca="1">SUMIF(tbl_Bonds[Coupon],$B73,INDIRECT("tbl_Bonds["&amp;D$4&amp;"]"))</f>
        <v>-1700.9439609651861</v>
      </c>
      <c r="E73" s="46">
        <f ca="1">SUMIF(tbl_Bonds[Coupon],$B73,INDIRECT("tbl_Bonds["&amp;E$4&amp;"]"))</f>
        <v>-1607.1904446511212</v>
      </c>
      <c r="F73" s="46">
        <f ca="1">SUMIF(tbl_Bonds[Coupon],$B73,INDIRECT("tbl_Bonds["&amp;F$4&amp;"]"))</f>
        <v>1701.6922940617092</v>
      </c>
      <c r="G73" s="43">
        <f>_xlfn.XLOOKUP(B73,tbl_Bonds[Coupon],tbl_Bonds[Pré Mercado])</f>
        <v>0.12056318553647621</v>
      </c>
      <c r="H73" s="88">
        <v>0</v>
      </c>
      <c r="I73" s="43">
        <f>_xlfn.XLOOKUP(B73,tbl_Bonds[Coupon],tbl_Bonds[Pré Simulada])</f>
        <v>0.12056318553647621</v>
      </c>
      <c r="J73" s="43">
        <f>_xlfn.XLOOKUP($B73,tbl_Bonds[Coupon],tbl_Bonds[Real Mercado])</f>
        <v>5.8799409120790624E-2</v>
      </c>
      <c r="K73" s="88">
        <v>0</v>
      </c>
      <c r="L73" s="43">
        <f>_xlfn.XLOOKUP($B73,tbl_Bonds[Coupon],tbl_Bonds[Real Simulada])</f>
        <v>5.8799409120790624E-2</v>
      </c>
      <c r="M73" s="43">
        <f>_xlfn.XLOOKUP($B73,tbl_Bonds[Coupon],tbl_Bonds[Implícita Mercado])</f>
        <v>5.8333783790841975E-2</v>
      </c>
      <c r="N73" s="88">
        <v>0</v>
      </c>
      <c r="O73" s="63">
        <f>_xlfn.XLOOKUP($B73,tbl_Bonds[Coupon],tbl_Bonds[Implícita Simulada])</f>
        <v>5.8333783790841975E-2</v>
      </c>
      <c r="P73" s="20">
        <f t="shared" ca="1" si="4"/>
        <v>0</v>
      </c>
      <c r="Q73" s="20">
        <f t="shared" ca="1" si="5"/>
        <v>0</v>
      </c>
      <c r="R73" s="106">
        <f t="shared" ca="1" si="6"/>
        <v>0</v>
      </c>
    </row>
    <row r="74" spans="2:18">
      <c r="B74" s="68">
        <v>51090</v>
      </c>
      <c r="C74" s="56">
        <f>NETWORKDAYS(val_date,B74,feriados)-1</f>
        <v>4304</v>
      </c>
      <c r="D74" s="46">
        <f ca="1">SUMIF(tbl_Bonds[Coupon],$B74,INDIRECT("tbl_Bonds["&amp;D$4&amp;"]"))</f>
        <v>-1444.3572038480959</v>
      </c>
      <c r="E74" s="46">
        <f ca="1">SUMIF(tbl_Bonds[Coupon],$B74,INDIRECT("tbl_Bonds["&amp;E$4&amp;"]"))</f>
        <v>-1364.7237178748094</v>
      </c>
      <c r="F74" s="46">
        <f ca="1">SUMIF(tbl_Bonds[Coupon],$B74,INDIRECT("tbl_Bonds["&amp;F$4&amp;"]"))</f>
        <v>1444.9787942562316</v>
      </c>
      <c r="G74" s="43">
        <f>_xlfn.XLOOKUP(B74,tbl_Bonds[Coupon],tbl_Bonds[Pré Mercado])</f>
        <v>0.1205896438384781</v>
      </c>
      <c r="H74" s="88">
        <v>0</v>
      </c>
      <c r="I74" s="43">
        <f>_xlfn.XLOOKUP(B74,tbl_Bonds[Coupon],tbl_Bonds[Pré Simulada])</f>
        <v>0.1205896438384781</v>
      </c>
      <c r="J74" s="43">
        <f>_xlfn.XLOOKUP($B74,tbl_Bonds[Coupon],tbl_Bonds[Real Mercado])</f>
        <v>5.8806830204646721E-2</v>
      </c>
      <c r="K74" s="88">
        <v>0</v>
      </c>
      <c r="L74" s="43">
        <f>_xlfn.XLOOKUP($B74,tbl_Bonds[Coupon],tbl_Bonds[Real Simulada])</f>
        <v>5.8806830204646721E-2</v>
      </c>
      <c r="M74" s="43">
        <f>_xlfn.XLOOKUP($B74,tbl_Bonds[Coupon],tbl_Bonds[Implícita Mercado])</f>
        <v>5.8351355071909472E-2</v>
      </c>
      <c r="N74" s="88">
        <v>0</v>
      </c>
      <c r="O74" s="63">
        <f>_xlfn.XLOOKUP($B74,tbl_Bonds[Coupon],tbl_Bonds[Implícita Simulada])</f>
        <v>5.8351355071909472E-2</v>
      </c>
      <c r="P74" s="20">
        <f t="shared" ca="1" si="4"/>
        <v>0</v>
      </c>
      <c r="Q74" s="20">
        <f t="shared" ca="1" si="5"/>
        <v>0</v>
      </c>
      <c r="R74" s="106">
        <f t="shared" ca="1" si="6"/>
        <v>0</v>
      </c>
    </row>
    <row r="75" spans="2:18">
      <c r="B75" s="68">
        <v>51181</v>
      </c>
      <c r="C75" s="56">
        <f>NETWORKDAYS(val_date,B75,feriados)-1</f>
        <v>4367</v>
      </c>
      <c r="D75" s="46">
        <f ca="1">SUMIF(tbl_Bonds[Coupon],$B75,INDIRECT("tbl_Bonds["&amp;D$4&amp;"]"))</f>
        <v>-1701.7479247836582</v>
      </c>
      <c r="E75" s="46">
        <f ca="1">SUMIF(tbl_Bonds[Coupon],$B75,INDIRECT("tbl_Bonds["&amp;E$4&amp;"]"))</f>
        <v>-1607.8960379846671</v>
      </c>
      <c r="F75" s="46">
        <f ca="1">SUMIF(tbl_Bonds[Coupon],$B75,INDIRECT("tbl_Bonds["&amp;F$4&amp;"]"))</f>
        <v>1702.4613720051691</v>
      </c>
      <c r="G75" s="43">
        <f>_xlfn.XLOOKUP(B75,tbl_Bonds[Coupon],tbl_Bonds[Pré Mercado])</f>
        <v>0.12061533809566234</v>
      </c>
      <c r="H75" s="88">
        <v>0</v>
      </c>
      <c r="I75" s="43">
        <f>_xlfn.XLOOKUP(B75,tbl_Bonds[Coupon],tbl_Bonds[Pré Simulada])</f>
        <v>0.12061533809566234</v>
      </c>
      <c r="J75" s="43">
        <f>_xlfn.XLOOKUP($B75,tbl_Bonds[Coupon],tbl_Bonds[Real Mercado])</f>
        <v>5.8813089255010942E-2</v>
      </c>
      <c r="K75" s="88">
        <v>0</v>
      </c>
      <c r="L75" s="43">
        <f>_xlfn.XLOOKUP($B75,tbl_Bonds[Coupon],tbl_Bonds[Real Simulada])</f>
        <v>5.8813089255010942E-2</v>
      </c>
      <c r="M75" s="43">
        <f>_xlfn.XLOOKUP($B75,tbl_Bonds[Coupon],tbl_Bonds[Implícita Mercado])</f>
        <v>5.8369365588984978E-2</v>
      </c>
      <c r="N75" s="88">
        <v>0</v>
      </c>
      <c r="O75" s="63">
        <f>_xlfn.XLOOKUP($B75,tbl_Bonds[Coupon],tbl_Bonds[Implícita Simulada])</f>
        <v>5.8369365588984978E-2</v>
      </c>
      <c r="P75" s="20">
        <f t="shared" ca="1" si="4"/>
        <v>0</v>
      </c>
      <c r="Q75" s="20">
        <f t="shared" ca="1" si="5"/>
        <v>0</v>
      </c>
      <c r="R75" s="106">
        <f t="shared" ca="1" si="6"/>
        <v>0</v>
      </c>
    </row>
    <row r="76" spans="2:18">
      <c r="B76" s="68">
        <v>51271</v>
      </c>
      <c r="C76" s="56">
        <f>NETWORKDAYS(val_date,B76,feriados)-1</f>
        <v>4429</v>
      </c>
      <c r="D76" s="46">
        <f ca="1">SUMIF(tbl_Bonds[Coupon],$B76,INDIRECT("tbl_Bonds["&amp;D$4&amp;"]"))</f>
        <v>-1444.467317587832</v>
      </c>
      <c r="E76" s="46">
        <f ca="1">SUMIF(tbl_Bonds[Coupon],$B76,INDIRECT("tbl_Bonds["&amp;E$4&amp;"]"))</f>
        <v>-1364.7818390359269</v>
      </c>
      <c r="F76" s="46">
        <f ca="1">SUMIF(tbl_Bonds[Coupon],$B76,INDIRECT("tbl_Bonds["&amp;F$4&amp;"]"))</f>
        <v>1445.0565301704708</v>
      </c>
      <c r="G76" s="43">
        <f>_xlfn.XLOOKUP(B76,tbl_Bonds[Coupon],tbl_Bonds[Pré Mercado])</f>
        <v>0.12063991024420911</v>
      </c>
      <c r="H76" s="88">
        <v>0</v>
      </c>
      <c r="I76" s="43">
        <f>_xlfn.XLOOKUP(B76,tbl_Bonds[Coupon],tbl_Bonds[Pré Simulada])</f>
        <v>0.12063991024420911</v>
      </c>
      <c r="J76" s="43">
        <f>_xlfn.XLOOKUP($B76,tbl_Bonds[Coupon],tbl_Bonds[Real Mercado])</f>
        <v>5.8818697956210642E-2</v>
      </c>
      <c r="K76" s="88">
        <v>0</v>
      </c>
      <c r="L76" s="43">
        <f>_xlfn.XLOOKUP($B76,tbl_Bonds[Coupon],tbl_Bonds[Real Simulada])</f>
        <v>5.8818697956210642E-2</v>
      </c>
      <c r="M76" s="43">
        <f>_xlfn.XLOOKUP($B76,tbl_Bonds[Coupon],tbl_Bonds[Implícita Mercado])</f>
        <v>5.8386966646712279E-2</v>
      </c>
      <c r="N76" s="88">
        <v>0</v>
      </c>
      <c r="O76" s="63">
        <f>_xlfn.XLOOKUP($B76,tbl_Bonds[Coupon],tbl_Bonds[Implícita Simulada])</f>
        <v>5.8386966646712279E-2</v>
      </c>
      <c r="P76" s="20">
        <f t="shared" ca="1" si="4"/>
        <v>0</v>
      </c>
      <c r="Q76" s="20">
        <f t="shared" ca="1" si="5"/>
        <v>0</v>
      </c>
      <c r="R76" s="106">
        <f t="shared" ca="1" si="6"/>
        <v>0</v>
      </c>
    </row>
    <row r="77" spans="2:18">
      <c r="B77" s="68">
        <v>51363</v>
      </c>
      <c r="C77" s="56">
        <f>NETWORKDAYS(val_date,B77,feriados)-1</f>
        <v>4494</v>
      </c>
      <c r="D77" s="46">
        <f ca="1">SUMIF(tbl_Bonds[Coupon],$B77,INDIRECT("tbl_Bonds["&amp;D$4&amp;"]"))</f>
        <v>-6121.8251362973178</v>
      </c>
      <c r="E77" s="46">
        <f ca="1">SUMIF(tbl_Bonds[Coupon],$B77,INDIRECT("tbl_Bonds["&amp;E$4&amp;"]"))</f>
        <v>-5784.0057302806345</v>
      </c>
      <c r="F77" s="46">
        <f ca="1">SUMIF(tbl_Bonds[Coupon],$B77,INDIRECT("tbl_Bonds["&amp;F$4&amp;"]"))</f>
        <v>6124.2413669568141</v>
      </c>
      <c r="G77" s="43">
        <f>_xlfn.XLOOKUP(B77,tbl_Bonds[Coupon],tbl_Bonds[Pré Mercado])</f>
        <v>0.12066494275144943</v>
      </c>
      <c r="H77" s="88">
        <v>0</v>
      </c>
      <c r="I77" s="43">
        <f>_xlfn.XLOOKUP(B77,tbl_Bonds[Coupon],tbl_Bonds[Pré Simulada])</f>
        <v>0.12066494275144943</v>
      </c>
      <c r="J77" s="43">
        <f>_xlfn.XLOOKUP($B77,tbl_Bonds[Coupon],tbl_Bonds[Real Mercado])</f>
        <v>5.8823529904745264E-2</v>
      </c>
      <c r="K77" s="88">
        <v>0</v>
      </c>
      <c r="L77" s="43">
        <f>_xlfn.XLOOKUP($B77,tbl_Bonds[Coupon],tbl_Bonds[Real Simulada])</f>
        <v>5.8823529904745264E-2</v>
      </c>
      <c r="M77" s="43">
        <f>_xlfn.XLOOKUP($B77,tbl_Bonds[Coupon],tbl_Bonds[Implícita Mercado])</f>
        <v>5.8405778317638379E-2</v>
      </c>
      <c r="N77" s="88">
        <v>0</v>
      </c>
      <c r="O77" s="63">
        <f>_xlfn.XLOOKUP($B77,tbl_Bonds[Coupon],tbl_Bonds[Implícita Simulada])</f>
        <v>5.8405778317638379E-2</v>
      </c>
      <c r="P77" s="20">
        <f t="shared" ca="1" si="4"/>
        <v>0</v>
      </c>
      <c r="Q77" s="20">
        <f t="shared" ca="1" si="5"/>
        <v>0</v>
      </c>
      <c r="R77" s="106">
        <f t="shared" ca="1" si="6"/>
        <v>0</v>
      </c>
    </row>
    <row r="78" spans="2:18">
      <c r="B78" s="68">
        <v>51456</v>
      </c>
      <c r="C78" s="56">
        <f>NETWORKDAYS(val_date,B78,feriados)-1</f>
        <v>4557</v>
      </c>
      <c r="D78" s="46">
        <f ca="1">SUMIF(tbl_Bonds[Coupon],$B78,INDIRECT("tbl_Bonds["&amp;D$4&amp;"]"))</f>
        <v>-1443.4531806809066</v>
      </c>
      <c r="E78" s="46">
        <f ca="1">SUMIF(tbl_Bonds[Coupon],$B78,INDIRECT("tbl_Bonds["&amp;E$4&amp;"]"))</f>
        <v>-1363.7761008592802</v>
      </c>
      <c r="F78" s="46">
        <f ca="1">SUMIF(tbl_Bonds[Coupon],$B78,INDIRECT("tbl_Bonds["&amp;F$4&amp;"]"))</f>
        <v>1444.0039310825223</v>
      </c>
      <c r="G78" s="43">
        <f>_xlfn.XLOOKUP(B78,tbl_Bonds[Coupon],tbl_Bonds[Pré Mercado])</f>
        <v>0.1206885229680944</v>
      </c>
      <c r="H78" s="88">
        <v>0</v>
      </c>
      <c r="I78" s="43">
        <f>_xlfn.XLOOKUP(B78,tbl_Bonds[Coupon],tbl_Bonds[Pré Simulada])</f>
        <v>0.1206885229680944</v>
      </c>
      <c r="J78" s="43">
        <f>_xlfn.XLOOKUP($B78,tbl_Bonds[Coupon],tbl_Bonds[Real Mercado])</f>
        <v>5.8827713592402908E-2</v>
      </c>
      <c r="K78" s="88">
        <v>0</v>
      </c>
      <c r="L78" s="43">
        <f>_xlfn.XLOOKUP($B78,tbl_Bonds[Coupon],tbl_Bonds[Real Simulada])</f>
        <v>5.8827713592402908E-2</v>
      </c>
      <c r="M78" s="43">
        <f>_xlfn.XLOOKUP($B78,tbl_Bonds[Coupon],tbl_Bonds[Implícita Mercado])</f>
        <v>5.8423866606378105E-2</v>
      </c>
      <c r="N78" s="88">
        <v>0</v>
      </c>
      <c r="O78" s="63">
        <f>_xlfn.XLOOKUP($B78,tbl_Bonds[Coupon],tbl_Bonds[Implícita Simulada])</f>
        <v>5.8423866606378105E-2</v>
      </c>
      <c r="P78" s="20">
        <f t="shared" ca="1" si="4"/>
        <v>0</v>
      </c>
      <c r="Q78" s="20">
        <f t="shared" ca="1" si="5"/>
        <v>0</v>
      </c>
      <c r="R78" s="106">
        <f t="shared" ca="1" si="6"/>
        <v>0</v>
      </c>
    </row>
    <row r="79" spans="2:18">
      <c r="B79" s="68">
        <v>51547</v>
      </c>
      <c r="C79" s="56">
        <f>NETWORKDAYS(val_date,B79,feriados)-1</f>
        <v>4620</v>
      </c>
      <c r="D79" s="46">
        <f ca="1">SUMIF(tbl_Bonds[Coupon],$B79,INDIRECT("tbl_Bonds["&amp;D$4&amp;"]"))</f>
        <v>-1568.8448919893285</v>
      </c>
      <c r="E79" s="46">
        <f ca="1">SUMIF(tbl_Bonds[Coupon],$B79,INDIRECT("tbl_Bonds["&amp;E$4&amp;"]"))</f>
        <v>-1482.2206639469712</v>
      </c>
      <c r="F79" s="46">
        <f ca="1">SUMIF(tbl_Bonds[Coupon],$B79,INDIRECT("tbl_Bonds["&amp;F$4&amp;"]"))</f>
        <v>1569.4212730874383</v>
      </c>
      <c r="G79" s="43">
        <f>_xlfn.XLOOKUP(B79,tbl_Bonds[Coupon],tbl_Bonds[Pré Mercado])</f>
        <v>0.12071145956042587</v>
      </c>
      <c r="H79" s="88">
        <v>0</v>
      </c>
      <c r="I79" s="43">
        <f>_xlfn.XLOOKUP(B79,tbl_Bonds[Coupon],tbl_Bonds[Pré Simulada])</f>
        <v>0.12071145956042587</v>
      </c>
      <c r="J79" s="43">
        <f>_xlfn.XLOOKUP($B79,tbl_Bonds[Coupon],tbl_Bonds[Real Mercado])</f>
        <v>5.8831057113176932E-2</v>
      </c>
      <c r="K79" s="88">
        <v>0</v>
      </c>
      <c r="L79" s="43">
        <f>_xlfn.XLOOKUP($B79,tbl_Bonds[Coupon],tbl_Bonds[Real Simulada])</f>
        <v>5.8831057113176932E-2</v>
      </c>
      <c r="M79" s="43">
        <f>_xlfn.XLOOKUP($B79,tbl_Bonds[Coupon],tbl_Bonds[Implícita Mercado])</f>
        <v>5.8442186408470986E-2</v>
      </c>
      <c r="N79" s="88">
        <v>0</v>
      </c>
      <c r="O79" s="63">
        <f>_xlfn.XLOOKUP($B79,tbl_Bonds[Coupon],tbl_Bonds[Implícita Simulada])</f>
        <v>5.8442186408470986E-2</v>
      </c>
      <c r="P79" s="20">
        <f t="shared" ca="1" si="4"/>
        <v>0</v>
      </c>
      <c r="Q79" s="20">
        <f t="shared" ca="1" si="5"/>
        <v>0</v>
      </c>
      <c r="R79" s="106">
        <f t="shared" ca="1" si="6"/>
        <v>0</v>
      </c>
    </row>
    <row r="80" spans="2:18">
      <c r="B80" s="68">
        <v>51636</v>
      </c>
      <c r="C80" s="56">
        <f>NETWORKDAYS(val_date,B80,feriados)-1</f>
        <v>4679</v>
      </c>
      <c r="D80" s="46">
        <f ca="1">SUMIF(tbl_Bonds[Coupon],$B80,INDIRECT("tbl_Bonds["&amp;D$4&amp;"]"))</f>
        <v>-1441.4809791365501</v>
      </c>
      <c r="E80" s="46">
        <f ca="1">SUMIF(tbl_Bonds[Coupon],$B80,INDIRECT("tbl_Bonds["&amp;E$4&amp;"]"))</f>
        <v>-1361.8673552667988</v>
      </c>
      <c r="F80" s="46">
        <f ca="1">SUMIF(tbl_Bonds[Coupon],$B80,INDIRECT("tbl_Bonds["&amp;F$4&amp;"]"))</f>
        <v>1441.9912475570266</v>
      </c>
      <c r="G80" s="43">
        <f>_xlfn.XLOOKUP(B80,tbl_Bonds[Coupon],tbl_Bonds[Pré Mercado])</f>
        <v>0.1207323793302393</v>
      </c>
      <c r="H80" s="88">
        <v>0</v>
      </c>
      <c r="I80" s="43">
        <f>_xlfn.XLOOKUP(B80,tbl_Bonds[Coupon],tbl_Bonds[Pré Simulada])</f>
        <v>0.1207323793302393</v>
      </c>
      <c r="J80" s="43">
        <f>_xlfn.XLOOKUP($B80,tbl_Bonds[Coupon],tbl_Bonds[Real Mercado])</f>
        <v>5.8833844360887788E-2</v>
      </c>
      <c r="K80" s="88">
        <v>0</v>
      </c>
      <c r="L80" s="43">
        <f>_xlfn.XLOOKUP($B80,tbl_Bonds[Coupon],tbl_Bonds[Real Simulada])</f>
        <v>5.8833844360887788E-2</v>
      </c>
      <c r="M80" s="43">
        <f>_xlfn.XLOOKUP($B80,tbl_Bonds[Coupon],tbl_Bonds[Implícita Mercado])</f>
        <v>5.8459157769596759E-2</v>
      </c>
      <c r="N80" s="88">
        <v>0</v>
      </c>
      <c r="O80" s="63">
        <f>_xlfn.XLOOKUP($B80,tbl_Bonds[Coupon],tbl_Bonds[Implícita Simulada])</f>
        <v>5.8459157769596759E-2</v>
      </c>
      <c r="P80" s="20">
        <f t="shared" ca="1" si="4"/>
        <v>0</v>
      </c>
      <c r="Q80" s="20">
        <f t="shared" ca="1" si="5"/>
        <v>0</v>
      </c>
      <c r="R80" s="106">
        <f t="shared" ca="1" si="6"/>
        <v>0</v>
      </c>
    </row>
    <row r="81" spans="2:18">
      <c r="B81" s="68">
        <v>51728</v>
      </c>
      <c r="C81" s="56">
        <f>NETWORKDAYS(val_date,B81,feriados)-1</f>
        <v>4744</v>
      </c>
      <c r="D81" s="46">
        <f ca="1">SUMIF(tbl_Bonds[Coupon],$B81,INDIRECT("tbl_Bonds["&amp;D$4&amp;"]"))</f>
        <v>-1566.1204452712454</v>
      </c>
      <c r="E81" s="46">
        <f ca="1">SUMIF(tbl_Bonds[Coupon],$B81,INDIRECT("tbl_Bonds["&amp;E$4&amp;"]"))</f>
        <v>-1479.5964881176792</v>
      </c>
      <c r="F81" s="46">
        <f ca="1">SUMIF(tbl_Bonds[Coupon],$B81,INDIRECT("tbl_Bonds["&amp;F$4&amp;"]"))</f>
        <v>1566.6502207474491</v>
      </c>
      <c r="G81" s="43">
        <f>_xlfn.XLOOKUP(B81,tbl_Bonds[Coupon],tbl_Bonds[Pré Mercado])</f>
        <v>0.12075482363669565</v>
      </c>
      <c r="H81" s="88">
        <v>0</v>
      </c>
      <c r="I81" s="43">
        <f>_xlfn.XLOOKUP(B81,tbl_Bonds[Coupon],tbl_Bonds[Pré Simulada])</f>
        <v>0.12075482363669565</v>
      </c>
      <c r="J81" s="43">
        <f>_xlfn.XLOOKUP($B81,tbl_Bonds[Coupon],tbl_Bonds[Real Mercado])</f>
        <v>5.8836130507560425E-2</v>
      </c>
      <c r="K81" s="88">
        <v>0</v>
      </c>
      <c r="L81" s="43">
        <f>_xlfn.XLOOKUP($B81,tbl_Bonds[Coupon],tbl_Bonds[Real Simulada])</f>
        <v>5.8836130507560425E-2</v>
      </c>
      <c r="M81" s="43">
        <f>_xlfn.XLOOKUP($B81,tbl_Bonds[Coupon],tbl_Bonds[Implícita Mercado])</f>
        <v>5.8478069407634115E-2</v>
      </c>
      <c r="N81" s="88">
        <v>0</v>
      </c>
      <c r="O81" s="63">
        <f>_xlfn.XLOOKUP($B81,tbl_Bonds[Coupon],tbl_Bonds[Implícita Simulada])</f>
        <v>5.8478069407634115E-2</v>
      </c>
      <c r="P81" s="20">
        <f t="shared" ca="1" si="4"/>
        <v>0</v>
      </c>
      <c r="Q81" s="20">
        <f t="shared" ca="1" si="5"/>
        <v>0</v>
      </c>
      <c r="R81" s="106">
        <f t="shared" ca="1" si="6"/>
        <v>0</v>
      </c>
    </row>
    <row r="82" spans="2:18">
      <c r="B82" s="68">
        <v>51823</v>
      </c>
      <c r="C82" s="56">
        <f>NETWORKDAYS(val_date,B82,feriados)-1</f>
        <v>4810</v>
      </c>
      <c r="D82" s="46">
        <f ca="1">SUMIF(tbl_Bonds[Coupon],$B82,INDIRECT("tbl_Bonds["&amp;D$4&amp;"]"))</f>
        <v>-1438.3329650781391</v>
      </c>
      <c r="E82" s="46">
        <f ca="1">SUMIF(tbl_Bonds[Coupon],$B82,INDIRECT("tbl_Bonds["&amp;E$4&amp;"]"))</f>
        <v>-1358.8445659329336</v>
      </c>
      <c r="F82" s="46">
        <f ca="1">SUMIF(tbl_Bonds[Coupon],$B82,INDIRECT("tbl_Bonds["&amp;F$4&amp;"]"))</f>
        <v>1438.796386821256</v>
      </c>
      <c r="G82" s="43">
        <f>_xlfn.XLOOKUP(B82,tbl_Bonds[Coupon],tbl_Bonds[Pré Mercado])</f>
        <v>0.12077699207511866</v>
      </c>
      <c r="H82" s="88">
        <v>0</v>
      </c>
      <c r="I82" s="43">
        <f>_xlfn.XLOOKUP(B82,tbl_Bonds[Coupon],tbl_Bonds[Pré Simulada])</f>
        <v>0.12077699207511866</v>
      </c>
      <c r="J82" s="43">
        <f>_xlfn.XLOOKUP($B82,tbl_Bonds[Coupon],tbl_Bonds[Real Mercado])</f>
        <v>5.8838091267736203E-2</v>
      </c>
      <c r="K82" s="88">
        <v>0</v>
      </c>
      <c r="L82" s="43">
        <f>_xlfn.XLOOKUP($B82,tbl_Bonds[Coupon],tbl_Bonds[Real Simulada])</f>
        <v>5.8838091267736203E-2</v>
      </c>
      <c r="M82" s="43">
        <f>_xlfn.XLOOKUP($B82,tbl_Bonds[Coupon],tbl_Bonds[Implícita Mercado])</f>
        <v>5.8497046040423495E-2</v>
      </c>
      <c r="N82" s="88">
        <v>0</v>
      </c>
      <c r="O82" s="63">
        <f>_xlfn.XLOOKUP($B82,tbl_Bonds[Coupon],tbl_Bonds[Implícita Simulada])</f>
        <v>5.8497046040423495E-2</v>
      </c>
      <c r="P82" s="20">
        <f t="shared" ca="1" si="4"/>
        <v>0</v>
      </c>
      <c r="Q82" s="20">
        <f t="shared" ca="1" si="5"/>
        <v>0</v>
      </c>
      <c r="R82" s="106">
        <f t="shared" ca="1" si="6"/>
        <v>0</v>
      </c>
    </row>
    <row r="83" spans="2:18">
      <c r="B83" s="68">
        <v>51916</v>
      </c>
      <c r="C83" s="56">
        <f>NETWORKDAYS(val_date,B83,feriados)-1</f>
        <v>4873</v>
      </c>
      <c r="D83" s="46">
        <f ca="1">SUMIF(tbl_Bonds[Coupon],$B83,INDIRECT("tbl_Bonds["&amp;D$4&amp;"]"))</f>
        <v>-1562.2122992405727</v>
      </c>
      <c r="E83" s="46">
        <f ca="1">SUMIF(tbl_Bonds[Coupon],$B83,INDIRECT("tbl_Bonds["&amp;E$4&amp;"]"))</f>
        <v>-1475.8524302872684</v>
      </c>
      <c r="F83" s="46">
        <f ca="1">SUMIF(tbl_Bonds[Coupon],$B83,INDIRECT("tbl_Bonds["&amp;F$4&amp;"]"))</f>
        <v>1562.6906329568806</v>
      </c>
      <c r="G83" s="43">
        <f>_xlfn.XLOOKUP(B83,tbl_Bonds[Coupon],tbl_Bonds[Pré Mercado])</f>
        <v>0.12079759224187531</v>
      </c>
      <c r="H83" s="88">
        <v>0</v>
      </c>
      <c r="I83" s="43">
        <f>_xlfn.XLOOKUP(B83,tbl_Bonds[Coupon],tbl_Bonds[Pré Simulada])</f>
        <v>0.12079759224187531</v>
      </c>
      <c r="J83" s="43">
        <f>_xlfn.XLOOKUP($B83,tbl_Bonds[Coupon],tbl_Bonds[Real Mercado])</f>
        <v>5.8839353044422005E-2</v>
      </c>
      <c r="K83" s="88">
        <v>0</v>
      </c>
      <c r="L83" s="43">
        <f>_xlfn.XLOOKUP($B83,tbl_Bonds[Coupon],tbl_Bonds[Real Simulada])</f>
        <v>5.8839353044422005E-2</v>
      </c>
      <c r="M83" s="43">
        <f>_xlfn.XLOOKUP($B83,tbl_Bonds[Coupon],tbl_Bonds[Implícita Mercado])</f>
        <v>5.8515239987320333E-2</v>
      </c>
      <c r="N83" s="88">
        <v>0</v>
      </c>
      <c r="O83" s="63">
        <f>_xlfn.XLOOKUP($B83,tbl_Bonds[Coupon],tbl_Bonds[Implícita Simulada])</f>
        <v>5.8515239987320333E-2</v>
      </c>
      <c r="P83" s="20">
        <f t="shared" ca="1" si="4"/>
        <v>0</v>
      </c>
      <c r="Q83" s="20">
        <f t="shared" ca="1" si="5"/>
        <v>0</v>
      </c>
      <c r="R83" s="106">
        <f t="shared" ca="1" si="6"/>
        <v>0</v>
      </c>
    </row>
    <row r="84" spans="2:18">
      <c r="B84" s="68">
        <v>52001</v>
      </c>
      <c r="C84" s="56">
        <f>NETWORKDAYS(val_date,B84,feriados)-1</f>
        <v>4931</v>
      </c>
      <c r="D84" s="46">
        <f ca="1">SUMIF(tbl_Bonds[Coupon],$B84,INDIRECT("tbl_Bonds["&amp;D$4&amp;"]"))</f>
        <v>-1434.5269925635462</v>
      </c>
      <c r="E84" s="46">
        <f ca="1">SUMIF(tbl_Bonds[Coupon],$B84,INDIRECT("tbl_Bonds["&amp;E$4&amp;"]"))</f>
        <v>-1355.204459081272</v>
      </c>
      <c r="F84" s="46">
        <f ca="1">SUMIF(tbl_Bonds[Coupon],$B84,INDIRECT("tbl_Bonds["&amp;F$4&amp;"]"))</f>
        <v>1434.9450761039193</v>
      </c>
      <c r="G84" s="43">
        <f>_xlfn.XLOOKUP(B84,tbl_Bonds[Coupon],tbl_Bonds[Pré Mercado])</f>
        <v>0.12081609173336634</v>
      </c>
      <c r="H84" s="88">
        <v>0</v>
      </c>
      <c r="I84" s="43">
        <f>_xlfn.XLOOKUP(B84,tbl_Bonds[Coupon],tbl_Bonds[Pré Simulada])</f>
        <v>0.12081609173336634</v>
      </c>
      <c r="J84" s="43">
        <f>_xlfn.XLOOKUP($B84,tbl_Bonds[Coupon],tbl_Bonds[Real Mercado])</f>
        <v>5.8840285146379401E-2</v>
      </c>
      <c r="K84" s="88">
        <v>0</v>
      </c>
      <c r="L84" s="43">
        <f>_xlfn.XLOOKUP($B84,tbl_Bonds[Coupon],tbl_Bonds[Real Simulada])</f>
        <v>5.8840285146379401E-2</v>
      </c>
      <c r="M84" s="43">
        <f>_xlfn.XLOOKUP($B84,tbl_Bonds[Coupon],tbl_Bonds[Implícita Mercado])</f>
        <v>5.8531779802490691E-2</v>
      </c>
      <c r="N84" s="88">
        <v>0</v>
      </c>
      <c r="O84" s="63">
        <f>_xlfn.XLOOKUP($B84,tbl_Bonds[Coupon],tbl_Bonds[Implícita Simulada])</f>
        <v>5.8531779802490691E-2</v>
      </c>
      <c r="P84" s="20">
        <f t="shared" ca="1" si="4"/>
        <v>0</v>
      </c>
      <c r="Q84" s="20">
        <f t="shared" ca="1" si="5"/>
        <v>0</v>
      </c>
      <c r="R84" s="106">
        <f t="shared" ca="1" si="6"/>
        <v>0</v>
      </c>
    </row>
    <row r="85" spans="2:18">
      <c r="B85" s="68">
        <v>52093</v>
      </c>
      <c r="C85" s="56">
        <f>NETWORKDAYS(val_date,B85,feriados)-1</f>
        <v>4996</v>
      </c>
      <c r="D85" s="46">
        <f ca="1">SUMIF(tbl_Bonds[Coupon],$B85,INDIRECT("tbl_Bonds["&amp;D$4&amp;"]"))</f>
        <v>-1557.5232778157181</v>
      </c>
      <c r="E85" s="46">
        <f ca="1">SUMIF(tbl_Bonds[Coupon],$B85,INDIRECT("tbl_Bonds["&amp;E$4&amp;"]"))</f>
        <v>-1471.3737541496603</v>
      </c>
      <c r="F85" s="46">
        <f ca="1">SUMIF(tbl_Bonds[Coupon],$B85,INDIRECT("tbl_Bonds["&amp;F$4&amp;"]"))</f>
        <v>1557.9505159318965</v>
      </c>
      <c r="G85" s="43">
        <f>_xlfn.XLOOKUP(B85,tbl_Bonds[Coupon],tbl_Bonds[Pré Mercado])</f>
        <v>0.12083631311140945</v>
      </c>
      <c r="H85" s="88">
        <v>0</v>
      </c>
      <c r="I85" s="43">
        <f>_xlfn.XLOOKUP(B85,tbl_Bonds[Coupon],tbl_Bonds[Pré Simulada])</f>
        <v>0.12083631311140945</v>
      </c>
      <c r="J85" s="43">
        <f>_xlfn.XLOOKUP($B85,tbl_Bonds[Coupon],tbl_Bonds[Real Mercado])</f>
        <v>5.8840767743566058E-2</v>
      </c>
      <c r="K85" s="88">
        <v>0</v>
      </c>
      <c r="L85" s="43">
        <f>_xlfn.XLOOKUP($B85,tbl_Bonds[Coupon],tbl_Bonds[Real Simulada])</f>
        <v>5.8840767743566058E-2</v>
      </c>
      <c r="M85" s="43">
        <f>_xlfn.XLOOKUP($B85,tbl_Bonds[Coupon],tbl_Bonds[Implícita Mercado])</f>
        <v>5.8550394858682964E-2</v>
      </c>
      <c r="N85" s="88">
        <v>0</v>
      </c>
      <c r="O85" s="63">
        <f>_xlfn.XLOOKUP($B85,tbl_Bonds[Coupon],tbl_Bonds[Implícita Simulada])</f>
        <v>5.8550394858682964E-2</v>
      </c>
      <c r="P85" s="20">
        <f t="shared" ca="1" si="4"/>
        <v>0</v>
      </c>
      <c r="Q85" s="20">
        <f t="shared" ca="1" si="5"/>
        <v>0</v>
      </c>
      <c r="R85" s="106">
        <f t="shared" ca="1" si="6"/>
        <v>0</v>
      </c>
    </row>
    <row r="86" spans="2:18">
      <c r="B86" s="68">
        <v>52187</v>
      </c>
      <c r="C86" s="56">
        <f>NETWORKDAYS(val_date,B86,feriados)-1</f>
        <v>5062</v>
      </c>
      <c r="D86" s="46">
        <f ca="1">SUMIF(tbl_Bonds[Coupon],$B86,INDIRECT("tbl_Bonds["&amp;D$4&amp;"]"))</f>
        <v>-1429.4916524808364</v>
      </c>
      <c r="E86" s="46">
        <f ca="1">SUMIF(tbl_Bonds[Coupon],$B86,INDIRECT("tbl_Bonds["&amp;E$4&amp;"]"))</f>
        <v>-1350.4000231486002</v>
      </c>
      <c r="F86" s="46">
        <f ca="1">SUMIF(tbl_Bonds[Coupon],$B86,INDIRECT("tbl_Bonds["&amp;F$4&amp;"]"))</f>
        <v>1429.8589361830032</v>
      </c>
      <c r="G86" s="43">
        <f>_xlfn.XLOOKUP(B86,tbl_Bonds[Coupon],tbl_Bonds[Pré Mercado])</f>
        <v>0.12085631382413267</v>
      </c>
      <c r="H86" s="88">
        <v>0</v>
      </c>
      <c r="I86" s="43">
        <f>_xlfn.XLOOKUP(B86,tbl_Bonds[Coupon],tbl_Bonds[Pré Simulada])</f>
        <v>0.12085631382413267</v>
      </c>
      <c r="J86" s="43">
        <f>_xlfn.XLOOKUP($B86,tbl_Bonds[Coupon],tbl_Bonds[Real Mercado])</f>
        <v>5.8841018534799838E-2</v>
      </c>
      <c r="K86" s="88">
        <v>0</v>
      </c>
      <c r="L86" s="43">
        <f>_xlfn.XLOOKUP($B86,tbl_Bonds[Coupon],tbl_Bonds[Real Simulada])</f>
        <v>5.8841018534799838E-2</v>
      </c>
      <c r="M86" s="43">
        <f>_xlfn.XLOOKUP($B86,tbl_Bonds[Coupon],tbl_Bonds[Implícita Mercado])</f>
        <v>5.8569033512437585E-2</v>
      </c>
      <c r="N86" s="88">
        <v>0</v>
      </c>
      <c r="O86" s="63">
        <f>_xlfn.XLOOKUP($B86,tbl_Bonds[Coupon],tbl_Bonds[Implícita Simulada])</f>
        <v>5.8569033512437585E-2</v>
      </c>
      <c r="P86" s="20">
        <f t="shared" ca="1" si="4"/>
        <v>0</v>
      </c>
      <c r="Q86" s="20">
        <f t="shared" ca="1" si="5"/>
        <v>0</v>
      </c>
      <c r="R86" s="106">
        <f t="shared" ca="1" si="6"/>
        <v>0</v>
      </c>
    </row>
    <row r="87" spans="2:18">
      <c r="B87" s="68">
        <v>52278</v>
      </c>
      <c r="C87" s="56">
        <f>NETWORKDAYS(val_date,B87,feriados)-1</f>
        <v>5123</v>
      </c>
      <c r="D87" s="46">
        <f ca="1">SUMIF(tbl_Bonds[Coupon],$B87,INDIRECT("tbl_Bonds["&amp;D$4&amp;"]"))</f>
        <v>-1551.751090266479</v>
      </c>
      <c r="E87" s="46">
        <f ca="1">SUMIF(tbl_Bonds[Coupon],$B87,INDIRECT("tbl_Bonds["&amp;E$4&amp;"]"))</f>
        <v>-1465.8711911360103</v>
      </c>
      <c r="F87" s="46">
        <f ca="1">SUMIF(tbl_Bonds[Coupon],$B87,INDIRECT("tbl_Bonds["&amp;F$4&amp;"]"))</f>
        <v>1552.1242702607933</v>
      </c>
      <c r="G87" s="43">
        <f>_xlfn.XLOOKUP(B87,tbl_Bonds[Coupon],tbl_Bonds[Pré Mercado])</f>
        <v>0.12087434073037971</v>
      </c>
      <c r="H87" s="88">
        <v>0</v>
      </c>
      <c r="I87" s="43">
        <f>_xlfn.XLOOKUP(B87,tbl_Bonds[Coupon],tbl_Bonds[Pré Simulada])</f>
        <v>0.12087434073037971</v>
      </c>
      <c r="J87" s="43">
        <f>_xlfn.XLOOKUP($B87,tbl_Bonds[Coupon],tbl_Bonds[Real Mercado])</f>
        <v>5.8840830793824406E-2</v>
      </c>
      <c r="K87" s="88">
        <v>0</v>
      </c>
      <c r="L87" s="43">
        <f>_xlfn.XLOOKUP($B87,tbl_Bonds[Coupon],tbl_Bonds[Real Simulada])</f>
        <v>5.8840830793824406E-2</v>
      </c>
      <c r="M87" s="43">
        <f>_xlfn.XLOOKUP($B87,tbl_Bonds[Coupon],tbl_Bonds[Implícita Mercado])</f>
        <v>5.8586246244419105E-2</v>
      </c>
      <c r="N87" s="88">
        <v>0</v>
      </c>
      <c r="O87" s="63">
        <f>_xlfn.XLOOKUP($B87,tbl_Bonds[Coupon],tbl_Bonds[Implícita Simulada])</f>
        <v>5.8586246244419105E-2</v>
      </c>
      <c r="P87" s="20">
        <f t="shared" ca="1" si="4"/>
        <v>0</v>
      </c>
      <c r="Q87" s="20">
        <f t="shared" ca="1" si="5"/>
        <v>0</v>
      </c>
      <c r="R87" s="106">
        <f t="shared" ca="1" si="6"/>
        <v>0</v>
      </c>
    </row>
    <row r="88" spans="2:18">
      <c r="B88" s="68">
        <v>52366</v>
      </c>
      <c r="C88" s="56">
        <f>NETWORKDAYS(val_date,B88,feriados)-1</f>
        <v>5184</v>
      </c>
      <c r="D88" s="46">
        <f ca="1">SUMIF(tbl_Bonds[Coupon],$B88,INDIRECT("tbl_Bonds["&amp;D$4&amp;"]"))</f>
        <v>-1423.9933018270272</v>
      </c>
      <c r="E88" s="46">
        <f ca="1">SUMIF(tbl_Bonds[Coupon],$B88,INDIRECT("tbl_Bonds["&amp;E$4&amp;"]"))</f>
        <v>-1345.1624531980501</v>
      </c>
      <c r="F88" s="46">
        <f ca="1">SUMIF(tbl_Bonds[Coupon],$B88,INDIRECT("tbl_Bonds["&amp;F$4&amp;"]"))</f>
        <v>1424.3124660889919</v>
      </c>
      <c r="G88" s="43">
        <f>_xlfn.XLOOKUP(B88,tbl_Bonds[Coupon],tbl_Bonds[Pré Mercado])</f>
        <v>0.12089194307908858</v>
      </c>
      <c r="H88" s="88">
        <v>0</v>
      </c>
      <c r="I88" s="43">
        <f>_xlfn.XLOOKUP(B88,tbl_Bonds[Coupon],tbl_Bonds[Pré Simulada])</f>
        <v>0.12089194307908858</v>
      </c>
      <c r="J88" s="43">
        <f>_xlfn.XLOOKUP($B88,tbl_Bonds[Coupon],tbl_Bonds[Real Mercado])</f>
        <v>5.8840486155436134E-2</v>
      </c>
      <c r="K88" s="88">
        <v>0</v>
      </c>
      <c r="L88" s="43">
        <f>_xlfn.XLOOKUP($B88,tbl_Bonds[Coupon],tbl_Bonds[Real Simulada])</f>
        <v>5.8840486155436134E-2</v>
      </c>
      <c r="M88" s="43">
        <f>_xlfn.XLOOKUP($B88,tbl_Bonds[Coupon],tbl_Bonds[Implícita Mercado])</f>
        <v>5.8603215109393147E-2</v>
      </c>
      <c r="N88" s="88">
        <v>0</v>
      </c>
      <c r="O88" s="63">
        <f>_xlfn.XLOOKUP($B88,tbl_Bonds[Coupon],tbl_Bonds[Implícita Simulada])</f>
        <v>5.8603215109393147E-2</v>
      </c>
      <c r="P88" s="20">
        <f t="shared" ca="1" si="4"/>
        <v>0</v>
      </c>
      <c r="Q88" s="20">
        <f t="shared" ca="1" si="5"/>
        <v>0</v>
      </c>
      <c r="R88" s="106">
        <f t="shared" ca="1" si="6"/>
        <v>0</v>
      </c>
    </row>
    <row r="89" spans="2:18">
      <c r="B89" s="68">
        <v>52460</v>
      </c>
      <c r="C89" s="56">
        <f>NETWORKDAYS(val_date,B89,feriados)-1</f>
        <v>5249</v>
      </c>
      <c r="D89" s="46">
        <f ca="1">SUMIF(tbl_Bonds[Coupon],$B89,INDIRECT("tbl_Bonds["&amp;D$4&amp;"]"))</f>
        <v>-1545.143652080998</v>
      </c>
      <c r="E89" s="46">
        <f ca="1">SUMIF(tbl_Bonds[Coupon],$B89,INDIRECT("tbl_Bonds["&amp;E$4&amp;"]"))</f>
        <v>-1459.5811472014184</v>
      </c>
      <c r="F89" s="46">
        <f ca="1">SUMIF(tbl_Bonds[Coupon],$B89,INDIRECT("tbl_Bonds["&amp;F$4&amp;"]"))</f>
        <v>1545.4624967696482</v>
      </c>
      <c r="G89" s="43">
        <f>_xlfn.XLOOKUP(B89,tbl_Bonds[Coupon],tbl_Bonds[Pré Mercado])</f>
        <v>0.1209102491076101</v>
      </c>
      <c r="H89" s="88">
        <v>0</v>
      </c>
      <c r="I89" s="43">
        <f>_xlfn.XLOOKUP(B89,tbl_Bonds[Coupon],tbl_Bonds[Pré Simulada])</f>
        <v>0.1209102491076101</v>
      </c>
      <c r="J89" s="43">
        <f>_xlfn.XLOOKUP($B89,tbl_Bonds[Coupon],tbl_Bonds[Real Mercado])</f>
        <v>5.8839722183360088E-2</v>
      </c>
      <c r="K89" s="88">
        <v>0</v>
      </c>
      <c r="L89" s="43">
        <f>_xlfn.XLOOKUP($B89,tbl_Bonds[Coupon],tbl_Bonds[Real Simulada])</f>
        <v>5.8839722183360088E-2</v>
      </c>
      <c r="M89" s="43">
        <f>_xlfn.XLOOKUP($B89,tbl_Bonds[Coupon],tbl_Bonds[Implícita Mercado])</f>
        <v>5.862126756361441E-2</v>
      </c>
      <c r="N89" s="88">
        <v>0</v>
      </c>
      <c r="O89" s="63">
        <f>_xlfn.XLOOKUP($B89,tbl_Bonds[Coupon],tbl_Bonds[Implícita Simulada])</f>
        <v>5.862126756361441E-2</v>
      </c>
      <c r="P89" s="20">
        <f t="shared" ca="1" si="4"/>
        <v>0</v>
      </c>
      <c r="Q89" s="20">
        <f t="shared" ca="1" si="5"/>
        <v>0</v>
      </c>
      <c r="R89" s="106">
        <f t="shared" ca="1" si="6"/>
        <v>0</v>
      </c>
    </row>
    <row r="90" spans="2:18">
      <c r="B90" s="68">
        <v>52551</v>
      </c>
      <c r="C90" s="56">
        <f>NETWORKDAYS(val_date,B90,feriados)-1</f>
        <v>5311</v>
      </c>
      <c r="D90" s="46">
        <f ca="1">SUMIF(tbl_Bonds[Coupon],$B90,INDIRECT("tbl_Bonds["&amp;D$4&amp;"]"))</f>
        <v>-1417.4904677170402</v>
      </c>
      <c r="E90" s="46">
        <f ca="1">SUMIF(tbl_Bonds[Coupon],$B90,INDIRECT("tbl_Bonds["&amp;E$4&amp;"]"))</f>
        <v>-1338.9753301790511</v>
      </c>
      <c r="F90" s="46">
        <f ca="1">SUMIF(tbl_Bonds[Coupon],$B90,INDIRECT("tbl_Bonds["&amp;F$4&amp;"]"))</f>
        <v>1417.7591165920919</v>
      </c>
      <c r="G90" s="43">
        <f>_xlfn.XLOOKUP(B90,tbl_Bonds[Coupon],tbl_Bonds[Pré Mercado])</f>
        <v>0.12092729239975129</v>
      </c>
      <c r="H90" s="88">
        <v>0</v>
      </c>
      <c r="I90" s="43">
        <f>_xlfn.XLOOKUP(B90,tbl_Bonds[Coupon],tbl_Bonds[Pré Simulada])</f>
        <v>0.12092729239975129</v>
      </c>
      <c r="J90" s="43">
        <f>_xlfn.XLOOKUP($B90,tbl_Bonds[Coupon],tbl_Bonds[Real Mercado])</f>
        <v>5.8838863167042232E-2</v>
      </c>
      <c r="K90" s="88">
        <v>0</v>
      </c>
      <c r="L90" s="43">
        <f>_xlfn.XLOOKUP($B90,tbl_Bonds[Coupon],tbl_Bonds[Real Simulada])</f>
        <v>5.8838863167042232E-2</v>
      </c>
      <c r="M90" s="43">
        <f>_xlfn.XLOOKUP($B90,tbl_Bonds[Coupon],tbl_Bonds[Implícita Mercado])</f>
        <v>5.8638222729547884E-2</v>
      </c>
      <c r="N90" s="88">
        <v>0</v>
      </c>
      <c r="O90" s="63">
        <f>_xlfn.XLOOKUP($B90,tbl_Bonds[Coupon],tbl_Bonds[Implícita Simulada])</f>
        <v>5.8638222729547884E-2</v>
      </c>
      <c r="P90" s="20">
        <f t="shared" ca="1" si="4"/>
        <v>0</v>
      </c>
      <c r="Q90" s="20">
        <f t="shared" ca="1" si="5"/>
        <v>0</v>
      </c>
      <c r="R90" s="106">
        <f t="shared" ca="1" si="6"/>
        <v>0</v>
      </c>
    </row>
    <row r="91" spans="2:18">
      <c r="B91" s="68">
        <v>52642</v>
      </c>
      <c r="C91" s="56">
        <f>NETWORKDAYS(val_date,B91,feriados)-1</f>
        <v>5374</v>
      </c>
      <c r="D91" s="46">
        <f ca="1">SUMIF(tbl_Bonds[Coupon],$B91,INDIRECT("tbl_Bonds["&amp;D$4&amp;"]"))</f>
        <v>-1537.7726011328969</v>
      </c>
      <c r="E91" s="46">
        <f ca="1">SUMIF(tbl_Bonds[Coupon],$B91,INDIRECT("tbl_Bonds["&amp;E$4&amp;"]"))</f>
        <v>-1452.5714545679923</v>
      </c>
      <c r="F91" s="46">
        <f ca="1">SUMIF(tbl_Bonds[Coupon],$B91,INDIRECT("tbl_Bonds["&amp;F$4&amp;"]"))</f>
        <v>1538.0373818442258</v>
      </c>
      <c r="G91" s="43">
        <f>_xlfn.XLOOKUP(B91,tbl_Bonds[Coupon],tbl_Bonds[Pré Mercado])</f>
        <v>0.12094420747324264</v>
      </c>
      <c r="H91" s="88">
        <v>0</v>
      </c>
      <c r="I91" s="43">
        <f>_xlfn.XLOOKUP(B91,tbl_Bonds[Coupon],tbl_Bonds[Pré Simulada])</f>
        <v>0.12094420747324264</v>
      </c>
      <c r="J91" s="43">
        <f>_xlfn.XLOOKUP($B91,tbl_Bonds[Coupon],tbl_Bonds[Real Mercado])</f>
        <v>5.8837674852689537E-2</v>
      </c>
      <c r="K91" s="88">
        <v>0</v>
      </c>
      <c r="L91" s="43">
        <f>_xlfn.XLOOKUP($B91,tbl_Bonds[Coupon],tbl_Bonds[Real Simulada])</f>
        <v>5.8837674852689537E-2</v>
      </c>
      <c r="M91" s="43">
        <f>_xlfn.XLOOKUP($B91,tbl_Bonds[Coupon],tbl_Bonds[Implícita Mercado])</f>
        <v>5.8655385857119935E-2</v>
      </c>
      <c r="N91" s="88">
        <v>0</v>
      </c>
      <c r="O91" s="63">
        <f>_xlfn.XLOOKUP($B91,tbl_Bonds[Coupon],tbl_Bonds[Implícita Simulada])</f>
        <v>5.8655385857119935E-2</v>
      </c>
      <c r="P91" s="20">
        <f t="shared" ca="1" si="4"/>
        <v>0</v>
      </c>
      <c r="Q91" s="20">
        <f t="shared" ca="1" si="5"/>
        <v>0</v>
      </c>
      <c r="R91" s="106">
        <f t="shared" ca="1" si="6"/>
        <v>0</v>
      </c>
    </row>
    <row r="92" spans="2:18">
      <c r="B92" s="68">
        <v>52733</v>
      </c>
      <c r="C92" s="56">
        <f>NETWORKDAYS(val_date,B92,feriados)-1</f>
        <v>5435</v>
      </c>
      <c r="D92" s="46">
        <f ca="1">SUMIF(tbl_Bonds[Coupon],$B92,INDIRECT("tbl_Bonds["&amp;D$4&amp;"]"))</f>
        <v>-1410.41847024655</v>
      </c>
      <c r="E92" s="46">
        <f ca="1">SUMIF(tbl_Bonds[Coupon],$B92,INDIRECT("tbl_Bonds["&amp;E$4&amp;"]"))</f>
        <v>-1332.2528734445414</v>
      </c>
      <c r="F92" s="46">
        <f ca="1">SUMIF(tbl_Bonds[Coupon],$B92,INDIRECT("tbl_Bonds["&amp;F$4&amp;"]"))</f>
        <v>1410.6378845042557</v>
      </c>
      <c r="G92" s="43">
        <f>_xlfn.XLOOKUP(B92,tbl_Bonds[Coupon],tbl_Bonds[Pré Mercado])</f>
        <v>0.12096021162947357</v>
      </c>
      <c r="H92" s="88">
        <v>0</v>
      </c>
      <c r="I92" s="43">
        <f>_xlfn.XLOOKUP(B92,tbl_Bonds[Coupon],tbl_Bonds[Pré Simulada])</f>
        <v>0.12096021162947357</v>
      </c>
      <c r="J92" s="43">
        <f>_xlfn.XLOOKUP($B92,tbl_Bonds[Coupon],tbl_Bonds[Real Mercado])</f>
        <v>5.8836435992123626E-2</v>
      </c>
      <c r="K92" s="88">
        <v>0</v>
      </c>
      <c r="L92" s="43">
        <f>_xlfn.XLOOKUP($B92,tbl_Bonds[Coupon],tbl_Bonds[Real Simulada])</f>
        <v>5.8836435992123626E-2</v>
      </c>
      <c r="M92" s="43">
        <f>_xlfn.XLOOKUP($B92,tbl_Bonds[Coupon],tbl_Bonds[Implícita Mercado])</f>
        <v>5.8671739477065055E-2</v>
      </c>
      <c r="N92" s="88">
        <v>0</v>
      </c>
      <c r="O92" s="63">
        <f>_xlfn.XLOOKUP($B92,tbl_Bonds[Coupon],tbl_Bonds[Implícita Simulada])</f>
        <v>5.8671739477065055E-2</v>
      </c>
      <c r="P92" s="20">
        <f t="shared" ca="1" si="4"/>
        <v>0</v>
      </c>
      <c r="Q92" s="20">
        <f t="shared" ca="1" si="5"/>
        <v>0</v>
      </c>
      <c r="R92" s="106">
        <f t="shared" ca="1" si="6"/>
        <v>0</v>
      </c>
    </row>
    <row r="93" spans="2:18">
      <c r="B93" s="68">
        <v>52824</v>
      </c>
      <c r="C93" s="56">
        <f>NETWORKDAYS(val_date,B93,feriados)-1</f>
        <v>5499</v>
      </c>
      <c r="D93" s="46">
        <f ca="1">SUMIF(tbl_Bonds[Coupon],$B93,INDIRECT("tbl_Bonds["&amp;D$4&amp;"]"))</f>
        <v>-1529.6369865719817</v>
      </c>
      <c r="E93" s="46">
        <f ca="1">SUMIF(tbl_Bonds[Coupon],$B93,INDIRECT("tbl_Bonds["&amp;E$4&amp;"]"))</f>
        <v>-1444.8409759835854</v>
      </c>
      <c r="F93" s="46">
        <f ca="1">SUMIF(tbl_Bonds[Coupon],$B93,INDIRECT("tbl_Bonds["&amp;F$4&amp;"]"))</f>
        <v>1529.8479904950705</v>
      </c>
      <c r="G93" s="43">
        <f>_xlfn.XLOOKUP(B93,tbl_Bonds[Coupon],tbl_Bonds[Pré Mercado])</f>
        <v>0.12097662092087627</v>
      </c>
      <c r="H93" s="88">
        <v>0</v>
      </c>
      <c r="I93" s="43">
        <f>_xlfn.XLOOKUP(B93,tbl_Bonds[Coupon],tbl_Bonds[Pré Simulada])</f>
        <v>0.12097662092087627</v>
      </c>
      <c r="J93" s="43">
        <f>_xlfn.XLOOKUP($B93,tbl_Bonds[Coupon],tbl_Bonds[Real Mercado])</f>
        <v>5.8834858382543764E-2</v>
      </c>
      <c r="K93" s="88">
        <v>0</v>
      </c>
      <c r="L93" s="43">
        <f>_xlfn.XLOOKUP($B93,tbl_Bonds[Coupon],tbl_Bonds[Real Simulada])</f>
        <v>5.8834858382543764E-2</v>
      </c>
      <c r="M93" s="43">
        <f>_xlfn.XLOOKUP($B93,tbl_Bonds[Coupon],tbl_Bonds[Implícita Mercado])</f>
        <v>5.8688814240932752E-2</v>
      </c>
      <c r="N93" s="88">
        <v>0</v>
      </c>
      <c r="O93" s="63">
        <f>_xlfn.XLOOKUP($B93,tbl_Bonds[Coupon],tbl_Bonds[Implícita Simulada])</f>
        <v>5.8688814240932752E-2</v>
      </c>
      <c r="P93" s="20">
        <f t="shared" ca="1" si="4"/>
        <v>0</v>
      </c>
      <c r="Q93" s="20">
        <f t="shared" ca="1" si="5"/>
        <v>0</v>
      </c>
      <c r="R93" s="106">
        <f t="shared" ca="1" si="6"/>
        <v>0</v>
      </c>
    </row>
    <row r="94" spans="2:18">
      <c r="B94" s="68">
        <v>52917</v>
      </c>
      <c r="C94" s="56">
        <f>NETWORKDAYS(val_date,B94,feriados)-1</f>
        <v>5562</v>
      </c>
      <c r="D94" s="46">
        <f ca="1">SUMIF(tbl_Bonds[Coupon],$B94,INDIRECT("tbl_Bonds["&amp;D$4&amp;"]"))</f>
        <v>-1402.4801970652645</v>
      </c>
      <c r="E94" s="46">
        <f ca="1">SUMIF(tbl_Bonds[Coupon],$B94,INDIRECT("tbl_Bonds["&amp;E$4&amp;"]"))</f>
        <v>-1324.7124922993553</v>
      </c>
      <c r="F94" s="46">
        <f ca="1">SUMIF(tbl_Bonds[Coupon],$B94,INDIRECT("tbl_Bonds["&amp;F$4&amp;"]"))</f>
        <v>1402.6496152129907</v>
      </c>
      <c r="G94" s="43">
        <f>_xlfn.XLOOKUP(B94,tbl_Bonds[Coupon],tbl_Bonds[Pré Mercado])</f>
        <v>0.12099240473572977</v>
      </c>
      <c r="H94" s="88">
        <v>0</v>
      </c>
      <c r="I94" s="43">
        <f>_xlfn.XLOOKUP(B94,tbl_Bonds[Coupon],tbl_Bonds[Pré Simulada])</f>
        <v>0.12099240473572977</v>
      </c>
      <c r="J94" s="43">
        <f>_xlfn.XLOOKUP($B94,tbl_Bonds[Coupon],tbl_Bonds[Real Mercado])</f>
        <v>5.8833236062737715E-2</v>
      </c>
      <c r="K94" s="88">
        <v>0</v>
      </c>
      <c r="L94" s="43">
        <f>_xlfn.XLOOKUP($B94,tbl_Bonds[Coupon],tbl_Bonds[Real Simulada])</f>
        <v>5.8833236062737715E-2</v>
      </c>
      <c r="M94" s="43">
        <f>_xlfn.XLOOKUP($B94,tbl_Bonds[Coupon],tbl_Bonds[Implícita Mercado])</f>
        <v>5.8705343244700003E-2</v>
      </c>
      <c r="N94" s="88">
        <v>0</v>
      </c>
      <c r="O94" s="63">
        <f>_xlfn.XLOOKUP($B94,tbl_Bonds[Coupon],tbl_Bonds[Implícita Simulada])</f>
        <v>5.8705343244700003E-2</v>
      </c>
      <c r="P94" s="20">
        <f t="shared" ca="1" si="4"/>
        <v>0</v>
      </c>
      <c r="Q94" s="20">
        <f t="shared" ca="1" si="5"/>
        <v>0</v>
      </c>
      <c r="R94" s="106">
        <f t="shared" ca="1" si="6"/>
        <v>0</v>
      </c>
    </row>
    <row r="95" spans="2:18">
      <c r="B95" s="68">
        <v>53008</v>
      </c>
      <c r="C95" s="56">
        <f>NETWORKDAYS(val_date,B95,feriados)-1</f>
        <v>5627</v>
      </c>
      <c r="D95" s="46">
        <f ca="1">SUMIF(tbl_Bonds[Coupon],$B95,INDIRECT("tbl_Bonds["&amp;D$4&amp;"]"))</f>
        <v>-1520.5620257156042</v>
      </c>
      <c r="E95" s="46">
        <f ca="1">SUMIF(tbl_Bonds[Coupon],$B95,INDIRECT("tbl_Bonds["&amp;E$4&amp;"]"))</f>
        <v>-1436.2236953310762</v>
      </c>
      <c r="F95" s="46">
        <f ca="1">SUMIF(tbl_Bonds[Coupon],$B95,INDIRECT("tbl_Bonds["&amp;F$4&amp;"]"))</f>
        <v>1520.7186501808887</v>
      </c>
      <c r="G95" s="43">
        <f>_xlfn.XLOOKUP(B95,tbl_Bonds[Coupon],tbl_Bonds[Pré Mercado])</f>
        <v>0.12100831893192408</v>
      </c>
      <c r="H95" s="88">
        <v>0</v>
      </c>
      <c r="I95" s="43">
        <f>_xlfn.XLOOKUP(B95,tbl_Bonds[Coupon],tbl_Bonds[Pré Simulada])</f>
        <v>0.12100831893192408</v>
      </c>
      <c r="J95" s="43">
        <f>_xlfn.XLOOKUP($B95,tbl_Bonds[Coupon],tbl_Bonds[Real Mercado])</f>
        <v>5.8831333067622671E-2</v>
      </c>
      <c r="K95" s="88">
        <v>0</v>
      </c>
      <c r="L95" s="43">
        <f>_xlfn.XLOOKUP($B95,tbl_Bonds[Coupon],tbl_Bonds[Real Simulada])</f>
        <v>5.8831333067622671E-2</v>
      </c>
      <c r="M95" s="43">
        <f>_xlfn.XLOOKUP($B95,tbl_Bonds[Coupon],tbl_Bonds[Implícita Mercado])</f>
        <v>5.8722275893555054E-2</v>
      </c>
      <c r="N95" s="88">
        <v>0</v>
      </c>
      <c r="O95" s="63">
        <f>_xlfn.XLOOKUP($B95,tbl_Bonds[Coupon],tbl_Bonds[Implícita Simulada])</f>
        <v>5.8722275893555054E-2</v>
      </c>
      <c r="P95" s="20">
        <f t="shared" ca="1" si="4"/>
        <v>0</v>
      </c>
      <c r="Q95" s="20">
        <f t="shared" ca="1" si="5"/>
        <v>0</v>
      </c>
      <c r="R95" s="106">
        <f t="shared" ca="1" si="6"/>
        <v>0</v>
      </c>
    </row>
    <row r="96" spans="2:18">
      <c r="B96" s="68">
        <v>53097</v>
      </c>
      <c r="C96" s="56">
        <f>NETWORKDAYS(val_date,B96,feriados)-1</f>
        <v>5685</v>
      </c>
      <c r="D96" s="46">
        <f ca="1">SUMIF(tbl_Bonds[Coupon],$B96,INDIRECT("tbl_Bonds["&amp;D$4&amp;"]"))</f>
        <v>-33744.748798816821</v>
      </c>
      <c r="E96" s="46">
        <f ca="1">SUMIF(tbl_Bonds[Coupon],$B96,INDIRECT("tbl_Bonds["&amp;E$4&amp;"]"))</f>
        <v>-31872.641155398371</v>
      </c>
      <c r="F96" s="46">
        <f ca="1">SUMIF(tbl_Bonds[Coupon],$B96,INDIRECT("tbl_Bonds["&amp;F$4&amp;"]"))</f>
        <v>33747.695770343664</v>
      </c>
      <c r="G96" s="43">
        <f>_xlfn.XLOOKUP(B96,tbl_Bonds[Coupon],tbl_Bonds[Pré Mercado])</f>
        <v>0.1210222118472476</v>
      </c>
      <c r="H96" s="88">
        <v>0</v>
      </c>
      <c r="I96" s="43">
        <f>_xlfn.XLOOKUP(B96,tbl_Bonds[Coupon],tbl_Bonds[Pré Simulada])</f>
        <v>0.1210222118472476</v>
      </c>
      <c r="J96" s="43">
        <f>_xlfn.XLOOKUP($B96,tbl_Bonds[Coupon],tbl_Bonds[Real Mercado])</f>
        <v>5.882959630430995E-2</v>
      </c>
      <c r="K96" s="88">
        <v>0</v>
      </c>
      <c r="L96" s="43">
        <f>_xlfn.XLOOKUP($B96,tbl_Bonds[Coupon],tbl_Bonds[Real Simulada])</f>
        <v>5.882959630430995E-2</v>
      </c>
      <c r="M96" s="43">
        <f>_xlfn.XLOOKUP($B96,tbl_Bonds[Coupon],tbl_Bonds[Implícita Mercado])</f>
        <v>5.8737133598216307E-2</v>
      </c>
      <c r="N96" s="88">
        <v>0</v>
      </c>
      <c r="O96" s="63">
        <f>_xlfn.XLOOKUP($B96,tbl_Bonds[Coupon],tbl_Bonds[Implícita Simulada])</f>
        <v>5.8737133598216307E-2</v>
      </c>
      <c r="P96" s="20">
        <f t="shared" ca="1" si="4"/>
        <v>0</v>
      </c>
      <c r="Q96" s="20">
        <f t="shared" ca="1" si="5"/>
        <v>0</v>
      </c>
      <c r="R96" s="106">
        <f t="shared" ca="1" si="6"/>
        <v>0</v>
      </c>
    </row>
    <row r="97" spans="2:18">
      <c r="B97" s="68">
        <v>53189</v>
      </c>
      <c r="C97" s="56">
        <f>NETWORKDAYS(val_date,B97,feriados)-1</f>
        <v>5750</v>
      </c>
      <c r="D97" s="46">
        <f ca="1">SUMIF(tbl_Bonds[Coupon],$B97,INDIRECT("tbl_Bonds["&amp;D$4&amp;"]"))</f>
        <v>-1511.1763552240207</v>
      </c>
      <c r="E97" s="46">
        <f ca="1">SUMIF(tbl_Bonds[Coupon],$B97,INDIRECT("tbl_Bonds["&amp;E$4&amp;"]"))</f>
        <v>-1427.316282812902</v>
      </c>
      <c r="F97" s="46">
        <f ca="1">SUMIF(tbl_Bonds[Coupon],$B97,INDIRECT("tbl_Bonds["&amp;F$4&amp;"]"))</f>
        <v>1511.2816630734999</v>
      </c>
      <c r="G97" s="43">
        <f>_xlfn.XLOOKUP(B97,tbl_Bonds[Coupon],tbl_Bonds[Pré Mercado])</f>
        <v>0.12103744821679596</v>
      </c>
      <c r="H97" s="88">
        <v>0</v>
      </c>
      <c r="I97" s="43">
        <f>_xlfn.XLOOKUP(B97,tbl_Bonds[Coupon],tbl_Bonds[Pré Simulada])</f>
        <v>0.12103744821679596</v>
      </c>
      <c r="J97" s="43">
        <f>_xlfn.XLOOKUP($B97,tbl_Bonds[Coupon],tbl_Bonds[Real Mercado])</f>
        <v>5.8827451923642471E-2</v>
      </c>
      <c r="K97" s="88">
        <v>0</v>
      </c>
      <c r="L97" s="43">
        <f>_xlfn.XLOOKUP($B97,tbl_Bonds[Coupon],tbl_Bonds[Real Simulada])</f>
        <v>5.8827451923642471E-2</v>
      </c>
      <c r="M97" s="43">
        <f>_xlfn.XLOOKUP($B97,tbl_Bonds[Coupon],tbl_Bonds[Implícita Mercado])</f>
        <v>5.8753667551804112E-2</v>
      </c>
      <c r="N97" s="88">
        <v>0</v>
      </c>
      <c r="O97" s="63">
        <f>_xlfn.XLOOKUP($B97,tbl_Bonds[Coupon],tbl_Bonds[Implícita Simulada])</f>
        <v>5.8753667551804112E-2</v>
      </c>
      <c r="P97" s="20">
        <f t="shared" ca="1" si="4"/>
        <v>0</v>
      </c>
      <c r="Q97" s="20">
        <f t="shared" ca="1" si="5"/>
        <v>0</v>
      </c>
      <c r="R97" s="106">
        <f t="shared" ca="1" si="6"/>
        <v>0</v>
      </c>
    </row>
    <row r="98" spans="2:18">
      <c r="B98" s="68">
        <v>53282</v>
      </c>
      <c r="C98" s="56">
        <f>NETWORKDAYS(val_date,B98,feriados)-1</f>
        <v>5813</v>
      </c>
      <c r="D98" s="46">
        <f ca="1">SUMIF(tbl_Bonds[Coupon],$B98,INDIRECT("tbl_Bonds["&amp;D$4&amp;"]"))</f>
        <v>-434.86914407904942</v>
      </c>
      <c r="E98" s="46">
        <f ca="1">SUMIF(tbl_Bonds[Coupon],$B98,INDIRECT("tbl_Bonds["&amp;E$4&amp;"]"))</f>
        <v>-410.7307385873994</v>
      </c>
      <c r="F98" s="46">
        <f ca="1">SUMIF(tbl_Bonds[Coupon],$B98,INDIRECT("tbl_Bonds["&amp;F$4&amp;"]"))</f>
        <v>434.8921162705355</v>
      </c>
      <c r="G98" s="43">
        <f>_xlfn.XLOOKUP(B98,tbl_Bonds[Coupon],tbl_Bonds[Pré Mercado])</f>
        <v>0.12105189038479054</v>
      </c>
      <c r="H98" s="88">
        <v>0</v>
      </c>
      <c r="I98" s="43">
        <f>_xlfn.XLOOKUP(B98,tbl_Bonds[Coupon],tbl_Bonds[Pré Simulada])</f>
        <v>0.12105189038479054</v>
      </c>
      <c r="J98" s="43">
        <f>_xlfn.XLOOKUP($B98,tbl_Bonds[Coupon],tbl_Bonds[Real Mercado])</f>
        <v>5.8825345606740242E-2</v>
      </c>
      <c r="K98" s="88">
        <v>0</v>
      </c>
      <c r="L98" s="43">
        <f>_xlfn.XLOOKUP($B98,tbl_Bonds[Coupon],tbl_Bonds[Real Simulada])</f>
        <v>5.8825345606740242E-2</v>
      </c>
      <c r="M98" s="43">
        <f>_xlfn.XLOOKUP($B98,tbl_Bonds[Coupon],tbl_Bonds[Implícita Mercado])</f>
        <v>5.8769413621907463E-2</v>
      </c>
      <c r="N98" s="88">
        <v>0</v>
      </c>
      <c r="O98" s="63">
        <f>_xlfn.XLOOKUP($B98,tbl_Bonds[Coupon],tbl_Bonds[Implícita Simulada])</f>
        <v>5.8769413621907463E-2</v>
      </c>
      <c r="P98" s="20">
        <f t="shared" ca="1" si="4"/>
        <v>0</v>
      </c>
      <c r="Q98" s="20">
        <f t="shared" ca="1" si="5"/>
        <v>0</v>
      </c>
      <c r="R98" s="106">
        <f t="shared" ca="1" si="6"/>
        <v>0</v>
      </c>
    </row>
    <row r="99" spans="2:18">
      <c r="B99" s="68">
        <v>53373</v>
      </c>
      <c r="C99" s="56">
        <f>NETWORKDAYS(val_date,B99,feriados)-1</f>
        <v>5874</v>
      </c>
      <c r="D99" s="46">
        <f ca="1">SUMIF(tbl_Bonds[Coupon],$B99,INDIRECT("tbl_Bonds["&amp;D$4&amp;"]"))</f>
        <v>-1501.0960741923318</v>
      </c>
      <c r="E99" s="46">
        <f ca="1">SUMIF(tbl_Bonds[Coupon],$B99,INDIRECT("tbl_Bonds["&amp;E$4&amp;"]"))</f>
        <v>-1417.7540639895128</v>
      </c>
      <c r="F99" s="46">
        <f ca="1">SUMIF(tbl_Bonds[Coupon],$B99,INDIRECT("tbl_Bonds["&amp;F$4&amp;"]"))</f>
        <v>1501.1508357640655</v>
      </c>
      <c r="G99" s="43">
        <f>_xlfn.XLOOKUP(B99,tbl_Bonds[Coupon],tbl_Bonds[Pré Mercado])</f>
        <v>0.12106557868345603</v>
      </c>
      <c r="H99" s="88">
        <v>0</v>
      </c>
      <c r="I99" s="43">
        <f>_xlfn.XLOOKUP(B99,tbl_Bonds[Coupon],tbl_Bonds[Pré Simulada])</f>
        <v>0.12106557868345603</v>
      </c>
      <c r="J99" s="43">
        <f>_xlfn.XLOOKUP($B99,tbl_Bonds[Coupon],tbl_Bonds[Real Mercado])</f>
        <v>5.8823158160998368E-2</v>
      </c>
      <c r="K99" s="88">
        <v>0</v>
      </c>
      <c r="L99" s="43">
        <f>_xlfn.XLOOKUP($B99,tbl_Bonds[Coupon],tbl_Bonds[Real Simulada])</f>
        <v>5.8823158160998368E-2</v>
      </c>
      <c r="M99" s="43">
        <f>_xlfn.XLOOKUP($B99,tbl_Bonds[Coupon],tbl_Bonds[Implícita Mercado])</f>
        <v>5.8784528716759432E-2</v>
      </c>
      <c r="N99" s="88">
        <v>0</v>
      </c>
      <c r="O99" s="63">
        <f>_xlfn.XLOOKUP($B99,tbl_Bonds[Coupon],tbl_Bonds[Implícita Simulada])</f>
        <v>5.8784528716759432E-2</v>
      </c>
      <c r="P99" s="20">
        <f t="shared" ca="1" si="4"/>
        <v>0</v>
      </c>
      <c r="Q99" s="20">
        <f t="shared" ca="1" si="5"/>
        <v>0</v>
      </c>
      <c r="R99" s="106">
        <f t="shared" ca="1" si="6"/>
        <v>0</v>
      </c>
    </row>
    <row r="100" spans="2:18">
      <c r="B100" s="68">
        <v>53462</v>
      </c>
      <c r="C100" s="56">
        <f>NETWORKDAYS(val_date,B100,feriados)-1</f>
        <v>5935</v>
      </c>
      <c r="D100" s="46">
        <f ca="1">SUMIF(tbl_Bonds[Coupon],$B100,INDIRECT("tbl_Bonds["&amp;D$4&amp;"]"))</f>
        <v>-431.92163542362169</v>
      </c>
      <c r="E100" s="46">
        <f ca="1">SUMIF(tbl_Bonds[Coupon],$B100,INDIRECT("tbl_Bonds["&amp;E$4&amp;"]"))</f>
        <v>-407.93529186786384</v>
      </c>
      <c r="F100" s="46">
        <f ca="1">SUMIF(tbl_Bonds[Coupon],$B100,INDIRECT("tbl_Bonds["&amp;F$4&amp;"]"))</f>
        <v>431.93044029004062</v>
      </c>
      <c r="G100" s="43">
        <f>_xlfn.XLOOKUP(B100,tbl_Bonds[Coupon],tbl_Bonds[Pré Mercado])</f>
        <v>0.12107898542351173</v>
      </c>
      <c r="H100" s="88">
        <v>0</v>
      </c>
      <c r="I100" s="43">
        <f>_xlfn.XLOOKUP(B100,tbl_Bonds[Coupon],tbl_Bonds[Pré Simulada])</f>
        <v>0.12107898542351173</v>
      </c>
      <c r="J100" s="43">
        <f>_xlfn.XLOOKUP($B100,tbl_Bonds[Coupon],tbl_Bonds[Real Mercado])</f>
        <v>5.8820967137688029E-2</v>
      </c>
      <c r="K100" s="88">
        <v>0</v>
      </c>
      <c r="L100" s="43">
        <f>_xlfn.XLOOKUP($B100,tbl_Bonds[Coupon],tbl_Bonds[Real Simulada])</f>
        <v>5.8820967137688029E-2</v>
      </c>
      <c r="M100" s="43">
        <f>_xlfn.XLOOKUP($B100,tbl_Bonds[Coupon],tbl_Bonds[Implícita Mercado])</f>
        <v>5.8799381721219346E-2</v>
      </c>
      <c r="N100" s="88">
        <v>0</v>
      </c>
      <c r="O100" s="63">
        <f>_xlfn.XLOOKUP($B100,tbl_Bonds[Coupon],tbl_Bonds[Implícita Simulada])</f>
        <v>5.8799381721219346E-2</v>
      </c>
      <c r="P100" s="20">
        <f t="shared" ca="1" si="4"/>
        <v>0</v>
      </c>
      <c r="Q100" s="20">
        <f t="shared" ca="1" si="5"/>
        <v>0</v>
      </c>
      <c r="R100" s="106">
        <f t="shared" ca="1" si="6"/>
        <v>0</v>
      </c>
    </row>
    <row r="101" spans="2:18">
      <c r="B101" s="68">
        <v>53554</v>
      </c>
      <c r="C101" s="56">
        <f>NETWORKDAYS(val_date,B101,feriados)-1</f>
        <v>6000</v>
      </c>
      <c r="D101" s="46">
        <f ca="1">SUMIF(tbl_Bonds[Coupon],$B101,INDIRECT("tbl_Bonds["&amp;D$4&amp;"]"))</f>
        <v>-1490.2583344059185</v>
      </c>
      <c r="E101" s="46">
        <f ca="1">SUMIF(tbl_Bonds[Coupon],$B101,INDIRECT("tbl_Bonds["&amp;E$4&amp;"]"))</f>
        <v>-1407.4774513820053</v>
      </c>
      <c r="F101" s="46">
        <f ca="1">SUMIF(tbl_Bonds[Coupon],$B101,INDIRECT("tbl_Bonds["&amp;F$4&amp;"]"))</f>
        <v>1490.2631535688836</v>
      </c>
      <c r="G101" s="43">
        <f>_xlfn.XLOOKUP(B101,tbl_Bonds[Coupon],tbl_Bonds[Pré Mercado])</f>
        <v>0.12109297109923711</v>
      </c>
      <c r="H101" s="88">
        <v>0</v>
      </c>
      <c r="I101" s="43">
        <f>_xlfn.XLOOKUP(B101,tbl_Bonds[Coupon],tbl_Bonds[Pré Simulada])</f>
        <v>0.12109297109923711</v>
      </c>
      <c r="J101" s="43">
        <f>_xlfn.XLOOKUP($B101,tbl_Bonds[Coupon],tbl_Bonds[Real Mercado])</f>
        <v>5.8818492538714739E-2</v>
      </c>
      <c r="K101" s="88">
        <v>0</v>
      </c>
      <c r="L101" s="43">
        <f>_xlfn.XLOOKUP($B101,tbl_Bonds[Coupon],tbl_Bonds[Real Simulada])</f>
        <v>5.8818492538714739E-2</v>
      </c>
      <c r="M101" s="43">
        <f>_xlfn.XLOOKUP($B101,tbl_Bonds[Coupon],tbl_Bonds[Implícita Mercado])</f>
        <v>5.8815064940877626E-2</v>
      </c>
      <c r="N101" s="88">
        <v>0</v>
      </c>
      <c r="O101" s="63">
        <f>_xlfn.XLOOKUP($B101,tbl_Bonds[Coupon],tbl_Bonds[Implícita Simulada])</f>
        <v>5.8815064940877626E-2</v>
      </c>
      <c r="P101" s="20">
        <f t="shared" ca="1" si="4"/>
        <v>0</v>
      </c>
      <c r="Q101" s="20">
        <f t="shared" ca="1" si="5"/>
        <v>0</v>
      </c>
      <c r="R101" s="106">
        <f t="shared" ca="1" si="6"/>
        <v>0</v>
      </c>
    </row>
    <row r="102" spans="2:18">
      <c r="B102" s="68">
        <v>53647</v>
      </c>
      <c r="C102" s="56">
        <f>NETWORKDAYS(val_date,B102,feriados)-1</f>
        <v>6063</v>
      </c>
      <c r="D102" s="46">
        <f ca="1">SUMIF(tbl_Bonds[Coupon],$B102,INDIRECT("tbl_Bonds["&amp;D$4&amp;"]"))</f>
        <v>-428.66062817194756</v>
      </c>
      <c r="E102" s="46">
        <f ca="1">SUMIF(tbl_Bonds[Coupon],$B102,INDIRECT("tbl_Bonds["&amp;E$4&amp;"]"))</f>
        <v>-404.84367688484576</v>
      </c>
      <c r="F102" s="46">
        <f ca="1">SUMIF(tbl_Bonds[Coupon],$B102,INDIRECT("tbl_Bonds["&amp;F$4&amp;"]"))</f>
        <v>428.65500170443136</v>
      </c>
      <c r="G102" s="43">
        <f>_xlfn.XLOOKUP(B102,tbl_Bonds[Coupon],tbl_Bonds[Pré Mercado])</f>
        <v>0.12110624008976806</v>
      </c>
      <c r="H102" s="88">
        <v>0</v>
      </c>
      <c r="I102" s="43">
        <f>_xlfn.XLOOKUP(B102,tbl_Bonds[Coupon],tbl_Bonds[Pré Simulada])</f>
        <v>0.12110624008976806</v>
      </c>
      <c r="J102" s="43">
        <f>_xlfn.XLOOKUP($B102,tbl_Bonds[Coupon],tbl_Bonds[Real Mercado])</f>
        <v>5.8816096566091547E-2</v>
      </c>
      <c r="K102" s="88">
        <v>0</v>
      </c>
      <c r="L102" s="43">
        <f>_xlfn.XLOOKUP($B102,tbl_Bonds[Coupon],tbl_Bonds[Real Simulada])</f>
        <v>5.8816096566091547E-2</v>
      </c>
      <c r="M102" s="43">
        <f>_xlfn.XLOOKUP($B102,tbl_Bonds[Coupon],tbl_Bonds[Implícita Mercado])</f>
        <v>5.8829992912210027E-2</v>
      </c>
      <c r="N102" s="88">
        <v>0</v>
      </c>
      <c r="O102" s="63">
        <f>_xlfn.XLOOKUP($B102,tbl_Bonds[Coupon],tbl_Bonds[Implícita Simulada])</f>
        <v>5.8829992912210027E-2</v>
      </c>
      <c r="P102" s="20">
        <f t="shared" ca="1" si="4"/>
        <v>0</v>
      </c>
      <c r="Q102" s="20">
        <f t="shared" ca="1" si="5"/>
        <v>0</v>
      </c>
      <c r="R102" s="106">
        <f t="shared" ca="1" si="6"/>
        <v>0</v>
      </c>
    </row>
    <row r="103" spans="2:18">
      <c r="B103" s="68">
        <v>53738</v>
      </c>
      <c r="C103" s="56">
        <f>NETWORKDAYS(val_date,B103,feriados)-1</f>
        <v>6126</v>
      </c>
      <c r="D103" s="46">
        <f ca="1">SUMIF(tbl_Bonds[Coupon],$B103,INDIRECT("tbl_Bonds["&amp;D$4&amp;"]"))</f>
        <v>-1478.8610146841277</v>
      </c>
      <c r="E103" s="46">
        <f ca="1">SUMIF(tbl_Bonds[Coupon],$B103,INDIRECT("tbl_Bonds["&amp;E$4&amp;"]"))</f>
        <v>-1396.6740518354075</v>
      </c>
      <c r="F103" s="46">
        <f ca="1">SUMIF(tbl_Bonds[Coupon],$B103,INDIRECT("tbl_Bonds["&amp;F$4&amp;"]"))</f>
        <v>1478.8174773664794</v>
      </c>
      <c r="G103" s="43">
        <f>_xlfn.XLOOKUP(B103,tbl_Bonds[Coupon],tbl_Bonds[Pré Mercado])</f>
        <v>0.12111923599210093</v>
      </c>
      <c r="H103" s="88">
        <v>0</v>
      </c>
      <c r="I103" s="43">
        <f>_xlfn.XLOOKUP(B103,tbl_Bonds[Coupon],tbl_Bonds[Pré Simulada])</f>
        <v>0.12111923599210093</v>
      </c>
      <c r="J103" s="43">
        <f>_xlfn.XLOOKUP($B103,tbl_Bonds[Coupon],tbl_Bonds[Real Mercado])</f>
        <v>5.8813597365411585E-2</v>
      </c>
      <c r="K103" s="88">
        <v>0</v>
      </c>
      <c r="L103" s="43">
        <f>_xlfn.XLOOKUP($B103,tbl_Bonds[Coupon],tbl_Bonds[Real Simulada])</f>
        <v>5.8813597365411585E-2</v>
      </c>
      <c r="M103" s="43">
        <f>_xlfn.XLOOKUP($B103,tbl_Bonds[Coupon],tbl_Bonds[Implícita Mercado])</f>
        <v>5.88447660979734E-2</v>
      </c>
      <c r="N103" s="88">
        <v>0</v>
      </c>
      <c r="O103" s="63">
        <f>_xlfn.XLOOKUP($B103,tbl_Bonds[Coupon],tbl_Bonds[Implícita Simulada])</f>
        <v>5.88447660979734E-2</v>
      </c>
      <c r="P103" s="20">
        <f t="shared" ca="1" si="4"/>
        <v>0</v>
      </c>
      <c r="Q103" s="20">
        <f t="shared" ca="1" si="5"/>
        <v>0</v>
      </c>
      <c r="R103" s="106">
        <f t="shared" ca="1" si="6"/>
        <v>0</v>
      </c>
    </row>
    <row r="104" spans="2:18">
      <c r="B104" s="68">
        <v>53827</v>
      </c>
      <c r="C104" s="56">
        <f>NETWORKDAYS(val_date,B104,feriados)-1</f>
        <v>6185</v>
      </c>
      <c r="D104" s="46">
        <f ca="1">SUMIF(tbl_Bonds[Coupon],$B104,INDIRECT("tbl_Bonds["&amp;D$4&amp;"]"))</f>
        <v>-425.40244565999166</v>
      </c>
      <c r="E104" s="46">
        <f ca="1">SUMIF(tbl_Bonds[Coupon],$B104,INDIRECT("tbl_Bonds["&amp;E$4&amp;"]"))</f>
        <v>-401.75576048480792</v>
      </c>
      <c r="F104" s="46">
        <f ca="1">SUMIF(tbl_Bonds[Coupon],$B104,INDIRECT("tbl_Bonds["&amp;F$4&amp;"]"))</f>
        <v>425.38352807500263</v>
      </c>
      <c r="G104" s="43">
        <f>_xlfn.XLOOKUP(B104,tbl_Bonds[Coupon],tbl_Bonds[Pré Mercado])</f>
        <v>0.1211311665390121</v>
      </c>
      <c r="H104" s="88">
        <v>0</v>
      </c>
      <c r="I104" s="43">
        <f>_xlfn.XLOOKUP(B104,tbl_Bonds[Coupon],tbl_Bonds[Pré Simulada])</f>
        <v>0.1211311665390121</v>
      </c>
      <c r="J104" s="43">
        <f>_xlfn.XLOOKUP($B104,tbl_Bonds[Coupon],tbl_Bonds[Real Mercado])</f>
        <v>5.8811272659216041E-2</v>
      </c>
      <c r="K104" s="88">
        <v>0</v>
      </c>
      <c r="L104" s="43">
        <f>_xlfn.XLOOKUP($B104,tbl_Bonds[Coupon],tbl_Bonds[Real Simulada])</f>
        <v>5.8811272659216041E-2</v>
      </c>
      <c r="M104" s="43">
        <f>_xlfn.XLOOKUP($B104,tbl_Bonds[Coupon],tbl_Bonds[Implícita Mercado])</f>
        <v>5.8858358842431624E-2</v>
      </c>
      <c r="N104" s="88">
        <v>0</v>
      </c>
      <c r="O104" s="63">
        <f>_xlfn.XLOOKUP($B104,tbl_Bonds[Coupon],tbl_Bonds[Implícita Simulada])</f>
        <v>5.8858358842431624E-2</v>
      </c>
      <c r="P104" s="20">
        <f t="shared" ca="1" si="4"/>
        <v>0</v>
      </c>
      <c r="Q104" s="20">
        <f t="shared" ca="1" si="5"/>
        <v>0</v>
      </c>
      <c r="R104" s="106">
        <f t="shared" ca="1" si="6"/>
        <v>0</v>
      </c>
    </row>
    <row r="105" spans="2:18">
      <c r="B105" s="68">
        <v>53919</v>
      </c>
      <c r="C105" s="56">
        <f>NETWORKDAYS(val_date,B105,feriados)-1</f>
        <v>6250</v>
      </c>
      <c r="D105" s="46">
        <f ca="1">SUMIF(tbl_Bonds[Coupon],$B105,INDIRECT("tbl_Bonds["&amp;D$4&amp;"]"))</f>
        <v>-1467.1357784429042</v>
      </c>
      <c r="E105" s="46">
        <f ca="1">SUMIF(tbl_Bonds[Coupon],$B105,INDIRECT("tbl_Bonds["&amp;E$4&amp;"]"))</f>
        <v>-1385.5632573904541</v>
      </c>
      <c r="F105" s="46">
        <f ca="1">SUMIF(tbl_Bonds[Coupon],$B105,INDIRECT("tbl_Bonds["&amp;F$4&amp;"]"))</f>
        <v>1467.0463178069326</v>
      </c>
      <c r="G105" s="43">
        <f>_xlfn.XLOOKUP(B105,tbl_Bonds[Coupon],tbl_Bonds[Pré Mercado])</f>
        <v>0.1211440494286013</v>
      </c>
      <c r="H105" s="88">
        <v>0</v>
      </c>
      <c r="I105" s="43">
        <f>_xlfn.XLOOKUP(B105,tbl_Bonds[Coupon],tbl_Bonds[Pré Simulada])</f>
        <v>0.1211440494286013</v>
      </c>
      <c r="J105" s="43">
        <f>_xlfn.XLOOKUP($B105,tbl_Bonds[Coupon],tbl_Bonds[Real Mercado])</f>
        <v>5.8808617939406949E-2</v>
      </c>
      <c r="K105" s="88">
        <v>0</v>
      </c>
      <c r="L105" s="43">
        <f>_xlfn.XLOOKUP($B105,tbl_Bonds[Coupon],tbl_Bonds[Real Simulada])</f>
        <v>5.8808617939406949E-2</v>
      </c>
      <c r="M105" s="43">
        <f>_xlfn.XLOOKUP($B105,tbl_Bonds[Coupon],tbl_Bonds[Implícita Mercado])</f>
        <v>5.8873180945232306E-2</v>
      </c>
      <c r="N105" s="88">
        <v>0</v>
      </c>
      <c r="O105" s="63">
        <f>_xlfn.XLOOKUP($B105,tbl_Bonds[Coupon],tbl_Bonds[Implícita Simulada])</f>
        <v>5.8873180945232306E-2</v>
      </c>
      <c r="P105" s="20">
        <f t="shared" ca="1" si="4"/>
        <v>0</v>
      </c>
      <c r="Q105" s="20">
        <f t="shared" ca="1" si="5"/>
        <v>0</v>
      </c>
      <c r="R105" s="106">
        <f t="shared" ca="1" si="6"/>
        <v>0</v>
      </c>
    </row>
    <row r="106" spans="2:18">
      <c r="B106" s="68">
        <v>54014</v>
      </c>
      <c r="C106" s="56">
        <f>NETWORKDAYS(val_date,B106,feriados)-1</f>
        <v>6316</v>
      </c>
      <c r="D106" s="46">
        <f ca="1">SUMIF(tbl_Bonds[Coupon],$B106,INDIRECT("tbl_Bonds["&amp;D$4&amp;"]"))</f>
        <v>-421.75252784348822</v>
      </c>
      <c r="E106" s="46">
        <f ca="1">SUMIF(tbl_Bonds[Coupon],$B106,INDIRECT("tbl_Bonds["&amp;E$4&amp;"]"))</f>
        <v>-398.29759561909538</v>
      </c>
      <c r="F106" s="46">
        <f ca="1">SUMIF(tbl_Bonds[Coupon],$B106,INDIRECT("tbl_Bonds["&amp;F$4&amp;"]"))</f>
        <v>421.71986032180257</v>
      </c>
      <c r="G106" s="43">
        <f>_xlfn.XLOOKUP(B106,tbl_Bonds[Coupon],tbl_Bonds[Pré Mercado])</f>
        <v>0.12115685903741628</v>
      </c>
      <c r="H106" s="88">
        <v>0</v>
      </c>
      <c r="I106" s="43">
        <f>_xlfn.XLOOKUP(B106,tbl_Bonds[Coupon],tbl_Bonds[Pré Simulada])</f>
        <v>0.12115685903741628</v>
      </c>
      <c r="J106" s="43">
        <f>_xlfn.XLOOKUP($B106,tbl_Bonds[Coupon],tbl_Bonds[Real Mercado])</f>
        <v>5.88059404263781E-2</v>
      </c>
      <c r="K106" s="88">
        <v>0</v>
      </c>
      <c r="L106" s="43">
        <f>_xlfn.XLOOKUP($B106,tbl_Bonds[Coupon],tbl_Bonds[Real Simulada])</f>
        <v>5.88059404263781E-2</v>
      </c>
      <c r="M106" s="43">
        <f>_xlfn.XLOOKUP($B106,tbl_Bonds[Coupon],tbl_Bonds[Implícita Mercado])</f>
        <v>5.8887956867165414E-2</v>
      </c>
      <c r="N106" s="88">
        <v>0</v>
      </c>
      <c r="O106" s="63">
        <f>_xlfn.XLOOKUP($B106,tbl_Bonds[Coupon],tbl_Bonds[Implícita Simulada])</f>
        <v>5.8887956867165414E-2</v>
      </c>
      <c r="P106" s="20">
        <f t="shared" ca="1" si="4"/>
        <v>0</v>
      </c>
      <c r="Q106" s="20">
        <f t="shared" ca="1" si="5"/>
        <v>0</v>
      </c>
      <c r="R106" s="106">
        <f t="shared" ca="1" si="6"/>
        <v>0</v>
      </c>
    </row>
    <row r="107" spans="2:18">
      <c r="B107" s="68">
        <v>54107</v>
      </c>
      <c r="C107" s="56">
        <f>NETWORKDAYS(val_date,B107,feriados)-1</f>
        <v>6379</v>
      </c>
      <c r="D107" s="46">
        <f ca="1">SUMIF(tbl_Bonds[Coupon],$B107,INDIRECT("tbl_Bonds["&amp;D$4&amp;"]"))</f>
        <v>-1454.4401210942119</v>
      </c>
      <c r="E107" s="46">
        <f ca="1">SUMIF(tbl_Bonds[Coupon],$B107,INDIRECT("tbl_Bonds["&amp;E$4&amp;"]"))</f>
        <v>-1373.5362396596804</v>
      </c>
      <c r="F107" s="46">
        <f ca="1">SUMIF(tbl_Bonds[Coupon],$B107,INDIRECT("tbl_Bonds["&amp;F$4&amp;"]"))</f>
        <v>1454.3047369958483</v>
      </c>
      <c r="G107" s="43">
        <f>_xlfn.XLOOKUP(B107,tbl_Bonds[Coupon],tbl_Bonds[Pré Mercado])</f>
        <v>0.12116883897384434</v>
      </c>
      <c r="H107" s="88">
        <v>0</v>
      </c>
      <c r="I107" s="43">
        <f>_xlfn.XLOOKUP(B107,tbl_Bonds[Coupon],tbl_Bonds[Pré Simulada])</f>
        <v>0.12116883897384434</v>
      </c>
      <c r="J107" s="43">
        <f>_xlfn.XLOOKUP($B107,tbl_Bonds[Coupon],tbl_Bonds[Real Mercado])</f>
        <v>5.8803324471326635E-2</v>
      </c>
      <c r="K107" s="88">
        <v>0</v>
      </c>
      <c r="L107" s="43">
        <f>_xlfn.XLOOKUP($B107,tbl_Bonds[Coupon],tbl_Bonds[Real Simulada])</f>
        <v>5.8803324471326635E-2</v>
      </c>
      <c r="M107" s="43">
        <f>_xlfn.XLOOKUP($B107,tbl_Bonds[Coupon],tbl_Bonds[Implícita Mercado])</f>
        <v>5.8901887570582678E-2</v>
      </c>
      <c r="N107" s="88">
        <v>0</v>
      </c>
      <c r="O107" s="63">
        <f>_xlfn.XLOOKUP($B107,tbl_Bonds[Coupon],tbl_Bonds[Implícita Simulada])</f>
        <v>5.8901887570582678E-2</v>
      </c>
      <c r="P107" s="20">
        <f t="shared" ca="1" si="4"/>
        <v>0</v>
      </c>
      <c r="Q107" s="20">
        <f t="shared" ca="1" si="5"/>
        <v>0</v>
      </c>
      <c r="R107" s="106">
        <f t="shared" ca="1" si="6"/>
        <v>0</v>
      </c>
    </row>
    <row r="108" spans="2:18">
      <c r="B108" s="68">
        <v>54193</v>
      </c>
      <c r="C108" s="56">
        <f>NETWORKDAYS(val_date,B108,feriados)-1</f>
        <v>6438</v>
      </c>
      <c r="D108" s="46">
        <f ca="1">SUMIF(tbl_Bonds[Coupon],$B108,INDIRECT("tbl_Bonds["&amp;D$4&amp;"]"))</f>
        <v>-418.22230722174515</v>
      </c>
      <c r="E108" s="46">
        <f ca="1">SUMIF(tbl_Bonds[Coupon],$B108,INDIRECT("tbl_Bonds["&amp;E$4&amp;"]"))</f>
        <v>-394.95372237881566</v>
      </c>
      <c r="F108" s="46">
        <f ca="1">SUMIF(tbl_Bonds[Coupon],$B108,INDIRECT("tbl_Bonds["&amp;F$4&amp;"]"))</f>
        <v>418.17735541442261</v>
      </c>
      <c r="G108" s="43">
        <f>_xlfn.XLOOKUP(B108,tbl_Bonds[Coupon],tbl_Bonds[Pré Mercado])</f>
        <v>0.12117984554722082</v>
      </c>
      <c r="H108" s="88">
        <v>0</v>
      </c>
      <c r="I108" s="43">
        <f>_xlfn.XLOOKUP(B108,tbl_Bonds[Coupon],tbl_Bonds[Pré Simulada])</f>
        <v>0.12117984554722082</v>
      </c>
      <c r="J108" s="43">
        <f>_xlfn.XLOOKUP($B108,tbl_Bonds[Coupon],tbl_Bonds[Real Mercado])</f>
        <v>5.8800896670873293E-2</v>
      </c>
      <c r="K108" s="88">
        <v>0</v>
      </c>
      <c r="L108" s="43">
        <f>_xlfn.XLOOKUP($B108,tbl_Bonds[Coupon],tbl_Bonds[Real Simulada])</f>
        <v>5.8800896670873293E-2</v>
      </c>
      <c r="M108" s="43">
        <f>_xlfn.XLOOKUP($B108,tbl_Bonds[Coupon],tbl_Bonds[Implícita Mercado])</f>
        <v>5.8914710998978048E-2</v>
      </c>
      <c r="N108" s="88">
        <v>0</v>
      </c>
      <c r="O108" s="63">
        <f>_xlfn.XLOOKUP($B108,tbl_Bonds[Coupon],tbl_Bonds[Implícita Simulada])</f>
        <v>5.8914710998978048E-2</v>
      </c>
      <c r="P108" s="20">
        <f t="shared" ca="1" si="4"/>
        <v>0</v>
      </c>
      <c r="Q108" s="20">
        <f t="shared" ca="1" si="5"/>
        <v>0</v>
      </c>
      <c r="R108" s="106">
        <f t="shared" ca="1" si="6"/>
        <v>0</v>
      </c>
    </row>
    <row r="109" spans="2:18">
      <c r="B109" s="68">
        <v>54287</v>
      </c>
      <c r="C109" s="56">
        <f>NETWORKDAYS(val_date,B109,feriados)-1</f>
        <v>6503</v>
      </c>
      <c r="D109" s="46">
        <f ca="1">SUMIF(tbl_Bonds[Coupon],$B109,INDIRECT("tbl_Bonds["&amp;D$4&amp;"]"))</f>
        <v>-1441.793231224975</v>
      </c>
      <c r="E109" s="46">
        <f ca="1">SUMIF(tbl_Bonds[Coupon],$B109,INDIRECT("tbl_Bonds["&amp;E$4&amp;"]"))</f>
        <v>-1361.5583975772522</v>
      </c>
      <c r="F109" s="46">
        <f ca="1">SUMIF(tbl_Bonds[Coupon],$B109,INDIRECT("tbl_Bonds["&amp;F$4&amp;"]"))</f>
        <v>1441.6155383370133</v>
      </c>
      <c r="G109" s="43">
        <f>_xlfn.XLOOKUP(B109,tbl_Bonds[Coupon],tbl_Bonds[Pré Mercado])</f>
        <v>0.12119174007906819</v>
      </c>
      <c r="H109" s="88">
        <v>0</v>
      </c>
      <c r="I109" s="43">
        <f>_xlfn.XLOOKUP(B109,tbl_Bonds[Coupon],tbl_Bonds[Pré Simulada])</f>
        <v>0.12119174007906819</v>
      </c>
      <c r="J109" s="43">
        <f>_xlfn.XLOOKUP($B109,tbl_Bonds[Coupon],tbl_Bonds[Real Mercado])</f>
        <v>5.879816888569378E-2</v>
      </c>
      <c r="K109" s="88">
        <v>0</v>
      </c>
      <c r="L109" s="43">
        <f>_xlfn.XLOOKUP($B109,tbl_Bonds[Coupon],tbl_Bonds[Real Simulada])</f>
        <v>5.879816888569378E-2</v>
      </c>
      <c r="M109" s="43">
        <f>_xlfn.XLOOKUP($B109,tbl_Bonds[Coupon],tbl_Bonds[Implícita Mercado])</f>
        <v>5.8928673007986543E-2</v>
      </c>
      <c r="N109" s="88">
        <v>0</v>
      </c>
      <c r="O109" s="63">
        <f>_xlfn.XLOOKUP($B109,tbl_Bonds[Coupon],tbl_Bonds[Implícita Simulada])</f>
        <v>5.8928673007986543E-2</v>
      </c>
      <c r="P109" s="20">
        <f t="shared" ca="1" si="4"/>
        <v>0</v>
      </c>
      <c r="Q109" s="20">
        <f t="shared" ca="1" si="5"/>
        <v>0</v>
      </c>
      <c r="R109" s="106">
        <f t="shared" ca="1" si="6"/>
        <v>0</v>
      </c>
    </row>
    <row r="110" spans="2:18">
      <c r="B110" s="68">
        <v>54378</v>
      </c>
      <c r="C110" s="56">
        <f>NETWORKDAYS(val_date,B110,feriados)-1</f>
        <v>6565</v>
      </c>
      <c r="D110" s="46">
        <f ca="1">SUMIF(tbl_Bonds[Coupon],$B110,INDIRECT("tbl_Bonds["&amp;D$4&amp;"]"))</f>
        <v>-414.42329755032097</v>
      </c>
      <c r="E110" s="46">
        <f ca="1">SUMIF(tbl_Bonds[Coupon],$B110,INDIRECT("tbl_Bonds["&amp;E$4&amp;"]"))</f>
        <v>-391.35608251832713</v>
      </c>
      <c r="F110" s="46">
        <f ca="1">SUMIF(tbl_Bonds[Coupon],$B110,INDIRECT("tbl_Bonds["&amp;F$4&amp;"]"))</f>
        <v>414.36609615424175</v>
      </c>
      <c r="G110" s="43">
        <f>_xlfn.XLOOKUP(B110,tbl_Bonds[Coupon],tbl_Bonds[Pré Mercado])</f>
        <v>0.12120286602459891</v>
      </c>
      <c r="H110" s="88">
        <v>0</v>
      </c>
      <c r="I110" s="43">
        <f>_xlfn.XLOOKUP(B110,tbl_Bonds[Coupon],tbl_Bonds[Pré Simulada])</f>
        <v>0.12120286602459891</v>
      </c>
      <c r="J110" s="43">
        <f>_xlfn.XLOOKUP($B110,tbl_Bonds[Coupon],tbl_Bonds[Real Mercado])</f>
        <v>5.8795594722495181E-2</v>
      </c>
      <c r="K110" s="88">
        <v>0</v>
      </c>
      <c r="L110" s="43">
        <f>_xlfn.XLOOKUP($B110,tbl_Bonds[Coupon],tbl_Bonds[Real Simulada])</f>
        <v>5.8795594722495181E-2</v>
      </c>
      <c r="M110" s="43">
        <f>_xlfn.XLOOKUP($B110,tbl_Bonds[Coupon],tbl_Bonds[Implícita Mercado])</f>
        <v>5.8941755679680075E-2</v>
      </c>
      <c r="N110" s="88">
        <v>0</v>
      </c>
      <c r="O110" s="63">
        <f>_xlfn.XLOOKUP($B110,tbl_Bonds[Coupon],tbl_Bonds[Implícita Simulada])</f>
        <v>5.8941755679680075E-2</v>
      </c>
      <c r="P110" s="20">
        <f t="shared" ca="1" si="4"/>
        <v>0</v>
      </c>
      <c r="Q110" s="20">
        <f t="shared" ca="1" si="5"/>
        <v>0</v>
      </c>
      <c r="R110" s="106">
        <f t="shared" ca="1" si="6"/>
        <v>0</v>
      </c>
    </row>
    <row r="111" spans="2:18">
      <c r="B111" s="68">
        <v>54469</v>
      </c>
      <c r="C111" s="56">
        <f>NETWORKDAYS(val_date,B111,feriados)-1</f>
        <v>6628</v>
      </c>
      <c r="D111" s="46">
        <f ca="1">SUMIF(tbl_Bonds[Coupon],$B111,INDIRECT("tbl_Bonds["&amp;D$4&amp;"]"))</f>
        <v>-1428.6377744840302</v>
      </c>
      <c r="E111" s="46">
        <f ca="1">SUMIF(tbl_Bonds[Coupon],$B111,INDIRECT("tbl_Bonds["&amp;E$4&amp;"]"))</f>
        <v>-1349.1016396357954</v>
      </c>
      <c r="F111" s="46">
        <f ca="1">SUMIF(tbl_Bonds[Coupon],$B111,INDIRECT("tbl_Bonds["&amp;F$4&amp;"]"))</f>
        <v>1428.419295011694</v>
      </c>
      <c r="G111" s="43">
        <f>_xlfn.XLOOKUP(B111,tbl_Bonds[Coupon],tbl_Bonds[Pré Mercado])</f>
        <v>0.12121395808482756</v>
      </c>
      <c r="H111" s="88">
        <v>0</v>
      </c>
      <c r="I111" s="43">
        <f>_xlfn.XLOOKUP(B111,tbl_Bonds[Coupon],tbl_Bonds[Pré Simulada])</f>
        <v>0.12121395808482756</v>
      </c>
      <c r="J111" s="43">
        <f>_xlfn.XLOOKUP($B111,tbl_Bonds[Coupon],tbl_Bonds[Real Mercado])</f>
        <v>5.8792942581760599E-2</v>
      </c>
      <c r="K111" s="88">
        <v>0</v>
      </c>
      <c r="L111" s="43">
        <f>_xlfn.XLOOKUP($B111,tbl_Bonds[Coupon],tbl_Bonds[Real Simulada])</f>
        <v>5.8792942581760599E-2</v>
      </c>
      <c r="M111" s="43">
        <f>_xlfn.XLOOKUP($B111,tbl_Bonds[Coupon],tbl_Bonds[Implícita Mercado])</f>
        <v>5.8954884267646168E-2</v>
      </c>
      <c r="N111" s="88">
        <v>0</v>
      </c>
      <c r="O111" s="63">
        <f>_xlfn.XLOOKUP($B111,tbl_Bonds[Coupon],tbl_Bonds[Implícita Simulada])</f>
        <v>5.8954884267646168E-2</v>
      </c>
      <c r="P111" s="20">
        <f t="shared" ca="1" si="4"/>
        <v>0</v>
      </c>
      <c r="Q111" s="20">
        <f t="shared" ca="1" si="5"/>
        <v>0</v>
      </c>
      <c r="R111" s="106">
        <f t="shared" ca="1" si="6"/>
        <v>0</v>
      </c>
    </row>
    <row r="112" spans="2:18">
      <c r="B112" s="68">
        <v>54560</v>
      </c>
      <c r="C112" s="56">
        <f>NETWORKDAYS(val_date,B112,feriados)-1</f>
        <v>6689</v>
      </c>
      <c r="D112" s="46">
        <f ca="1">SUMIF(tbl_Bonds[Coupon],$B112,INDIRECT("tbl_Bonds["&amp;D$4&amp;"]"))</f>
        <v>-410.60110071411663</v>
      </c>
      <c r="E112" s="46">
        <f ca="1">SUMIF(tbl_Bonds[Coupon],$B112,INDIRECT("tbl_Bonds["&amp;E$4&amp;"]"))</f>
        <v>-387.73725170805733</v>
      </c>
      <c r="F112" s="46">
        <f ca="1">SUMIF(tbl_Bonds[Coupon],$B112,INDIRECT("tbl_Bonds["&amp;F$4&amp;"]"))</f>
        <v>410.53248211453104</v>
      </c>
      <c r="G112" s="43">
        <f>_xlfn.XLOOKUP(B112,tbl_Bonds[Coupon],tbl_Bonds[Pré Mercado])</f>
        <v>0.1212244988063953</v>
      </c>
      <c r="H112" s="88">
        <v>0</v>
      </c>
      <c r="I112" s="43">
        <f>_xlfn.XLOOKUP(B112,tbl_Bonds[Coupon],tbl_Bonds[Pré Simulada])</f>
        <v>0.1212244988063953</v>
      </c>
      <c r="J112" s="43">
        <f>_xlfn.XLOOKUP($B112,tbl_Bonds[Coupon],tbl_Bonds[Real Mercado])</f>
        <v>5.8790405857079397E-2</v>
      </c>
      <c r="K112" s="88">
        <v>0</v>
      </c>
      <c r="L112" s="43">
        <f>_xlfn.XLOOKUP($B112,tbl_Bonds[Coupon],tbl_Bonds[Real Simulada])</f>
        <v>5.8790405857079397E-2</v>
      </c>
      <c r="M112" s="43">
        <f>_xlfn.XLOOKUP($B112,tbl_Bonds[Coupon],tbl_Bonds[Implícita Mercado])</f>
        <v>5.8967376894799139E-2</v>
      </c>
      <c r="N112" s="88">
        <v>0</v>
      </c>
      <c r="O112" s="63">
        <f>_xlfn.XLOOKUP($B112,tbl_Bonds[Coupon],tbl_Bonds[Implícita Simulada])</f>
        <v>5.8967376894799139E-2</v>
      </c>
      <c r="P112" s="20">
        <f t="shared" ca="1" si="4"/>
        <v>0</v>
      </c>
      <c r="Q112" s="20">
        <f t="shared" ca="1" si="5"/>
        <v>0</v>
      </c>
      <c r="R112" s="106">
        <f t="shared" ca="1" si="6"/>
        <v>0</v>
      </c>
    </row>
    <row r="113" spans="2:18">
      <c r="B113" s="68">
        <v>54651</v>
      </c>
      <c r="C113" s="56">
        <f>NETWORKDAYS(val_date,B113,feriados)-1</f>
        <v>6753</v>
      </c>
      <c r="D113" s="46">
        <f ca="1">SUMIF(tbl_Bonds[Coupon],$B113,INDIRECT("tbl_Bonds["&amp;D$4&amp;"]"))</f>
        <v>-1415.1057891798259</v>
      </c>
      <c r="E113" s="46">
        <f ca="1">SUMIF(tbl_Bonds[Coupon],$B113,INDIRECT("tbl_Bonds["&amp;E$4&amp;"]"))</f>
        <v>-1336.2909213768912</v>
      </c>
      <c r="F113" s="46">
        <f ca="1">SUMIF(tbl_Bonds[Coupon],$B113,INDIRECT("tbl_Bonds["&amp;F$4&amp;"]"))</f>
        <v>1414.8484129883543</v>
      </c>
      <c r="G113" s="43">
        <f>_xlfn.XLOOKUP(B113,tbl_Bonds[Coupon],tbl_Bonds[Pré Mercado])</f>
        <v>0.12123535310049624</v>
      </c>
      <c r="H113" s="88">
        <v>0</v>
      </c>
      <c r="I113" s="43">
        <f>_xlfn.XLOOKUP(B113,tbl_Bonds[Coupon],tbl_Bonds[Pré Simulada])</f>
        <v>0.12123535310049624</v>
      </c>
      <c r="J113" s="43">
        <f>_xlfn.XLOOKUP($B113,tbl_Bonds[Coupon],tbl_Bonds[Real Mercado])</f>
        <v>5.8787716226643916E-2</v>
      </c>
      <c r="K113" s="88">
        <v>0</v>
      </c>
      <c r="L113" s="43">
        <f>_xlfn.XLOOKUP($B113,tbl_Bonds[Coupon],tbl_Bonds[Real Simulada])</f>
        <v>5.8787716226643916E-2</v>
      </c>
      <c r="M113" s="43">
        <f>_xlfn.XLOOKUP($B113,tbl_Bonds[Coupon],tbl_Bonds[Implícita Mercado])</f>
        <v>5.8980318541968391E-2</v>
      </c>
      <c r="N113" s="88">
        <v>0</v>
      </c>
      <c r="O113" s="63">
        <f>_xlfn.XLOOKUP($B113,tbl_Bonds[Coupon],tbl_Bonds[Implícita Simulada])</f>
        <v>5.8980318541968391E-2</v>
      </c>
      <c r="P113" s="20">
        <f t="shared" ca="1" si="4"/>
        <v>0</v>
      </c>
      <c r="Q113" s="20">
        <f t="shared" ca="1" si="5"/>
        <v>0</v>
      </c>
      <c r="R113" s="106">
        <f t="shared" ca="1" si="6"/>
        <v>0</v>
      </c>
    </row>
    <row r="114" spans="2:18">
      <c r="B114" s="68">
        <v>54743</v>
      </c>
      <c r="C114" s="56">
        <f>NETWORKDAYS(val_date,B114,feriados)-1</f>
        <v>6815</v>
      </c>
      <c r="D114" s="46">
        <f ca="1">SUMIF(tbl_Bonds[Coupon],$B114,INDIRECT("tbl_Bonds["&amp;D$4&amp;"]"))</f>
        <v>-406.61209464700295</v>
      </c>
      <c r="E114" s="46">
        <f ca="1">SUMIF(tbl_Bonds[Coupon],$B114,INDIRECT("tbl_Bonds["&amp;E$4&amp;"]"))</f>
        <v>-383.96120964673514</v>
      </c>
      <c r="F114" s="46">
        <f ca="1">SUMIF(tbl_Bonds[Coupon],$B114,INDIRECT("tbl_Bonds["&amp;F$4&amp;"]"))</f>
        <v>406.53242496657879</v>
      </c>
      <c r="G114" s="43">
        <f>_xlfn.XLOOKUP(B114,tbl_Bonds[Coupon],tbl_Bonds[Pré Mercado])</f>
        <v>0.12124567367891287</v>
      </c>
      <c r="H114" s="88">
        <v>0</v>
      </c>
      <c r="I114" s="43">
        <f>_xlfn.XLOOKUP(B114,tbl_Bonds[Coupon],tbl_Bonds[Pré Simulada])</f>
        <v>0.12124567367891287</v>
      </c>
      <c r="J114" s="43">
        <f>_xlfn.XLOOKUP($B114,tbl_Bonds[Coupon],tbl_Bonds[Real Mercado])</f>
        <v>5.8785144804037959E-2</v>
      </c>
      <c r="K114" s="88">
        <v>0</v>
      </c>
      <c r="L114" s="43">
        <f>_xlfn.XLOOKUP($B114,tbl_Bonds[Coupon],tbl_Bonds[Real Simulada])</f>
        <v>5.8785144804037959E-2</v>
      </c>
      <c r="M114" s="43">
        <f>_xlfn.XLOOKUP($B114,tbl_Bonds[Coupon],tbl_Bonds[Implícita Mercado])</f>
        <v>5.8992638071407866E-2</v>
      </c>
      <c r="N114" s="88">
        <v>0</v>
      </c>
      <c r="O114" s="63">
        <f>_xlfn.XLOOKUP($B114,tbl_Bonds[Coupon],tbl_Bonds[Implícita Simulada])</f>
        <v>5.8992638071407866E-2</v>
      </c>
      <c r="P114" s="20">
        <f t="shared" ca="1" si="4"/>
        <v>0</v>
      </c>
      <c r="Q114" s="20">
        <f t="shared" ca="1" si="5"/>
        <v>0</v>
      </c>
      <c r="R114" s="106">
        <f t="shared" ca="1" si="6"/>
        <v>0</v>
      </c>
    </row>
    <row r="115" spans="2:18">
      <c r="B115" s="68">
        <v>54834</v>
      </c>
      <c r="C115" s="56">
        <f>NETWORKDAYS(val_date,B115,feriados)-1</f>
        <v>6880</v>
      </c>
      <c r="D115" s="46">
        <f ca="1">SUMIF(tbl_Bonds[Coupon],$B115,INDIRECT("tbl_Bonds["&amp;D$4&amp;"]"))</f>
        <v>-1401.0029631774933</v>
      </c>
      <c r="E115" s="46">
        <f ca="1">SUMIF(tbl_Bonds[Coupon],$B115,INDIRECT("tbl_Bonds["&amp;E$4&amp;"]"))</f>
        <v>-1322.9422463658702</v>
      </c>
      <c r="F115" s="46">
        <f ca="1">SUMIF(tbl_Bonds[Coupon],$B115,INDIRECT("tbl_Bonds["&amp;F$4&amp;"]"))</f>
        <v>1400.7080080757171</v>
      </c>
      <c r="G115" s="43">
        <f>_xlfn.XLOOKUP(B115,tbl_Bonds[Coupon],tbl_Bonds[Pré Mercado])</f>
        <v>0.1212562938000236</v>
      </c>
      <c r="H115" s="88">
        <v>0</v>
      </c>
      <c r="I115" s="43">
        <f>_xlfn.XLOOKUP(B115,tbl_Bonds[Coupon],tbl_Bonds[Pré Simulada])</f>
        <v>0.1212562938000236</v>
      </c>
      <c r="J115" s="43">
        <f>_xlfn.XLOOKUP($B115,tbl_Bonds[Coupon],tbl_Bonds[Real Mercado])</f>
        <v>5.8782431209977171E-2</v>
      </c>
      <c r="K115" s="88">
        <v>0</v>
      </c>
      <c r="L115" s="43">
        <f>_xlfn.XLOOKUP($B115,tbl_Bonds[Coupon],tbl_Bonds[Real Simulada])</f>
        <v>5.8782431209977171E-2</v>
      </c>
      <c r="M115" s="43">
        <f>_xlfn.XLOOKUP($B115,tbl_Bonds[Coupon],tbl_Bonds[Implícita Mercado])</f>
        <v>5.9005382648950055E-2</v>
      </c>
      <c r="N115" s="88">
        <v>0</v>
      </c>
      <c r="O115" s="63">
        <f>_xlfn.XLOOKUP($B115,tbl_Bonds[Coupon],tbl_Bonds[Implícita Simulada])</f>
        <v>5.9005382648950055E-2</v>
      </c>
      <c r="P115" s="20">
        <f t="shared" ca="1" si="4"/>
        <v>0</v>
      </c>
      <c r="Q115" s="20">
        <f t="shared" ca="1" si="5"/>
        <v>0</v>
      </c>
      <c r="R115" s="106">
        <f t="shared" ca="1" si="6"/>
        <v>0</v>
      </c>
    </row>
    <row r="116" spans="2:18">
      <c r="B116" s="68">
        <v>54924</v>
      </c>
      <c r="C116" s="56">
        <f>NETWORKDAYS(val_date,B116,feriados)-1</f>
        <v>6940</v>
      </c>
      <c r="D116" s="46">
        <f ca="1">SUMIF(tbl_Bonds[Coupon],$B116,INDIRECT("tbl_Bonds["&amp;D$4&amp;"]"))</f>
        <v>-402.55860653271776</v>
      </c>
      <c r="E116" s="46">
        <f ca="1">SUMIF(tbl_Bonds[Coupon],$B116,INDIRECT("tbl_Bonds["&amp;E$4&amp;"]"))</f>
        <v>-380.12480138976451</v>
      </c>
      <c r="F116" s="46">
        <f ca="1">SUMIF(tbl_Bonds[Coupon],$B116,INDIRECT("tbl_Bonds["&amp;F$4&amp;"]"))</f>
        <v>402.46852223835612</v>
      </c>
      <c r="G116" s="43">
        <f>_xlfn.XLOOKUP(B116,tbl_Bonds[Coupon],tbl_Bonds[Pré Mercado])</f>
        <v>0.12126592032088651</v>
      </c>
      <c r="H116" s="88">
        <v>0</v>
      </c>
      <c r="I116" s="43">
        <f>_xlfn.XLOOKUP(B116,tbl_Bonds[Coupon],tbl_Bonds[Pré Simulada])</f>
        <v>0.12126592032088651</v>
      </c>
      <c r="J116" s="43">
        <f>_xlfn.XLOOKUP($B116,tbl_Bonds[Coupon],tbl_Bonds[Real Mercado])</f>
        <v>5.8779960573704049E-2</v>
      </c>
      <c r="K116" s="88">
        <v>0</v>
      </c>
      <c r="L116" s="43">
        <f>_xlfn.XLOOKUP($B116,tbl_Bonds[Coupon],tbl_Bonds[Real Simulada])</f>
        <v>5.8779960573704049E-2</v>
      </c>
      <c r="M116" s="43">
        <f>_xlfn.XLOOKUP($B116,tbl_Bonds[Coupon],tbl_Bonds[Implícita Mercado])</f>
        <v>5.9016945962957701E-2</v>
      </c>
      <c r="N116" s="88">
        <v>0</v>
      </c>
      <c r="O116" s="63">
        <f>_xlfn.XLOOKUP($B116,tbl_Bonds[Coupon],tbl_Bonds[Implícita Simulada])</f>
        <v>5.9016945962957701E-2</v>
      </c>
      <c r="P116" s="20">
        <f t="shared" ca="1" si="4"/>
        <v>0</v>
      </c>
      <c r="Q116" s="20">
        <f t="shared" ca="1" si="5"/>
        <v>0</v>
      </c>
      <c r="R116" s="106">
        <f t="shared" ca="1" si="6"/>
        <v>0</v>
      </c>
    </row>
    <row r="117" spans="2:18">
      <c r="B117" s="68">
        <v>55015</v>
      </c>
      <c r="C117" s="56">
        <f>NETWORKDAYS(val_date,B117,feriados)-1</f>
        <v>7004</v>
      </c>
      <c r="D117" s="46">
        <f ca="1">SUMIF(tbl_Bonds[Coupon],$B117,INDIRECT("tbl_Bonds["&amp;D$4&amp;"]"))</f>
        <v>-27384.887655045659</v>
      </c>
      <c r="E117" s="46">
        <f ca="1">SUMIF(tbl_Bonds[Coupon],$B117,INDIRECT("tbl_Bonds["&amp;E$4&amp;"]"))</f>
        <v>-25858.484053361459</v>
      </c>
      <c r="F117" s="46">
        <f ca="1">SUMIF(tbl_Bonds[Coupon],$B117,INDIRECT("tbl_Bonds["&amp;F$4&amp;"]"))</f>
        <v>27378.376299438012</v>
      </c>
      <c r="G117" s="43">
        <f>_xlfn.XLOOKUP(B117,tbl_Bonds[Coupon],tbl_Bonds[Pré Mercado])</f>
        <v>0.12127600671886751</v>
      </c>
      <c r="H117" s="88">
        <v>0</v>
      </c>
      <c r="I117" s="43">
        <f>_xlfn.XLOOKUP(B117,tbl_Bonds[Coupon],tbl_Bonds[Pré Simulada])</f>
        <v>0.12127600671886751</v>
      </c>
      <c r="J117" s="43">
        <f>_xlfn.XLOOKUP($B117,tbl_Bonds[Coupon],tbl_Bonds[Real Mercado])</f>
        <v>5.8777314275879178E-2</v>
      </c>
      <c r="K117" s="88">
        <v>0</v>
      </c>
      <c r="L117" s="43">
        <f>_xlfn.XLOOKUP($B117,tbl_Bonds[Coupon],tbl_Bonds[Real Simulada])</f>
        <v>5.8777314275879178E-2</v>
      </c>
      <c r="M117" s="43">
        <f>_xlfn.XLOOKUP($B117,tbl_Bonds[Coupon],tbl_Bonds[Implícita Mercado])</f>
        <v>5.9029119259779605E-2</v>
      </c>
      <c r="N117" s="88">
        <v>0</v>
      </c>
      <c r="O117" s="63">
        <f>_xlfn.XLOOKUP($B117,tbl_Bonds[Coupon],tbl_Bonds[Implícita Simulada])</f>
        <v>5.9029119259779605E-2</v>
      </c>
      <c r="P117" s="20">
        <f t="shared" ca="1" si="4"/>
        <v>0</v>
      </c>
      <c r="Q117" s="20">
        <f t="shared" ca="1" si="5"/>
        <v>0</v>
      </c>
      <c r="R117" s="106">
        <f t="shared" ca="1" si="6"/>
        <v>0</v>
      </c>
    </row>
    <row r="118" spans="2:18">
      <c r="B118" s="68">
        <v>55108</v>
      </c>
      <c r="C118" s="56">
        <f>NETWORKDAYS(val_date,B118,feriados)-1</f>
        <v>7067</v>
      </c>
      <c r="D118" s="46">
        <f ca="1">SUMIF(tbl_Bonds[Coupon],$B118,INDIRECT("tbl_Bonds["&amp;D$4&amp;"]"))</f>
        <v>-398.35068562666072</v>
      </c>
      <c r="E118" s="46">
        <f ca="1">SUMIF(tbl_Bonds[Coupon],$B118,INDIRECT("tbl_Bonds["&amp;E$4&amp;"]"))</f>
        <v>-376.14287261778179</v>
      </c>
      <c r="F118" s="46">
        <f ca="1">SUMIF(tbl_Bonds[Coupon],$B118,INDIRECT("tbl_Bonds["&amp;F$4&amp;"]"))</f>
        <v>398.25057438716692</v>
      </c>
      <c r="G118" s="43">
        <f>_xlfn.XLOOKUP(B118,tbl_Bonds[Coupon],tbl_Bonds[Pré Mercado])</f>
        <v>0.12128575699122889</v>
      </c>
      <c r="H118" s="88">
        <v>0</v>
      </c>
      <c r="I118" s="43">
        <f>_xlfn.XLOOKUP(B118,tbl_Bonds[Coupon],tbl_Bonds[Pré Simulada])</f>
        <v>0.12128575699122889</v>
      </c>
      <c r="J118" s="43">
        <f>_xlfn.XLOOKUP($B118,tbl_Bonds[Coupon],tbl_Bonds[Real Mercado])</f>
        <v>5.8774745898205305E-2</v>
      </c>
      <c r="K118" s="88">
        <v>0</v>
      </c>
      <c r="L118" s="43">
        <f>_xlfn.XLOOKUP($B118,tbl_Bonds[Coupon],tbl_Bonds[Real Simulada])</f>
        <v>5.8774745898205305E-2</v>
      </c>
      <c r="M118" s="43">
        <f>_xlfn.XLOOKUP($B118,tbl_Bonds[Coupon],tbl_Bonds[Implícita Mercado])</f>
        <v>5.9040897327267139E-2</v>
      </c>
      <c r="N118" s="88">
        <v>0</v>
      </c>
      <c r="O118" s="63">
        <f>_xlfn.XLOOKUP($B118,tbl_Bonds[Coupon],tbl_Bonds[Implícita Simulada])</f>
        <v>5.9040897327267139E-2</v>
      </c>
      <c r="P118" s="20">
        <f t="shared" ca="1" si="4"/>
        <v>0</v>
      </c>
      <c r="Q118" s="20">
        <f t="shared" ca="1" si="5"/>
        <v>0</v>
      </c>
      <c r="R118" s="106">
        <f t="shared" ca="1" si="6"/>
        <v>0</v>
      </c>
    </row>
    <row r="119" spans="2:18">
      <c r="B119" s="68">
        <v>55199</v>
      </c>
      <c r="C119" s="56">
        <f>NETWORKDAYS(val_date,B119,feriados)-1</f>
        <v>7130</v>
      </c>
      <c r="D119" s="46">
        <f ca="1">SUMIF(tbl_Bonds[Coupon],$B119,INDIRECT("tbl_Bonds["&amp;D$4&amp;"]"))</f>
        <v>-611.82855875006544</v>
      </c>
      <c r="E119" s="46">
        <f ca="1">SUMIF(tbl_Bonds[Coupon],$B119,INDIRECT("tbl_Bonds["&amp;E$4&amp;"]"))</f>
        <v>-577.71314328644542</v>
      </c>
      <c r="F119" s="46">
        <f ca="1">SUMIF(tbl_Bonds[Coupon],$B119,INDIRECT("tbl_Bonds["&amp;F$4&amp;"]"))</f>
        <v>611.66660123034558</v>
      </c>
      <c r="G119" s="43">
        <f>_xlfn.XLOOKUP(B119,tbl_Bonds[Coupon],tbl_Bonds[Pré Mercado])</f>
        <v>0.1212953348660752</v>
      </c>
      <c r="H119" s="88">
        <v>0</v>
      </c>
      <c r="I119" s="43">
        <f>_xlfn.XLOOKUP(B119,tbl_Bonds[Coupon],tbl_Bonds[Pré Simulada])</f>
        <v>0.1212953348660752</v>
      </c>
      <c r="J119" s="43">
        <f>_xlfn.XLOOKUP($B119,tbl_Bonds[Coupon],tbl_Bonds[Real Mercado])</f>
        <v>5.8772174898984231E-2</v>
      </c>
      <c r="K119" s="88">
        <v>0</v>
      </c>
      <c r="L119" s="43">
        <f>_xlfn.XLOOKUP($B119,tbl_Bonds[Coupon],tbl_Bonds[Real Simulada])</f>
        <v>5.8772174898984231E-2</v>
      </c>
      <c r="M119" s="43">
        <f>_xlfn.XLOOKUP($B119,tbl_Bonds[Coupon],tbl_Bonds[Implícita Mercado])</f>
        <v>5.9052515136362116E-2</v>
      </c>
      <c r="N119" s="88">
        <v>0</v>
      </c>
      <c r="O119" s="63">
        <f>_xlfn.XLOOKUP($B119,tbl_Bonds[Coupon],tbl_Bonds[Implícita Simulada])</f>
        <v>5.9052515136362116E-2</v>
      </c>
      <c r="P119" s="20">
        <f t="shared" ca="1" si="4"/>
        <v>0</v>
      </c>
      <c r="Q119" s="20">
        <f t="shared" ca="1" si="5"/>
        <v>0</v>
      </c>
      <c r="R119" s="106">
        <f t="shared" ca="1" si="6"/>
        <v>0</v>
      </c>
    </row>
    <row r="120" spans="2:18">
      <c r="B120" s="68">
        <v>55288</v>
      </c>
      <c r="C120" s="56">
        <f>NETWORKDAYS(val_date,B120,feriados)-1</f>
        <v>7190</v>
      </c>
      <c r="D120" s="46">
        <f ca="1">SUMIF(tbl_Bonds[Coupon],$B120,INDIRECT("tbl_Bonds["&amp;D$4&amp;"]"))</f>
        <v>-394.19692862920664</v>
      </c>
      <c r="E120" s="46">
        <f ca="1">SUMIF(tbl_Bonds[Coupon],$B120,INDIRECT("tbl_Bonds["&amp;E$4&amp;"]"))</f>
        <v>-372.21277743151302</v>
      </c>
      <c r="F120" s="46">
        <f ca="1">SUMIF(tbl_Bonds[Coupon],$B120,INDIRECT("tbl_Bonds["&amp;F$4&amp;"]"))</f>
        <v>394.08763372666766</v>
      </c>
      <c r="G120" s="43">
        <f>_xlfn.XLOOKUP(B120,tbl_Bonds[Coupon],tbl_Bonds[Pré Mercado])</f>
        <v>0.12130430052127988</v>
      </c>
      <c r="H120" s="88">
        <v>0</v>
      </c>
      <c r="I120" s="43">
        <f>_xlfn.XLOOKUP(B120,tbl_Bonds[Coupon],tbl_Bonds[Pré Simulada])</f>
        <v>0.12130430052127988</v>
      </c>
      <c r="J120" s="43">
        <f>_xlfn.XLOOKUP($B120,tbl_Bonds[Coupon],tbl_Bonds[Real Mercado])</f>
        <v>5.8769761853198155E-2</v>
      </c>
      <c r="K120" s="88">
        <v>0</v>
      </c>
      <c r="L120" s="43">
        <f>_xlfn.XLOOKUP($B120,tbl_Bonds[Coupon],tbl_Bonds[Real Simulada])</f>
        <v>5.8769761853198155E-2</v>
      </c>
      <c r="M120" s="43">
        <f>_xlfn.XLOOKUP($B120,tbl_Bonds[Coupon],tbl_Bonds[Implícita Mercado])</f>
        <v>5.9063396879898145E-2</v>
      </c>
      <c r="N120" s="88">
        <v>0</v>
      </c>
      <c r="O120" s="63">
        <f>_xlfn.XLOOKUP($B120,tbl_Bonds[Coupon],tbl_Bonds[Implícita Simulada])</f>
        <v>5.9063396879898145E-2</v>
      </c>
      <c r="P120" s="20">
        <f t="shared" ca="1" si="4"/>
        <v>0</v>
      </c>
      <c r="Q120" s="20">
        <f t="shared" ca="1" si="5"/>
        <v>0</v>
      </c>
      <c r="R120" s="106">
        <f t="shared" ca="1" si="6"/>
        <v>0</v>
      </c>
    </row>
    <row r="121" spans="2:18">
      <c r="B121" s="68">
        <v>55380</v>
      </c>
      <c r="C121" s="56">
        <f>NETWORKDAYS(val_date,B121,feriados)-1</f>
        <v>7255</v>
      </c>
      <c r="D121" s="46">
        <f ca="1">SUMIF(tbl_Bonds[Coupon],$B121,INDIRECT("tbl_Bonds["&amp;D$4&amp;"]"))</f>
        <v>-605.25197678877112</v>
      </c>
      <c r="E121" s="46">
        <f ca="1">SUMIF(tbl_Bonds[Coupon],$B121,INDIRECT("tbl_Bonds["&amp;E$4&amp;"]"))</f>
        <v>-571.4911222731256</v>
      </c>
      <c r="F121" s="46">
        <f ca="1">SUMIF(tbl_Bonds[Coupon],$B121,INDIRECT("tbl_Bonds["&amp;F$4&amp;"]"))</f>
        <v>605.07602586255098</v>
      </c>
      <c r="G121" s="43">
        <f>_xlfn.XLOOKUP(B121,tbl_Bonds[Coupon],tbl_Bonds[Pré Mercado])</f>
        <v>0.12131384587953117</v>
      </c>
      <c r="H121" s="88">
        <v>0</v>
      </c>
      <c r="I121" s="43">
        <f>_xlfn.XLOOKUP(B121,tbl_Bonds[Coupon],tbl_Bonds[Pré Simulada])</f>
        <v>0.12131384587953117</v>
      </c>
      <c r="J121" s="43">
        <f>_xlfn.XLOOKUP($B121,tbl_Bonds[Coupon],tbl_Bonds[Real Mercado])</f>
        <v>5.8767148322258267E-2</v>
      </c>
      <c r="K121" s="88">
        <v>0</v>
      </c>
      <c r="L121" s="43">
        <f>_xlfn.XLOOKUP($B121,tbl_Bonds[Coupon],tbl_Bonds[Real Simulada])</f>
        <v>5.8767148322258267E-2</v>
      </c>
      <c r="M121" s="43">
        <f>_xlfn.XLOOKUP($B121,tbl_Bonds[Coupon],tbl_Bonds[Implícita Mercado])</f>
        <v>5.9075026627574356E-2</v>
      </c>
      <c r="N121" s="88">
        <v>0</v>
      </c>
      <c r="O121" s="63">
        <f>_xlfn.XLOOKUP($B121,tbl_Bonds[Coupon],tbl_Bonds[Implícita Simulada])</f>
        <v>5.9075026627574356E-2</v>
      </c>
      <c r="P121" s="20">
        <f t="shared" ca="1" si="4"/>
        <v>0</v>
      </c>
      <c r="Q121" s="20">
        <f t="shared" ca="1" si="5"/>
        <v>0</v>
      </c>
      <c r="R121" s="106">
        <f t="shared" ca="1" si="6"/>
        <v>0</v>
      </c>
    </row>
    <row r="122" spans="2:18">
      <c r="B122" s="68">
        <v>55473</v>
      </c>
      <c r="C122" s="56">
        <f>NETWORKDAYS(val_date,B122,feriados)-1</f>
        <v>7318</v>
      </c>
      <c r="D122" s="46">
        <f ca="1">SUMIF(tbl_Bonds[Coupon],$B122,INDIRECT("tbl_Bonds["&amp;D$4&amp;"]"))</f>
        <v>-389.80024076398388</v>
      </c>
      <c r="E122" s="46">
        <f ca="1">SUMIF(tbl_Bonds[Coupon],$B122,INDIRECT("tbl_Bonds["&amp;E$4&amp;"]"))</f>
        <v>-368.05339763900486</v>
      </c>
      <c r="F122" s="46">
        <f ca="1">SUMIF(tbl_Bonds[Coupon],$B122,INDIRECT("tbl_Bonds["&amp;F$4&amp;"]"))</f>
        <v>389.68192774352724</v>
      </c>
      <c r="G122" s="43">
        <f>_xlfn.XLOOKUP(B122,tbl_Bonds[Coupon],tbl_Bonds[Pré Mercado])</f>
        <v>0.12132293562797121</v>
      </c>
      <c r="H122" s="88">
        <v>0</v>
      </c>
      <c r="I122" s="43">
        <f>_xlfn.XLOOKUP(B122,tbl_Bonds[Coupon],tbl_Bonds[Pré Simulada])</f>
        <v>0.12132293562797121</v>
      </c>
      <c r="J122" s="43">
        <f>_xlfn.XLOOKUP($B122,tbl_Bonds[Coupon],tbl_Bonds[Real Mercado])</f>
        <v>5.8764652725868061E-2</v>
      </c>
      <c r="K122" s="88">
        <v>0</v>
      </c>
      <c r="L122" s="43">
        <f>_xlfn.XLOOKUP($B122,tbl_Bonds[Coupon],tbl_Bonds[Real Simulada])</f>
        <v>5.8764652725868061E-2</v>
      </c>
      <c r="M122" s="43">
        <f>_xlfn.XLOOKUP($B122,tbl_Bonds[Coupon],tbl_Bonds[Implícita Mercado])</f>
        <v>5.9086108247865088E-2</v>
      </c>
      <c r="N122" s="88">
        <v>0</v>
      </c>
      <c r="O122" s="63">
        <f>_xlfn.XLOOKUP($B122,tbl_Bonds[Coupon],tbl_Bonds[Implícita Simulada])</f>
        <v>5.9086108247865088E-2</v>
      </c>
      <c r="P122" s="20">
        <f t="shared" ca="1" si="4"/>
        <v>0</v>
      </c>
      <c r="Q122" s="20">
        <f t="shared" ca="1" si="5"/>
        <v>0</v>
      </c>
      <c r="R122" s="106">
        <f t="shared" ca="1" si="6"/>
        <v>0</v>
      </c>
    </row>
    <row r="123" spans="2:18">
      <c r="B123" s="68">
        <v>55564</v>
      </c>
      <c r="C123" s="56">
        <f>NETWORKDAYS(val_date,B123,feriados)-1</f>
        <v>7381</v>
      </c>
      <c r="D123" s="46">
        <f ca="1">SUMIF(tbl_Bonds[Coupon],$B123,INDIRECT("tbl_Bonds["&amp;D$4&amp;"]"))</f>
        <v>-598.51591591526994</v>
      </c>
      <c r="E123" s="46">
        <f ca="1">SUMIF(tbl_Bonds[Coupon],$B123,INDIRECT("tbl_Bonds["&amp;E$4&amp;"]"))</f>
        <v>-565.11905353231009</v>
      </c>
      <c r="F123" s="46">
        <f ca="1">SUMIF(tbl_Bonds[Coupon],$B123,INDIRECT("tbl_Bonds["&amp;F$4&amp;"]"))</f>
        <v>598.32667209244585</v>
      </c>
      <c r="G123" s="43">
        <f>_xlfn.XLOOKUP(B123,tbl_Bonds[Coupon],tbl_Bonds[Pré Mercado])</f>
        <v>0.12133187012609083</v>
      </c>
      <c r="H123" s="88">
        <v>0</v>
      </c>
      <c r="I123" s="43">
        <f>_xlfn.XLOOKUP(B123,tbl_Bonds[Coupon],tbl_Bonds[Pré Simulada])</f>
        <v>0.12133187012609083</v>
      </c>
      <c r="J123" s="43">
        <f>_xlfn.XLOOKUP($B123,tbl_Bonds[Coupon],tbl_Bonds[Real Mercado])</f>
        <v>5.8762164032261532E-2</v>
      </c>
      <c r="K123" s="88">
        <v>0</v>
      </c>
      <c r="L123" s="43">
        <f>_xlfn.XLOOKUP($B123,tbl_Bonds[Coupon],tbl_Bonds[Real Simulada])</f>
        <v>5.8762164032261532E-2</v>
      </c>
      <c r="M123" s="43">
        <f>_xlfn.XLOOKUP($B123,tbl_Bonds[Coupon],tbl_Bonds[Implícita Mercado])</f>
        <v>5.9097036281481996E-2</v>
      </c>
      <c r="N123" s="88">
        <v>0</v>
      </c>
      <c r="O123" s="63">
        <f>_xlfn.XLOOKUP($B123,tbl_Bonds[Coupon],tbl_Bonds[Implícita Simulada])</f>
        <v>5.9097036281481996E-2</v>
      </c>
      <c r="P123" s="20">
        <f t="shared" ca="1" si="4"/>
        <v>0</v>
      </c>
      <c r="Q123" s="20">
        <f t="shared" ca="1" si="5"/>
        <v>0</v>
      </c>
      <c r="R123" s="106">
        <f t="shared" ca="1" si="6"/>
        <v>0</v>
      </c>
    </row>
    <row r="124" spans="2:18">
      <c r="B124" s="68">
        <v>55654</v>
      </c>
      <c r="C124" s="56">
        <f>NETWORKDAYS(val_date,B124,feriados)-1</f>
        <v>7441</v>
      </c>
      <c r="D124" s="46">
        <f ca="1">SUMIF(tbl_Bonds[Coupon],$B124,INDIRECT("tbl_Bonds["&amp;D$4&amp;"]"))</f>
        <v>-385.51112997494084</v>
      </c>
      <c r="E124" s="46">
        <f ca="1">SUMIF(tbl_Bonds[Coupon],$B124,INDIRECT("tbl_Bonds["&amp;E$4&amp;"]"))</f>
        <v>-363.99630003951455</v>
      </c>
      <c r="F124" s="46">
        <f ca="1">SUMIF(tbl_Bonds[Coupon],$B124,INDIRECT("tbl_Bonds["&amp;F$4&amp;"]"))</f>
        <v>385.38466038129553</v>
      </c>
      <c r="G124" s="43">
        <f>_xlfn.XLOOKUP(B124,tbl_Bonds[Coupon],tbl_Bonds[Pré Mercado])</f>
        <v>0.12134023844468485</v>
      </c>
      <c r="H124" s="88">
        <v>0</v>
      </c>
      <c r="I124" s="43">
        <f>_xlfn.XLOOKUP(B124,tbl_Bonds[Coupon],tbl_Bonds[Pré Simulada])</f>
        <v>0.12134023844468485</v>
      </c>
      <c r="J124" s="43">
        <f>_xlfn.XLOOKUP($B124,tbl_Bonds[Coupon],tbl_Bonds[Real Mercado])</f>
        <v>5.8759828971758798E-2</v>
      </c>
      <c r="K124" s="88">
        <v>0</v>
      </c>
      <c r="L124" s="43">
        <f>_xlfn.XLOOKUP($B124,tbl_Bonds[Coupon],tbl_Bonds[Real Simulada])</f>
        <v>5.8759828971758798E-2</v>
      </c>
      <c r="M124" s="43">
        <f>_xlfn.XLOOKUP($B124,tbl_Bonds[Coupon],tbl_Bonds[Implícita Mercado])</f>
        <v>5.9107276027694944E-2</v>
      </c>
      <c r="N124" s="88">
        <v>0</v>
      </c>
      <c r="O124" s="63">
        <f>_xlfn.XLOOKUP($B124,tbl_Bonds[Coupon],tbl_Bonds[Implícita Simulada])</f>
        <v>5.9107276027694944E-2</v>
      </c>
      <c r="P124" s="20">
        <f t="shared" ca="1" si="4"/>
        <v>0</v>
      </c>
      <c r="Q124" s="20">
        <f t="shared" ca="1" si="5"/>
        <v>0</v>
      </c>
      <c r="R124" s="106">
        <f t="shared" ca="1" si="6"/>
        <v>0</v>
      </c>
    </row>
    <row r="125" spans="2:18">
      <c r="B125" s="68">
        <v>55746</v>
      </c>
      <c r="C125" s="56">
        <f>NETWORKDAYS(val_date,B125,feriados)-1</f>
        <v>7506</v>
      </c>
      <c r="D125" s="46">
        <f ca="1">SUMIF(tbl_Bonds[Coupon],$B125,INDIRECT("tbl_Bonds["&amp;D$4&amp;"]"))</f>
        <v>-591.73815752730445</v>
      </c>
      <c r="E125" s="46">
        <f ca="1">SUMIF(tbl_Bonds[Coupon],$B125,INDIRECT("tbl_Bonds["&amp;E$4&amp;"]"))</f>
        <v>-558.70831677408194</v>
      </c>
      <c r="F125" s="46">
        <f ca="1">SUMIF(tbl_Bonds[Coupon],$B125,INDIRECT("tbl_Bonds["&amp;F$4&amp;"]"))</f>
        <v>591.53651370511511</v>
      </c>
      <c r="G125" s="43">
        <f>_xlfn.XLOOKUP(B125,tbl_Bonds[Coupon],tbl_Bonds[Pré Mercado])</f>
        <v>0.12134915307226335</v>
      </c>
      <c r="H125" s="88">
        <v>0</v>
      </c>
      <c r="I125" s="43">
        <f>_xlfn.XLOOKUP(B125,tbl_Bonds[Coupon],tbl_Bonds[Pré Simulada])</f>
        <v>0.12134915307226335</v>
      </c>
      <c r="J125" s="43">
        <f>_xlfn.XLOOKUP($B125,tbl_Bonds[Coupon],tbl_Bonds[Real Mercado])</f>
        <v>5.8757308437127342E-2</v>
      </c>
      <c r="K125" s="88">
        <v>0</v>
      </c>
      <c r="L125" s="43">
        <f>_xlfn.XLOOKUP($B125,tbl_Bonds[Coupon],tbl_Bonds[Real Simulada])</f>
        <v>5.8757308437127342E-2</v>
      </c>
      <c r="M125" s="43">
        <f>_xlfn.XLOOKUP($B125,tbl_Bonds[Coupon],tbl_Bonds[Implícita Mercado])</f>
        <v>5.9118217242231763E-2</v>
      </c>
      <c r="N125" s="88">
        <v>0</v>
      </c>
      <c r="O125" s="63">
        <f>_xlfn.XLOOKUP($B125,tbl_Bonds[Coupon],tbl_Bonds[Implícita Simulada])</f>
        <v>5.9118217242231763E-2</v>
      </c>
      <c r="P125" s="20">
        <f t="shared" ca="1" si="4"/>
        <v>0</v>
      </c>
      <c r="Q125" s="20">
        <f t="shared" ca="1" si="5"/>
        <v>0</v>
      </c>
      <c r="R125" s="106">
        <f t="shared" ca="1" si="6"/>
        <v>0</v>
      </c>
    </row>
    <row r="126" spans="2:18">
      <c r="B126" s="68">
        <v>55841</v>
      </c>
      <c r="C126" s="56">
        <f>NETWORKDAYS(val_date,B126,feriados)-1</f>
        <v>7572</v>
      </c>
      <c r="D126" s="46">
        <f ca="1">SUMIF(tbl_Bonds[Coupon],$B126,INDIRECT("tbl_Bonds["&amp;D$4&amp;"]"))</f>
        <v>-380.88133191462202</v>
      </c>
      <c r="E126" s="46">
        <f ca="1">SUMIF(tbl_Bonds[Coupon],$B126,INDIRECT("tbl_Bonds["&amp;E$4&amp;"]"))</f>
        <v>-359.6174603079636</v>
      </c>
      <c r="F126" s="46">
        <f ca="1">SUMIF(tbl_Bonds[Coupon],$B126,INDIRECT("tbl_Bonds["&amp;F$4&amp;"]"))</f>
        <v>380.74670776818618</v>
      </c>
      <c r="G126" s="43">
        <f>_xlfn.XLOOKUP(B126,tbl_Bonds[Coupon],tbl_Bonds[Pré Mercado])</f>
        <v>0.12135804816776932</v>
      </c>
      <c r="H126" s="88">
        <v>0</v>
      </c>
      <c r="I126" s="43">
        <f>_xlfn.XLOOKUP(B126,tbl_Bonds[Coupon],tbl_Bonds[Pré Simulada])</f>
        <v>0.12135804816776932</v>
      </c>
      <c r="J126" s="43">
        <f>_xlfn.XLOOKUP($B126,tbl_Bonds[Coupon],tbl_Bonds[Real Mercado])</f>
        <v>5.8754787474419201E-2</v>
      </c>
      <c r="K126" s="88">
        <v>0</v>
      </c>
      <c r="L126" s="43">
        <f>_xlfn.XLOOKUP($B126,tbl_Bonds[Coupon],tbl_Bonds[Real Simulada])</f>
        <v>5.8754787474419201E-2</v>
      </c>
      <c r="M126" s="43">
        <f>_xlfn.XLOOKUP($B126,tbl_Bonds[Coupon],tbl_Bonds[Implícita Mercado])</f>
        <v>5.9129140582113937E-2</v>
      </c>
      <c r="N126" s="88">
        <v>0</v>
      </c>
      <c r="O126" s="63">
        <f>_xlfn.XLOOKUP($B126,tbl_Bonds[Coupon],tbl_Bonds[Implícita Simulada])</f>
        <v>5.9129140582113937E-2</v>
      </c>
      <c r="P126" s="20">
        <f t="shared" ca="1" si="4"/>
        <v>0</v>
      </c>
      <c r="Q126" s="20">
        <f t="shared" ca="1" si="5"/>
        <v>0</v>
      </c>
      <c r="R126" s="106">
        <f t="shared" ca="1" si="6"/>
        <v>0</v>
      </c>
    </row>
    <row r="127" spans="2:18">
      <c r="B127" s="68">
        <v>55934</v>
      </c>
      <c r="C127" s="56">
        <f>NETWORKDAYS(val_date,B127,feriados)-1</f>
        <v>7635</v>
      </c>
      <c r="D127" s="46">
        <f ca="1">SUMIF(tbl_Bonds[Coupon],$B127,INDIRECT("tbl_Bonds["&amp;D$4&amp;"]"))</f>
        <v>-584.65505690754208</v>
      </c>
      <c r="E127" s="46">
        <f ca="1">SUMIF(tbl_Bonds[Coupon],$B127,INDIRECT("tbl_Bonds["&amp;E$4&amp;"]"))</f>
        <v>-552.00953417487335</v>
      </c>
      <c r="F127" s="46">
        <f ca="1">SUMIF(tbl_Bonds[Coupon],$B127,INDIRECT("tbl_Bonds["&amp;F$4&amp;"]"))</f>
        <v>584.44141722261543</v>
      </c>
      <c r="G127" s="43">
        <f>_xlfn.XLOOKUP(B127,tbl_Bonds[Coupon],tbl_Bonds[Pré Mercado])</f>
        <v>0.12136639540975604</v>
      </c>
      <c r="H127" s="88">
        <v>0</v>
      </c>
      <c r="I127" s="43">
        <f>_xlfn.XLOOKUP(B127,tbl_Bonds[Coupon],tbl_Bonds[Pré Simulada])</f>
        <v>0.12136639540975604</v>
      </c>
      <c r="J127" s="43">
        <f>_xlfn.XLOOKUP($B127,tbl_Bonds[Coupon],tbl_Bonds[Real Mercado])</f>
        <v>5.8752396484521574E-2</v>
      </c>
      <c r="K127" s="88">
        <v>0</v>
      </c>
      <c r="L127" s="43">
        <f>_xlfn.XLOOKUP($B127,tbl_Bonds[Coupon],tbl_Bonds[Real Simulada])</f>
        <v>5.8752396484521574E-2</v>
      </c>
      <c r="M127" s="43">
        <f>_xlfn.XLOOKUP($B127,tbl_Bonds[Coupon],tbl_Bonds[Implícita Mercado])</f>
        <v>5.9139416421125635E-2</v>
      </c>
      <c r="N127" s="88">
        <v>0</v>
      </c>
      <c r="O127" s="63">
        <f>_xlfn.XLOOKUP($B127,tbl_Bonds[Coupon],tbl_Bonds[Implícita Simulada])</f>
        <v>5.9139416421125635E-2</v>
      </c>
      <c r="P127" s="20">
        <f t="shared" ca="1" si="4"/>
        <v>0</v>
      </c>
      <c r="Q127" s="20">
        <f t="shared" ca="1" si="5"/>
        <v>0</v>
      </c>
      <c r="R127" s="106">
        <f t="shared" ca="1" si="6"/>
        <v>0</v>
      </c>
    </row>
    <row r="128" spans="2:18">
      <c r="B128" s="68">
        <v>56019</v>
      </c>
      <c r="C128" s="56">
        <f>NETWORKDAYS(val_date,B128,feriados)-1</f>
        <v>7693</v>
      </c>
      <c r="D128" s="46">
        <f ca="1">SUMIF(tbl_Bonds[Coupon],$B128,INDIRECT("tbl_Bonds["&amp;D$4&amp;"]"))</f>
        <v>-376.55469948931193</v>
      </c>
      <c r="E128" s="46">
        <f ca="1">SUMIF(tbl_Bonds[Coupon],$B128,INDIRECT("tbl_Bonds["&amp;E$4&amp;"]"))</f>
        <v>-355.52579949678011</v>
      </c>
      <c r="F128" s="46">
        <f ca="1">SUMIF(tbl_Bonds[Coupon],$B128,INDIRECT("tbl_Bonds["&amp;F$4&amp;"]"))</f>
        <v>376.41302090064687</v>
      </c>
      <c r="G128" s="43">
        <f>_xlfn.XLOOKUP(B128,tbl_Bonds[Coupon],tbl_Bonds[Pré Mercado])</f>
        <v>0.12137395924161033</v>
      </c>
      <c r="H128" s="88">
        <v>0</v>
      </c>
      <c r="I128" s="43">
        <f>_xlfn.XLOOKUP(B128,tbl_Bonds[Coupon],tbl_Bonds[Pré Simulada])</f>
        <v>0.12137395924161033</v>
      </c>
      <c r="J128" s="43">
        <f>_xlfn.XLOOKUP($B128,tbl_Bonds[Coupon],tbl_Bonds[Real Mercado])</f>
        <v>5.8750226928858895E-2</v>
      </c>
      <c r="K128" s="88">
        <v>0</v>
      </c>
      <c r="L128" s="43">
        <f>_xlfn.XLOOKUP($B128,tbl_Bonds[Coupon],tbl_Bonds[Real Simulada])</f>
        <v>5.8750226928858895E-2</v>
      </c>
      <c r="M128" s="43">
        <f>_xlfn.XLOOKUP($B128,tbl_Bonds[Coupon],tbl_Bonds[Implícita Mercado])</f>
        <v>5.9148730934770466E-2</v>
      </c>
      <c r="N128" s="88">
        <v>0</v>
      </c>
      <c r="O128" s="63">
        <f>_xlfn.XLOOKUP($B128,tbl_Bonds[Coupon],tbl_Bonds[Implícita Simulada])</f>
        <v>5.9148730934770466E-2</v>
      </c>
      <c r="P128" s="20">
        <f t="shared" ca="1" si="4"/>
        <v>0</v>
      </c>
      <c r="Q128" s="20">
        <f t="shared" ca="1" si="5"/>
        <v>0</v>
      </c>
      <c r="R128" s="106">
        <f t="shared" ca="1" si="6"/>
        <v>0</v>
      </c>
    </row>
    <row r="129" spans="2:18">
      <c r="B129" s="68">
        <v>56111</v>
      </c>
      <c r="C129" s="56">
        <f>NETWORKDAYS(val_date,B129,feriados)-1</f>
        <v>7758</v>
      </c>
      <c r="D129" s="46">
        <f ca="1">SUMIF(tbl_Bonds[Coupon],$B129,INDIRECT("tbl_Bonds["&amp;D$4&amp;"]"))</f>
        <v>-577.82750485934889</v>
      </c>
      <c r="E129" s="46">
        <f ca="1">SUMIF(tbl_Bonds[Coupon],$B129,INDIRECT("tbl_Bonds["&amp;E$4&amp;"]"))</f>
        <v>-545.5531120924428</v>
      </c>
      <c r="F129" s="46">
        <f ca="1">SUMIF(tbl_Bonds[Coupon],$B129,INDIRECT("tbl_Bonds["&amp;F$4&amp;"]"))</f>
        <v>577.60316278951723</v>
      </c>
      <c r="G129" s="43">
        <f>_xlfn.XLOOKUP(B129,tbl_Bonds[Coupon],tbl_Bonds[Pré Mercado])</f>
        <v>0.12138230148854567</v>
      </c>
      <c r="H129" s="88">
        <v>0</v>
      </c>
      <c r="I129" s="43">
        <f>_xlfn.XLOOKUP(B129,tbl_Bonds[Coupon],tbl_Bonds[Pré Simulada])</f>
        <v>0.12138230148854567</v>
      </c>
      <c r="J129" s="43">
        <f>_xlfn.XLOOKUP($B129,tbl_Bonds[Coupon],tbl_Bonds[Real Mercado])</f>
        <v>5.8747810169011316E-2</v>
      </c>
      <c r="K129" s="88">
        <v>0</v>
      </c>
      <c r="L129" s="43">
        <f>_xlfn.XLOOKUP($B129,tbl_Bonds[Coupon],tbl_Bonds[Real Simulada])</f>
        <v>5.8747810169011316E-2</v>
      </c>
      <c r="M129" s="43">
        <f>_xlfn.XLOOKUP($B129,tbl_Bonds[Coupon],tbl_Bonds[Implícita Mercado])</f>
        <v>5.9159027917921936E-2</v>
      </c>
      <c r="N129" s="88">
        <v>0</v>
      </c>
      <c r="O129" s="63">
        <f>_xlfn.XLOOKUP($B129,tbl_Bonds[Coupon],tbl_Bonds[Implícita Simulada])</f>
        <v>5.9159027917921936E-2</v>
      </c>
      <c r="P129" s="20">
        <f t="shared" ca="1" si="4"/>
        <v>0</v>
      </c>
      <c r="Q129" s="20">
        <f t="shared" ca="1" si="5"/>
        <v>0</v>
      </c>
      <c r="R129" s="106">
        <f t="shared" ca="1" si="6"/>
        <v>0</v>
      </c>
    </row>
    <row r="130" spans="2:18">
      <c r="B130" s="68">
        <v>56205</v>
      </c>
      <c r="C130" s="56">
        <f>NETWORKDAYS(val_date,B130,feriados)-1</f>
        <v>7824</v>
      </c>
      <c r="D130" s="46">
        <f ca="1">SUMIF(tbl_Bonds[Coupon],$B130,INDIRECT("tbl_Bonds["&amp;D$4&amp;"]"))</f>
        <v>-371.82281472858546</v>
      </c>
      <c r="E130" s="46">
        <f ca="1">SUMIF(tbl_Bonds[Coupon],$B130,INDIRECT("tbl_Bonds["&amp;E$4&amp;"]"))</f>
        <v>-351.05134758168339</v>
      </c>
      <c r="F130" s="46">
        <f ca="1">SUMIF(tbl_Bonds[Coupon],$B130,INDIRECT("tbl_Bonds["&amp;F$4&amp;"]"))</f>
        <v>371.67399696776283</v>
      </c>
      <c r="G130" s="43">
        <f>_xlfn.XLOOKUP(B130,tbl_Bonds[Coupon],tbl_Bonds[Pré Mercado])</f>
        <v>0.12139063018224593</v>
      </c>
      <c r="H130" s="88">
        <v>0</v>
      </c>
      <c r="I130" s="43">
        <f>_xlfn.XLOOKUP(B130,tbl_Bonds[Coupon],tbl_Bonds[Pré Simulada])</f>
        <v>0.12139063018224593</v>
      </c>
      <c r="J130" s="43">
        <f>_xlfn.XLOOKUP($B130,tbl_Bonds[Coupon],tbl_Bonds[Real Mercado])</f>
        <v>5.8745393007364699E-2</v>
      </c>
      <c r="K130" s="88">
        <v>0</v>
      </c>
      <c r="L130" s="43">
        <f>_xlfn.XLOOKUP($B130,tbl_Bonds[Coupon],tbl_Bonds[Real Simulada])</f>
        <v>5.8745393007364699E-2</v>
      </c>
      <c r="M130" s="43">
        <f>_xlfn.XLOOKUP($B130,tbl_Bonds[Coupon],tbl_Bonds[Implícita Mercado])</f>
        <v>5.9169312630432236E-2</v>
      </c>
      <c r="N130" s="88">
        <v>0</v>
      </c>
      <c r="O130" s="63">
        <f>_xlfn.XLOOKUP($B130,tbl_Bonds[Coupon],tbl_Bonds[Implícita Simulada])</f>
        <v>5.9169312630432236E-2</v>
      </c>
      <c r="P130" s="20">
        <f t="shared" ca="1" si="4"/>
        <v>0</v>
      </c>
      <c r="Q130" s="20">
        <f t="shared" ca="1" si="5"/>
        <v>0</v>
      </c>
      <c r="R130" s="106">
        <f t="shared" ca="1" si="6"/>
        <v>0</v>
      </c>
    </row>
    <row r="131" spans="2:18">
      <c r="B131" s="68">
        <v>56296</v>
      </c>
      <c r="C131" s="56">
        <f>NETWORKDAYS(val_date,B131,feriados)-1</f>
        <v>7885</v>
      </c>
      <c r="D131" s="46">
        <f ca="1">SUMIF(tbl_Bonds[Coupon],$B131,INDIRECT("tbl_Bonds["&amp;D$4&amp;"]"))</f>
        <v>-570.71180044997948</v>
      </c>
      <c r="E131" s="46">
        <f ca="1">SUMIF(tbl_Bonds[Coupon],$B131,INDIRECT("tbl_Bonds["&amp;E$4&amp;"]"))</f>
        <v>-538.82485438352774</v>
      </c>
      <c r="F131" s="46">
        <f ca="1">SUMIF(tbl_Bonds[Coupon],$B131,INDIRECT("tbl_Bonds["&amp;F$4&amp;"]"))</f>
        <v>570.47713828560427</v>
      </c>
      <c r="G131" s="43">
        <f>_xlfn.XLOOKUP(B131,tbl_Bonds[Coupon],tbl_Bonds[Pré Mercado])</f>
        <v>0.12139820387031922</v>
      </c>
      <c r="H131" s="88">
        <v>0</v>
      </c>
      <c r="I131" s="43">
        <f>_xlfn.XLOOKUP(B131,tbl_Bonds[Coupon],tbl_Bonds[Pré Simulada])</f>
        <v>0.12139820387031922</v>
      </c>
      <c r="J131" s="43">
        <f>_xlfn.XLOOKUP($B131,tbl_Bonds[Coupon],tbl_Bonds[Real Mercado])</f>
        <v>5.8743177149762404E-2</v>
      </c>
      <c r="K131" s="88">
        <v>0</v>
      </c>
      <c r="L131" s="43">
        <f>_xlfn.XLOOKUP($B131,tbl_Bonds[Coupon],tbl_Bonds[Real Simulada])</f>
        <v>5.8743177149762404E-2</v>
      </c>
      <c r="M131" s="43">
        <f>_xlfn.XLOOKUP($B131,tbl_Bonds[Coupon],tbl_Bonds[Implícita Mercado])</f>
        <v>5.9178682816678041E-2</v>
      </c>
      <c r="N131" s="88">
        <v>0</v>
      </c>
      <c r="O131" s="63">
        <f>_xlfn.XLOOKUP($B131,tbl_Bonds[Coupon],tbl_Bonds[Implícita Simulada])</f>
        <v>5.9178682816678041E-2</v>
      </c>
      <c r="P131" s="20">
        <f t="shared" ca="1" si="4"/>
        <v>0</v>
      </c>
      <c r="Q131" s="20">
        <f t="shared" ca="1" si="5"/>
        <v>0</v>
      </c>
      <c r="R131" s="106">
        <f t="shared" ca="1" si="6"/>
        <v>0</v>
      </c>
    </row>
    <row r="132" spans="2:18">
      <c r="B132" s="68">
        <v>56384</v>
      </c>
      <c r="C132" s="56">
        <f>NETWORKDAYS(val_date,B132,feriados)-1</f>
        <v>7946</v>
      </c>
      <c r="D132" s="46">
        <f ca="1">SUMIF(tbl_Bonds[Coupon],$B132,INDIRECT("tbl_Bonds["&amp;D$4&amp;"]"))</f>
        <v>-367.37721729831446</v>
      </c>
      <c r="E132" s="46">
        <f ca="1">SUMIF(tbl_Bonds[Coupon],$B132,INDIRECT("tbl_Bonds["&amp;E$4&amp;"]"))</f>
        <v>-346.84800791395179</v>
      </c>
      <c r="F132" s="46">
        <f ca="1">SUMIF(tbl_Bonds[Coupon],$B132,INDIRECT("tbl_Bonds["&amp;F$4&amp;"]"))</f>
        <v>367.22220427676785</v>
      </c>
      <c r="G132" s="43">
        <f>_xlfn.XLOOKUP(B132,tbl_Bonds[Coupon],tbl_Bonds[Pré Mercado])</f>
        <v>0.12140566121868858</v>
      </c>
      <c r="H132" s="88">
        <v>0</v>
      </c>
      <c r="I132" s="43">
        <f>_xlfn.XLOOKUP(B132,tbl_Bonds[Coupon],tbl_Bonds[Pré Simulada])</f>
        <v>0.12140566121868858</v>
      </c>
      <c r="J132" s="43">
        <f>_xlfn.XLOOKUP($B132,tbl_Bonds[Coupon],tbl_Bonds[Real Mercado])</f>
        <v>5.8740992866322284E-2</v>
      </c>
      <c r="K132" s="88">
        <v>0</v>
      </c>
      <c r="L132" s="43">
        <f>_xlfn.XLOOKUP($B132,tbl_Bonds[Coupon],tbl_Bonds[Real Simulada])</f>
        <v>5.8740992866322284E-2</v>
      </c>
      <c r="M132" s="43">
        <f>_xlfn.XLOOKUP($B132,tbl_Bonds[Coupon],tbl_Bonds[Implícita Mercado])</f>
        <v>5.9187911643766133E-2</v>
      </c>
      <c r="N132" s="88">
        <v>0</v>
      </c>
      <c r="O132" s="63">
        <f>_xlfn.XLOOKUP($B132,tbl_Bonds[Coupon],tbl_Bonds[Implícita Simulada])</f>
        <v>5.9187911643766133E-2</v>
      </c>
      <c r="P132" s="20">
        <f t="shared" ca="1" si="4"/>
        <v>0</v>
      </c>
      <c r="Q132" s="20">
        <f t="shared" ca="1" si="5"/>
        <v>0</v>
      </c>
      <c r="R132" s="106">
        <f t="shared" ca="1" si="6"/>
        <v>0</v>
      </c>
    </row>
    <row r="133" spans="2:18">
      <c r="B133" s="68">
        <v>56478</v>
      </c>
      <c r="C133" s="56">
        <f>NETWORKDAYS(val_date,B133,feriados)-1</f>
        <v>8011</v>
      </c>
      <c r="D133" s="46">
        <f ca="1">SUMIF(tbl_Bonds[Coupon],$B133,INDIRECT("tbl_Bonds["&amp;D$4&amp;"]"))</f>
        <v>-563.59482625151782</v>
      </c>
      <c r="E133" s="46">
        <f ca="1">SUMIF(tbl_Bonds[Coupon],$B133,INDIRECT("tbl_Bonds["&amp;E$4&amp;"]"))</f>
        <v>-532.09601410605785</v>
      </c>
      <c r="F133" s="46">
        <f ca="1">SUMIF(tbl_Bonds[Coupon],$B133,INDIRECT("tbl_Bonds["&amp;F$4&amp;"]"))</f>
        <v>563.35063418605648</v>
      </c>
      <c r="G133" s="43">
        <f>_xlfn.XLOOKUP(B133,tbl_Bonds[Coupon],tbl_Bonds[Pré Mercado])</f>
        <v>0.12141348253052206</v>
      </c>
      <c r="H133" s="88">
        <v>0</v>
      </c>
      <c r="I133" s="43">
        <f>_xlfn.XLOOKUP(B133,tbl_Bonds[Coupon],tbl_Bonds[Pré Simulada])</f>
        <v>0.12141348253052206</v>
      </c>
      <c r="J133" s="43">
        <f>_xlfn.XLOOKUP($B133,tbl_Bonds[Coupon],tbl_Bonds[Real Mercado])</f>
        <v>5.8738684795924589E-2</v>
      </c>
      <c r="K133" s="88">
        <v>0</v>
      </c>
      <c r="L133" s="43">
        <f>_xlfn.XLOOKUP($B133,tbl_Bonds[Coupon],tbl_Bonds[Real Simulada])</f>
        <v>5.8738684795924589E-2</v>
      </c>
      <c r="M133" s="43">
        <f>_xlfn.XLOOKUP($B133,tbl_Bonds[Coupon],tbl_Bonds[Implícita Mercado])</f>
        <v>5.9197608042833805E-2</v>
      </c>
      <c r="N133" s="88">
        <v>0</v>
      </c>
      <c r="O133" s="63">
        <f>_xlfn.XLOOKUP($B133,tbl_Bonds[Coupon],tbl_Bonds[Implícita Simulada])</f>
        <v>5.9197608042833805E-2</v>
      </c>
      <c r="P133" s="20">
        <f t="shared" ca="1" si="4"/>
        <v>0</v>
      </c>
      <c r="Q133" s="20">
        <f t="shared" ca="1" si="5"/>
        <v>0</v>
      </c>
      <c r="R133" s="106">
        <f t="shared" ca="1" si="6"/>
        <v>0</v>
      </c>
    </row>
    <row r="134" spans="2:18">
      <c r="B134" s="68">
        <v>56569</v>
      </c>
      <c r="C134" s="56">
        <f>NETWORKDAYS(val_date,B134,feriados)-1</f>
        <v>8073</v>
      </c>
      <c r="D134" s="46">
        <f ca="1">SUMIF(tbl_Bonds[Coupon],$B134,INDIRECT("tbl_Bonds["&amp;D$4&amp;"]"))</f>
        <v>-362.7154451586166</v>
      </c>
      <c r="E134" s="46">
        <f ca="1">SUMIF(tbl_Bonds[Coupon],$B134,INDIRECT("tbl_Bonds["&amp;E$4&amp;"]"))</f>
        <v>-342.44065892022809</v>
      </c>
      <c r="F134" s="46">
        <f ca="1">SUMIF(tbl_Bonds[Coupon],$B134,INDIRECT("tbl_Bonds["&amp;F$4&amp;"]"))</f>
        <v>362.55443000892819</v>
      </c>
      <c r="G134" s="43">
        <f>_xlfn.XLOOKUP(B134,tbl_Bonds[Coupon],tbl_Bonds[Pré Mercado])</f>
        <v>0.12142082544127344</v>
      </c>
      <c r="H134" s="88">
        <v>0</v>
      </c>
      <c r="I134" s="43">
        <f>_xlfn.XLOOKUP(B134,tbl_Bonds[Coupon],tbl_Bonds[Pré Simulada])</f>
        <v>0.12142082544127344</v>
      </c>
      <c r="J134" s="43">
        <f>_xlfn.XLOOKUP($B134,tbl_Bonds[Coupon],tbl_Bonds[Real Mercado])</f>
        <v>5.8736515540337653E-2</v>
      </c>
      <c r="K134" s="88">
        <v>0</v>
      </c>
      <c r="L134" s="43">
        <f>_xlfn.XLOOKUP($B134,tbl_Bonds[Coupon],tbl_Bonds[Real Simulada])</f>
        <v>5.8736515540337653E-2</v>
      </c>
      <c r="M134" s="43">
        <f>_xlfn.XLOOKUP($B134,tbl_Bonds[Coupon],tbl_Bonds[Implícita Mercado])</f>
        <v>5.9206713820925794E-2</v>
      </c>
      <c r="N134" s="88">
        <v>0</v>
      </c>
      <c r="O134" s="63">
        <f>_xlfn.XLOOKUP($B134,tbl_Bonds[Coupon],tbl_Bonds[Implícita Simulada])</f>
        <v>5.9206713820925794E-2</v>
      </c>
      <c r="P134" s="20">
        <f t="shared" ref="P134:P147" ca="1" si="7">(I134-G134)*10000*E134</f>
        <v>0</v>
      </c>
      <c r="Q134" s="20">
        <f t="shared" ref="Q134:Q147" ca="1" si="8">(L134-J134)*10000*D134</f>
        <v>0</v>
      </c>
      <c r="R134" s="106">
        <f t="shared" ref="R134:R147" ca="1" si="9">(O134-M134)*10000*F134</f>
        <v>0</v>
      </c>
    </row>
    <row r="135" spans="2:18">
      <c r="B135" s="68">
        <v>56660</v>
      </c>
      <c r="C135" s="56">
        <f>NETWORKDAYS(val_date,B135,feriados)-1</f>
        <v>8136</v>
      </c>
      <c r="D135" s="46">
        <f ca="1">SUMIF(tbl_Bonds[Coupon],$B135,INDIRECT("tbl_Bonds["&amp;D$4&amp;"]"))</f>
        <v>-556.48649104823619</v>
      </c>
      <c r="E135" s="46">
        <f ca="1">SUMIF(tbl_Bonds[Coupon],$B135,INDIRECT("tbl_Bonds["&amp;E$4&amp;"]"))</f>
        <v>-525.37591506353328</v>
      </c>
      <c r="F135" s="46">
        <f ca="1">SUMIF(tbl_Bonds[Coupon],$B135,INDIRECT("tbl_Bonds["&amp;F$4&amp;"]"))</f>
        <v>556.23351809633073</v>
      </c>
      <c r="G135" s="43">
        <f>_xlfn.XLOOKUP(B135,tbl_Bonds[Coupon],tbl_Bonds[Pré Mercado])</f>
        <v>0.12142817209738736</v>
      </c>
      <c r="H135" s="88">
        <v>0</v>
      </c>
      <c r="I135" s="43">
        <f>_xlfn.XLOOKUP(B135,tbl_Bonds[Coupon],tbl_Bonds[Pré Simulada])</f>
        <v>0.12142817209738736</v>
      </c>
      <c r="J135" s="43">
        <f>_xlfn.XLOOKUP($B135,tbl_Bonds[Coupon],tbl_Bonds[Real Mercado])</f>
        <v>5.8734331216131475E-2</v>
      </c>
      <c r="K135" s="88">
        <v>0</v>
      </c>
      <c r="L135" s="43">
        <f>_xlfn.XLOOKUP($B135,tbl_Bonds[Coupon],tbl_Bonds[Real Simulada])</f>
        <v>5.8734331216131475E-2</v>
      </c>
      <c r="M135" s="43">
        <f>_xlfn.XLOOKUP($B135,tbl_Bonds[Coupon],tbl_Bonds[Implícita Mercado])</f>
        <v>5.9215838179056624E-2</v>
      </c>
      <c r="N135" s="88">
        <v>0</v>
      </c>
      <c r="O135" s="63">
        <f>_xlfn.XLOOKUP($B135,tbl_Bonds[Coupon],tbl_Bonds[Implícita Simulada])</f>
        <v>5.9215838179056624E-2</v>
      </c>
      <c r="P135" s="20">
        <f t="shared" ca="1" si="7"/>
        <v>0</v>
      </c>
      <c r="Q135" s="20">
        <f t="shared" ca="1" si="8"/>
        <v>0</v>
      </c>
      <c r="R135" s="106">
        <f t="shared" ca="1" si="9"/>
        <v>0</v>
      </c>
    </row>
    <row r="136" spans="2:18">
      <c r="B136" s="68">
        <v>56751</v>
      </c>
      <c r="C136" s="56">
        <f>NETWORKDAYS(val_date,B136,feriados)-1</f>
        <v>8197</v>
      </c>
      <c r="D136" s="46">
        <f ca="1">SUMIF(tbl_Bonds[Coupon],$B136,INDIRECT("tbl_Bonds["&amp;D$4&amp;"]"))</f>
        <v>-12472.449305935879</v>
      </c>
      <c r="E136" s="46">
        <f ca="1">SUMIF(tbl_Bonds[Coupon],$B136,INDIRECT("tbl_Bonds["&amp;E$4&amp;"]"))</f>
        <v>-11775.075842083717</v>
      </c>
      <c r="F136" s="46">
        <f ca="1">SUMIF(tbl_Bonds[Coupon],$B136,INDIRECT("tbl_Bonds["&amp;F$4&amp;"]"))</f>
        <v>12466.65250119695</v>
      </c>
      <c r="G136" s="43">
        <f>_xlfn.XLOOKUP(B136,tbl_Bonds[Coupon],tbl_Bonds[Pré Mercado])</f>
        <v>0.12143517786775368</v>
      </c>
      <c r="H136" s="88">
        <v>0</v>
      </c>
      <c r="I136" s="43">
        <f>_xlfn.XLOOKUP(B136,tbl_Bonds[Coupon],tbl_Bonds[Pré Simulada])</f>
        <v>0.12143517786775368</v>
      </c>
      <c r="J136" s="43">
        <f>_xlfn.XLOOKUP($B136,tbl_Bonds[Coupon],tbl_Bonds[Real Mercado])</f>
        <v>5.8732246677280608E-2</v>
      </c>
      <c r="K136" s="88">
        <v>0</v>
      </c>
      <c r="L136" s="43">
        <f>_xlfn.XLOOKUP($B136,tbl_Bonds[Coupon],tbl_Bonds[Real Simulada])</f>
        <v>5.8732246677280608E-2</v>
      </c>
      <c r="M136" s="43">
        <f>_xlfn.XLOOKUP($B136,tbl_Bonds[Coupon],tbl_Bonds[Implícita Mercado])</f>
        <v>5.9224540838497486E-2</v>
      </c>
      <c r="N136" s="88">
        <v>0</v>
      </c>
      <c r="O136" s="63">
        <f>_xlfn.XLOOKUP($B136,tbl_Bonds[Coupon],tbl_Bonds[Implícita Simulada])</f>
        <v>5.9224540838497486E-2</v>
      </c>
      <c r="P136" s="20">
        <f t="shared" ca="1" si="7"/>
        <v>0</v>
      </c>
      <c r="Q136" s="20">
        <f t="shared" ca="1" si="8"/>
        <v>0</v>
      </c>
      <c r="R136" s="106">
        <f t="shared" ca="1" si="9"/>
        <v>0</v>
      </c>
    </row>
    <row r="137" spans="2:18">
      <c r="B137" s="68">
        <v>56842</v>
      </c>
      <c r="C137" s="56">
        <f>NETWORKDAYS(val_date,B137,feriados)-1</f>
        <v>8261</v>
      </c>
      <c r="D137" s="46">
        <f ca="1">SUMIF(tbl_Bonds[Coupon],$B137,INDIRECT("tbl_Bonds["&amp;D$4&amp;"]"))</f>
        <v>-549.33855281729439</v>
      </c>
      <c r="E137" s="46">
        <f ca="1">SUMIF(tbl_Bonds[Coupon],$B137,INDIRECT("tbl_Bonds["&amp;E$4&amp;"]"))</f>
        <v>-518.6189148240428</v>
      </c>
      <c r="F137" s="46">
        <f ca="1">SUMIF(tbl_Bonds[Coupon],$B137,INDIRECT("tbl_Bonds["&amp;F$4&amp;"]"))</f>
        <v>549.07744531544495</v>
      </c>
      <c r="G137" s="43">
        <f>_xlfn.XLOOKUP(B137,tbl_Bonds[Coupon],tbl_Bonds[Pré Mercado])</f>
        <v>0.12144241691250647</v>
      </c>
      <c r="H137" s="88">
        <v>0</v>
      </c>
      <c r="I137" s="43">
        <f>_xlfn.XLOOKUP(B137,tbl_Bonds[Coupon],tbl_Bonds[Pré Simulada])</f>
        <v>0.12144241691250647</v>
      </c>
      <c r="J137" s="43">
        <f>_xlfn.XLOOKUP($B137,tbl_Bonds[Coupon],tbl_Bonds[Real Mercado])</f>
        <v>5.8730080214894009E-2</v>
      </c>
      <c r="K137" s="88">
        <v>0</v>
      </c>
      <c r="L137" s="43">
        <f>_xlfn.XLOOKUP($B137,tbl_Bonds[Coupon],tbl_Bonds[Real Simulada])</f>
        <v>5.8730080214894009E-2</v>
      </c>
      <c r="M137" s="43">
        <f>_xlfn.XLOOKUP($B137,tbl_Bonds[Coupon],tbl_Bonds[Implícita Mercado])</f>
        <v>5.92335457572577E-2</v>
      </c>
      <c r="N137" s="88">
        <v>0</v>
      </c>
      <c r="O137" s="63">
        <f>_xlfn.XLOOKUP($B137,tbl_Bonds[Coupon],tbl_Bonds[Implícita Simulada])</f>
        <v>5.92335457572577E-2</v>
      </c>
      <c r="P137" s="20">
        <f t="shared" ca="1" si="7"/>
        <v>0</v>
      </c>
      <c r="Q137" s="20">
        <f t="shared" ca="1" si="8"/>
        <v>0</v>
      </c>
      <c r="R137" s="106">
        <f t="shared" ca="1" si="9"/>
        <v>0</v>
      </c>
    </row>
    <row r="138" spans="2:18">
      <c r="B138" s="68">
        <v>57026</v>
      </c>
      <c r="C138" s="56">
        <f>NETWORKDAYS(val_date,B138,feriados)-1</f>
        <v>8387</v>
      </c>
      <c r="D138" s="46">
        <f ca="1">SUMIF(tbl_Bonds[Coupon],$B138,INDIRECT("tbl_Bonds["&amp;D$4&amp;"]"))</f>
        <v>-542.10109210425946</v>
      </c>
      <c r="E138" s="46">
        <f ca="1">SUMIF(tbl_Bonds[Coupon],$B138,INDIRECT("tbl_Bonds["&amp;E$4&amp;"]"))</f>
        <v>-511.77780313714095</v>
      </c>
      <c r="F138" s="46">
        <f ca="1">SUMIF(tbl_Bonds[Coupon],$B138,INDIRECT("tbl_Bonds["&amp;F$4&amp;"]"))</f>
        <v>541.83241437074491</v>
      </c>
      <c r="G138" s="43">
        <f>_xlfn.XLOOKUP(B138,tbl_Bonds[Coupon],tbl_Bonds[Pré Mercado])</f>
        <v>0.12145634577105889</v>
      </c>
      <c r="H138" s="88">
        <v>0</v>
      </c>
      <c r="I138" s="43">
        <f>_xlfn.XLOOKUP(B138,tbl_Bonds[Coupon],tbl_Bonds[Pré Simulada])</f>
        <v>0.12145634577105889</v>
      </c>
      <c r="J138" s="43">
        <f>_xlfn.XLOOKUP($B138,tbl_Bonds[Coupon],tbl_Bonds[Real Mercado])</f>
        <v>5.8725898286665412E-2</v>
      </c>
      <c r="K138" s="88">
        <v>0</v>
      </c>
      <c r="L138" s="43">
        <f>_xlfn.XLOOKUP($B138,tbl_Bonds[Coupon],tbl_Bonds[Real Simulada])</f>
        <v>5.8725898286665412E-2</v>
      </c>
      <c r="M138" s="43">
        <f>_xlfn.XLOOKUP($B138,tbl_Bonds[Coupon],tbl_Bonds[Implícita Mercado])</f>
        <v>5.9250885939442277E-2</v>
      </c>
      <c r="N138" s="88">
        <v>0</v>
      </c>
      <c r="O138" s="63">
        <f>_xlfn.XLOOKUP($B138,tbl_Bonds[Coupon],tbl_Bonds[Implícita Simulada])</f>
        <v>5.9250885939442277E-2</v>
      </c>
      <c r="P138" s="20">
        <f t="shared" ca="1" si="7"/>
        <v>0</v>
      </c>
      <c r="Q138" s="20">
        <f t="shared" ca="1" si="8"/>
        <v>0</v>
      </c>
      <c r="R138" s="106">
        <f t="shared" ca="1" si="9"/>
        <v>0</v>
      </c>
    </row>
    <row r="139" spans="2:18">
      <c r="B139" s="68">
        <v>57207</v>
      </c>
      <c r="C139" s="56">
        <f>NETWORKDAYS(val_date,B139,feriados)-1</f>
        <v>8512</v>
      </c>
      <c r="D139" s="46">
        <f ca="1">SUMIF(tbl_Bonds[Coupon],$B139,INDIRECT("tbl_Bonds["&amp;D$4&amp;"]"))</f>
        <v>-534.89628006307305</v>
      </c>
      <c r="E139" s="46">
        <f ca="1">SUMIF(tbl_Bonds[Coupon],$B139,INDIRECT("tbl_Bonds["&amp;E$4&amp;"]"))</f>
        <v>-504.96803462741917</v>
      </c>
      <c r="F139" s="46">
        <f ca="1">SUMIF(tbl_Bonds[Coupon],$B139,INDIRECT("tbl_Bonds["&amp;F$4&amp;"]"))</f>
        <v>534.62069213267887</v>
      </c>
      <c r="G139" s="43">
        <f>_xlfn.XLOOKUP(B139,tbl_Bonds[Coupon],tbl_Bonds[Pré Mercado])</f>
        <v>0.12146975642842052</v>
      </c>
      <c r="H139" s="88">
        <v>0</v>
      </c>
      <c r="I139" s="43">
        <f>_xlfn.XLOOKUP(B139,tbl_Bonds[Coupon],tbl_Bonds[Pré Simulada])</f>
        <v>0.12146975642842052</v>
      </c>
      <c r="J139" s="43">
        <f>_xlfn.XLOOKUP($B139,tbl_Bonds[Coupon],tbl_Bonds[Real Mercado])</f>
        <v>5.8721850596649583E-2</v>
      </c>
      <c r="K139" s="88">
        <v>0</v>
      </c>
      <c r="L139" s="43">
        <f>_xlfn.XLOOKUP($B139,tbl_Bonds[Coupon],tbl_Bonds[Real Simulada])</f>
        <v>5.8721850596649583E-2</v>
      </c>
      <c r="M139" s="43">
        <f>_xlfn.XLOOKUP($B139,tbl_Bonds[Coupon],tbl_Bonds[Implícita Mercado])</f>
        <v>5.9267602491539062E-2</v>
      </c>
      <c r="N139" s="88">
        <v>0</v>
      </c>
      <c r="O139" s="63">
        <f>_xlfn.XLOOKUP($B139,tbl_Bonds[Coupon],tbl_Bonds[Implícita Simulada])</f>
        <v>5.9267602491539062E-2</v>
      </c>
      <c r="P139" s="20">
        <f t="shared" ca="1" si="7"/>
        <v>0</v>
      </c>
      <c r="Q139" s="20">
        <f t="shared" ca="1" si="8"/>
        <v>0</v>
      </c>
      <c r="R139" s="106">
        <f t="shared" ca="1" si="9"/>
        <v>0</v>
      </c>
    </row>
    <row r="140" spans="2:18">
      <c r="B140" s="68">
        <v>57391</v>
      </c>
      <c r="C140" s="56">
        <f>NETWORKDAYS(val_date,B140,feriados)-1</f>
        <v>8638</v>
      </c>
      <c r="D140" s="46">
        <f ca="1">SUMIF(tbl_Bonds[Coupon],$B140,INDIRECT("tbl_Bonds["&amp;D$4&amp;"]"))</f>
        <v>-527.61582892048409</v>
      </c>
      <c r="E140" s="46">
        <f ca="1">SUMIF(tbl_Bonds[Coupon],$B140,INDIRECT("tbl_Bonds["&amp;E$4&amp;"]"))</f>
        <v>-498.08723396839582</v>
      </c>
      <c r="F140" s="46">
        <f ca="1">SUMIF(tbl_Bonds[Coupon],$B140,INDIRECT("tbl_Bonds["&amp;F$4&amp;"]"))</f>
        <v>527.33385584852465</v>
      </c>
      <c r="G140" s="43">
        <f>_xlfn.XLOOKUP(B140,tbl_Bonds[Coupon],tbl_Bonds[Pré Mercado])</f>
        <v>0.1214828813972245</v>
      </c>
      <c r="H140" s="88">
        <v>0</v>
      </c>
      <c r="I140" s="43">
        <f>_xlfn.XLOOKUP(B140,tbl_Bonds[Coupon],tbl_Bonds[Pré Simulada])</f>
        <v>0.1214828813972245</v>
      </c>
      <c r="J140" s="43">
        <f>_xlfn.XLOOKUP($B140,tbl_Bonds[Coupon],tbl_Bonds[Real Mercado])</f>
        <v>5.871787082096791E-2</v>
      </c>
      <c r="K140" s="88">
        <v>0</v>
      </c>
      <c r="L140" s="43">
        <f>_xlfn.XLOOKUP($B140,tbl_Bonds[Coupon],tbl_Bonds[Real Simulada])</f>
        <v>5.871787082096791E-2</v>
      </c>
      <c r="M140" s="43">
        <f>_xlfn.XLOOKUP($B140,tbl_Bonds[Coupon],tbl_Bonds[Implícita Mercado])</f>
        <v>5.9283981376885508E-2</v>
      </c>
      <c r="N140" s="88">
        <v>0</v>
      </c>
      <c r="O140" s="63">
        <f>_xlfn.XLOOKUP($B140,tbl_Bonds[Coupon],tbl_Bonds[Implícita Simulada])</f>
        <v>5.9283981376885508E-2</v>
      </c>
      <c r="P140" s="20">
        <f t="shared" ca="1" si="7"/>
        <v>0</v>
      </c>
      <c r="Q140" s="20">
        <f t="shared" ca="1" si="8"/>
        <v>0</v>
      </c>
      <c r="R140" s="106">
        <f t="shared" ca="1" si="9"/>
        <v>0</v>
      </c>
    </row>
    <row r="141" spans="2:18">
      <c r="B141" s="68">
        <v>57572</v>
      </c>
      <c r="C141" s="56">
        <f>NETWORKDAYS(val_date,B141,feriados)-1</f>
        <v>8762</v>
      </c>
      <c r="D141" s="46">
        <f ca="1">SUMIF(tbl_Bonds[Coupon],$B141,INDIRECT("tbl_Bonds["&amp;D$4&amp;"]"))</f>
        <v>-520.43975666565689</v>
      </c>
      <c r="E141" s="46">
        <f ca="1">SUMIF(tbl_Bonds[Coupon],$B141,INDIRECT("tbl_Bonds["&amp;E$4&amp;"]"))</f>
        <v>-491.30550858887841</v>
      </c>
      <c r="F141" s="46">
        <f ca="1">SUMIF(tbl_Bonds[Coupon],$B141,INDIRECT("tbl_Bonds["&amp;F$4&amp;"]"))</f>
        <v>520.15204514433071</v>
      </c>
      <c r="G141" s="43">
        <f>_xlfn.XLOOKUP(B141,tbl_Bonds[Coupon],tbl_Bonds[Pré Mercado])</f>
        <v>0.12149542933080461</v>
      </c>
      <c r="H141" s="88">
        <v>0</v>
      </c>
      <c r="I141" s="43">
        <f>_xlfn.XLOOKUP(B141,tbl_Bonds[Coupon],tbl_Bonds[Pré Simulada])</f>
        <v>0.12149542933080461</v>
      </c>
      <c r="J141" s="43">
        <f>_xlfn.XLOOKUP($B141,tbl_Bonds[Coupon],tbl_Bonds[Real Mercado])</f>
        <v>5.8714050695392261E-2</v>
      </c>
      <c r="K141" s="88">
        <v>0</v>
      </c>
      <c r="L141" s="43">
        <f>_xlfn.XLOOKUP($B141,tbl_Bonds[Coupon],tbl_Bonds[Real Simulada])</f>
        <v>5.8714050695392261E-2</v>
      </c>
      <c r="M141" s="43">
        <f>_xlfn.XLOOKUP($B141,tbl_Bonds[Coupon],tbl_Bonds[Implícita Mercado])</f>
        <v>5.9299655612397473E-2</v>
      </c>
      <c r="N141" s="88">
        <v>0</v>
      </c>
      <c r="O141" s="63">
        <f>_xlfn.XLOOKUP($B141,tbl_Bonds[Coupon],tbl_Bonds[Implícita Simulada])</f>
        <v>5.9299655612397473E-2</v>
      </c>
      <c r="P141" s="20">
        <f t="shared" ca="1" si="7"/>
        <v>0</v>
      </c>
      <c r="Q141" s="20">
        <f t="shared" ca="1" si="8"/>
        <v>0</v>
      </c>
      <c r="R141" s="106">
        <f t="shared" ca="1" si="9"/>
        <v>0</v>
      </c>
    </row>
    <row r="142" spans="2:18">
      <c r="B142" s="68">
        <v>57756</v>
      </c>
      <c r="C142" s="56">
        <f>NETWORKDAYS(val_date,B142,feriados)-1</f>
        <v>8888</v>
      </c>
      <c r="D142" s="46">
        <f ca="1">SUMIF(tbl_Bonds[Coupon],$B142,INDIRECT("tbl_Bonds["&amp;D$4&amp;"]"))</f>
        <v>-513.14281137514934</v>
      </c>
      <c r="E142" s="46">
        <f ca="1">SUMIF(tbl_Bonds[Coupon],$B142,INDIRECT("tbl_Bonds["&amp;E$4&amp;"]"))</f>
        <v>-484.40996226683797</v>
      </c>
      <c r="F142" s="46">
        <f ca="1">SUMIF(tbl_Bonds[Coupon],$B142,INDIRECT("tbl_Bonds["&amp;F$4&amp;"]"))</f>
        <v>512.84979950730497</v>
      </c>
      <c r="G142" s="43">
        <f>_xlfn.XLOOKUP(B142,tbl_Bonds[Coupon],tbl_Bonds[Pré Mercado])</f>
        <v>0.12150782085728758</v>
      </c>
      <c r="H142" s="88">
        <v>0</v>
      </c>
      <c r="I142" s="43">
        <f>_xlfn.XLOOKUP(B142,tbl_Bonds[Coupon],tbl_Bonds[Pré Simulada])</f>
        <v>0.12150782085728758</v>
      </c>
      <c r="J142" s="43">
        <f>_xlfn.XLOOKUP($B142,tbl_Bonds[Coupon],tbl_Bonds[Real Mercado])</f>
        <v>5.8710264940315726E-2</v>
      </c>
      <c r="K142" s="88">
        <v>0</v>
      </c>
      <c r="L142" s="43">
        <f>_xlfn.XLOOKUP($B142,tbl_Bonds[Coupon],tbl_Bonds[Real Simulada])</f>
        <v>5.8710264940315726E-2</v>
      </c>
      <c r="M142" s="43">
        <f>_xlfn.XLOOKUP($B142,tbl_Bonds[Coupon],tbl_Bonds[Implícita Mercado])</f>
        <v>5.9315147837361915E-2</v>
      </c>
      <c r="N142" s="88">
        <v>0</v>
      </c>
      <c r="O142" s="63">
        <f>_xlfn.XLOOKUP($B142,tbl_Bonds[Coupon],tbl_Bonds[Implícita Simulada])</f>
        <v>5.9315147837361915E-2</v>
      </c>
      <c r="P142" s="20">
        <f t="shared" ca="1" si="7"/>
        <v>0</v>
      </c>
      <c r="Q142" s="20">
        <f t="shared" ca="1" si="8"/>
        <v>0</v>
      </c>
      <c r="R142" s="106">
        <f t="shared" ca="1" si="9"/>
        <v>0</v>
      </c>
    </row>
    <row r="143" spans="2:18">
      <c r="B143" s="68">
        <v>57937</v>
      </c>
      <c r="C143" s="56">
        <f>NETWORKDAYS(val_date,B143,feriados)-1</f>
        <v>9012</v>
      </c>
      <c r="D143" s="46">
        <f ca="1">SUMIF(tbl_Bonds[Coupon],$B143,INDIRECT("tbl_Bonds["&amp;D$4&amp;"]"))</f>
        <v>-505.9624191668301</v>
      </c>
      <c r="E143" s="46">
        <f ca="1">SUMIF(tbl_Bonds[Coupon],$B143,INDIRECT("tbl_Bonds["&amp;E$4&amp;"]"))</f>
        <v>-477.62493942816417</v>
      </c>
      <c r="F143" s="46">
        <f ca="1">SUMIF(tbl_Bonds[Coupon],$B143,INDIRECT("tbl_Bonds["&amp;F$4&amp;"]"))</f>
        <v>505.66469077996692</v>
      </c>
      <c r="G143" s="43">
        <f>_xlfn.XLOOKUP(B143,tbl_Bonds[Coupon],tbl_Bonds[Pré Mercado])</f>
        <v>0.12151967725475281</v>
      </c>
      <c r="H143" s="88">
        <v>0</v>
      </c>
      <c r="I143" s="43">
        <f>_xlfn.XLOOKUP(B143,tbl_Bonds[Coupon],tbl_Bonds[Pré Simulada])</f>
        <v>0.12151967725475281</v>
      </c>
      <c r="J143" s="43">
        <f>_xlfn.XLOOKUP($B143,tbl_Bonds[Coupon],tbl_Bonds[Real Mercado])</f>
        <v>5.8706631547225108E-2</v>
      </c>
      <c r="K143" s="88">
        <v>0</v>
      </c>
      <c r="L143" s="43">
        <f>_xlfn.XLOOKUP($B143,tbl_Bonds[Coupon],tbl_Bonds[Real Simulada])</f>
        <v>5.8706631547225108E-2</v>
      </c>
      <c r="M143" s="43">
        <f>_xlfn.XLOOKUP($B143,tbl_Bonds[Coupon],tbl_Bonds[Implícita Mercado])</f>
        <v>5.9329982265626136E-2</v>
      </c>
      <c r="N143" s="88">
        <v>0</v>
      </c>
      <c r="O143" s="63">
        <f>_xlfn.XLOOKUP($B143,tbl_Bonds[Coupon],tbl_Bonds[Implícita Simulada])</f>
        <v>5.9329982265626136E-2</v>
      </c>
      <c r="P143" s="20">
        <f t="shared" ca="1" si="7"/>
        <v>0</v>
      </c>
      <c r="Q143" s="20">
        <f t="shared" ca="1" si="8"/>
        <v>0</v>
      </c>
      <c r="R143" s="106">
        <f t="shared" ca="1" si="9"/>
        <v>0</v>
      </c>
    </row>
    <row r="144" spans="2:18">
      <c r="B144" s="68">
        <v>58123</v>
      </c>
      <c r="C144" s="56">
        <f>NETWORKDAYS(val_date,B144,feriados)-1</f>
        <v>9139</v>
      </c>
      <c r="D144" s="46">
        <f ca="1">SUMIF(tbl_Bonds[Coupon],$B144,INDIRECT("tbl_Bonds["&amp;D$4&amp;"]"))</f>
        <v>-498.61471938584208</v>
      </c>
      <c r="E144" s="46">
        <f ca="1">SUMIF(tbl_Bonds[Coupon],$B144,INDIRECT("tbl_Bonds["&amp;E$4&amp;"]"))</f>
        <v>-470.68219331197338</v>
      </c>
      <c r="F144" s="46">
        <f ca="1">SUMIF(tbl_Bonds[Coupon],$B144,INDIRECT("tbl_Bonds["&amp;F$4&amp;"]"))</f>
        <v>498.31265142092462</v>
      </c>
      <c r="G144" s="43">
        <f>_xlfn.XLOOKUP(B144,tbl_Bonds[Coupon],tbl_Bonds[Pré Mercado])</f>
        <v>0.12153148685005542</v>
      </c>
      <c r="H144" s="88">
        <v>0</v>
      </c>
      <c r="I144" s="43">
        <f>_xlfn.XLOOKUP(B144,tbl_Bonds[Coupon],tbl_Bonds[Pré Simulada])</f>
        <v>0.12153148685005542</v>
      </c>
      <c r="J144" s="43">
        <f>_xlfn.XLOOKUP($B144,tbl_Bonds[Coupon],tbl_Bonds[Real Mercado])</f>
        <v>5.8703002764025847E-2</v>
      </c>
      <c r="K144" s="88">
        <v>0</v>
      </c>
      <c r="L144" s="43">
        <f>_xlfn.XLOOKUP($B144,tbl_Bonds[Coupon],tbl_Bonds[Real Simulada])</f>
        <v>5.8703002764025847E-2</v>
      </c>
      <c r="M144" s="43">
        <f>_xlfn.XLOOKUP($B144,tbl_Bonds[Coupon],tbl_Bonds[Implícita Mercado])</f>
        <v>5.9344767976036161E-2</v>
      </c>
      <c r="N144" s="88">
        <v>0</v>
      </c>
      <c r="O144" s="63">
        <f>_xlfn.XLOOKUP($B144,tbl_Bonds[Coupon],tbl_Bonds[Implícita Simulada])</f>
        <v>5.9344767976036161E-2</v>
      </c>
      <c r="P144" s="20">
        <f t="shared" ca="1" si="7"/>
        <v>0</v>
      </c>
      <c r="Q144" s="20">
        <f t="shared" ca="1" si="8"/>
        <v>0</v>
      </c>
      <c r="R144" s="106">
        <f t="shared" ca="1" si="9"/>
        <v>0</v>
      </c>
    </row>
    <row r="145" spans="2:18">
      <c r="B145" s="68">
        <v>58302</v>
      </c>
      <c r="C145" s="56">
        <f>NETWORKDAYS(val_date,B145,feriados)-1</f>
        <v>9264</v>
      </c>
      <c r="D145" s="46">
        <f ca="1">SUMIF(tbl_Bonds[Coupon],$B145,INDIRECT("tbl_Bonds["&amp;D$4&amp;"]"))</f>
        <v>-491.39433951042571</v>
      </c>
      <c r="E145" s="46">
        <f ca="1">SUMIF(tbl_Bonds[Coupon],$B145,INDIRECT("tbl_Bonds["&amp;E$4&amp;"]"))</f>
        <v>-463.86009846129986</v>
      </c>
      <c r="F145" s="46">
        <f ca="1">SUMIF(tbl_Bonds[Coupon],$B145,INDIRECT("tbl_Bonds["&amp;F$4&amp;"]"))</f>
        <v>491.08846365941514</v>
      </c>
      <c r="G145" s="43">
        <f>_xlfn.XLOOKUP(B145,tbl_Bonds[Coupon],tbl_Bonds[Pré Mercado])</f>
        <v>0.12154279415029962</v>
      </c>
      <c r="H145" s="88">
        <v>0</v>
      </c>
      <c r="I145" s="43">
        <f>_xlfn.XLOOKUP(B145,tbl_Bonds[Coupon],tbl_Bonds[Pré Simulada])</f>
        <v>0.12154279415029962</v>
      </c>
      <c r="J145" s="43">
        <f>_xlfn.XLOOKUP($B145,tbl_Bonds[Coupon],tbl_Bonds[Real Mercado])</f>
        <v>5.8699520125501836E-2</v>
      </c>
      <c r="K145" s="88">
        <v>0</v>
      </c>
      <c r="L145" s="43">
        <f>_xlfn.XLOOKUP($B145,tbl_Bonds[Coupon],tbl_Bonds[Real Simulada])</f>
        <v>5.8699520125501836E-2</v>
      </c>
      <c r="M145" s="43">
        <f>_xlfn.XLOOKUP($B145,tbl_Bonds[Coupon],tbl_Bonds[Implícita Mercado])</f>
        <v>5.9358933106441247E-2</v>
      </c>
      <c r="N145" s="88">
        <v>0</v>
      </c>
      <c r="O145" s="63">
        <f>_xlfn.XLOOKUP($B145,tbl_Bonds[Coupon],tbl_Bonds[Implícita Simulada])</f>
        <v>5.9358933106441247E-2</v>
      </c>
      <c r="P145" s="20">
        <f t="shared" ca="1" si="7"/>
        <v>0</v>
      </c>
      <c r="Q145" s="20">
        <f t="shared" ca="1" si="8"/>
        <v>0</v>
      </c>
      <c r="R145" s="106">
        <f t="shared" ca="1" si="9"/>
        <v>0</v>
      </c>
    </row>
    <row r="146" spans="2:18">
      <c r="B146" s="68">
        <v>58487</v>
      </c>
      <c r="C146" s="56">
        <f>NETWORKDAYS(val_date,B146,feriados)-1</f>
        <v>9393</v>
      </c>
      <c r="D146" s="46">
        <f ca="1">SUMIF(tbl_Bonds[Coupon],$B146,INDIRECT("tbl_Bonds["&amp;D$4&amp;"]"))</f>
        <v>-483.96022511081742</v>
      </c>
      <c r="E146" s="46">
        <f ca="1">SUMIF(tbl_Bonds[Coupon],$B146,INDIRECT("tbl_Bonds["&amp;E$4&amp;"]"))</f>
        <v>-456.83640228944904</v>
      </c>
      <c r="F146" s="46">
        <f ca="1">SUMIF(tbl_Bonds[Coupon],$B146,INDIRECT("tbl_Bonds["&amp;F$4&amp;"]"))</f>
        <v>483.6508790944161</v>
      </c>
      <c r="G146" s="43">
        <f>_xlfn.XLOOKUP(B146,tbl_Bonds[Coupon],tbl_Bonds[Pré Mercado])</f>
        <v>0.12155414760563446</v>
      </c>
      <c r="H146" s="88">
        <v>0</v>
      </c>
      <c r="I146" s="43">
        <f>_xlfn.XLOOKUP(B146,tbl_Bonds[Coupon],tbl_Bonds[Pré Simulada])</f>
        <v>0.12155414760563446</v>
      </c>
      <c r="J146" s="43">
        <f>_xlfn.XLOOKUP($B146,tbl_Bonds[Coupon],tbl_Bonds[Real Mercado])</f>
        <v>5.8696016032179221E-2</v>
      </c>
      <c r="K146" s="88">
        <v>0</v>
      </c>
      <c r="L146" s="43">
        <f>_xlfn.XLOOKUP($B146,tbl_Bonds[Coupon],tbl_Bonds[Real Simulada])</f>
        <v>5.8696016032179221E-2</v>
      </c>
      <c r="M146" s="43">
        <f>_xlfn.XLOOKUP($B146,tbl_Bonds[Coupon],tbl_Bonds[Implícita Mercado])</f>
        <v>5.9373163394883077E-2</v>
      </c>
      <c r="N146" s="88">
        <v>0</v>
      </c>
      <c r="O146" s="63">
        <f>_xlfn.XLOOKUP($B146,tbl_Bonds[Coupon],tbl_Bonds[Implícita Simulada])</f>
        <v>5.9373163394883077E-2</v>
      </c>
      <c r="P146" s="20">
        <f t="shared" ca="1" si="7"/>
        <v>0</v>
      </c>
      <c r="Q146" s="20">
        <f t="shared" ca="1" si="8"/>
        <v>0</v>
      </c>
      <c r="R146" s="106">
        <f t="shared" ca="1" si="9"/>
        <v>0</v>
      </c>
    </row>
    <row r="147" spans="2:18" ht="17" thickBot="1">
      <c r="B147" s="69">
        <v>58669</v>
      </c>
      <c r="C147" s="70">
        <f>NETWORKDAYS(val_date,B147,feriados)-1</f>
        <v>9518</v>
      </c>
      <c r="D147" s="71">
        <f ca="1">SUMIF(tbl_Bonds[Coupon],$B147,INDIRECT("tbl_Bonds["&amp;D$4&amp;"]"))</f>
        <v>-16604.30048978667</v>
      </c>
      <c r="E147" s="71">
        <f ca="1">SUMIF(tbl_Bonds[Coupon],$B147,INDIRECT("tbl_Bonds["&amp;E$4&amp;"]"))</f>
        <v>-15673.504483967092</v>
      </c>
      <c r="F147" s="71">
        <f ca="1">SUMIF(tbl_Bonds[Coupon],$B147,INDIRECT("tbl_Bonds["&amp;F$4&amp;"]"))</f>
        <v>16593.424863518991</v>
      </c>
      <c r="G147" s="72">
        <f>_xlfn.XLOOKUP(B147,tbl_Bonds[Coupon],tbl_Bonds[Pré Mercado])</f>
        <v>0.12156485531103164</v>
      </c>
      <c r="H147" s="92">
        <v>0</v>
      </c>
      <c r="I147" s="72">
        <f>_xlfn.XLOOKUP(B147,tbl_Bonds[Coupon],tbl_Bonds[Pré Simulada])</f>
        <v>0.12156485531103164</v>
      </c>
      <c r="J147" s="72">
        <f>_xlfn.XLOOKUP($B147,tbl_Bonds[Coupon],tbl_Bonds[Real Mercado])</f>
        <v>5.869270526563386E-2</v>
      </c>
      <c r="K147" s="92">
        <v>0</v>
      </c>
      <c r="L147" s="72">
        <f>_xlfn.XLOOKUP($B147,tbl_Bonds[Coupon],tbl_Bonds[Real Simulada])</f>
        <v>5.869270526563386E-2</v>
      </c>
      <c r="M147" s="72">
        <f>_xlfn.XLOOKUP($B147,tbl_Bonds[Coupon],tbl_Bonds[Implícita Mercado])</f>
        <v>5.938659037320515E-2</v>
      </c>
      <c r="N147" s="92">
        <v>0</v>
      </c>
      <c r="O147" s="72">
        <f>_xlfn.XLOOKUP($B147,tbl_Bonds[Coupon],tbl_Bonds[Implícita Simulada])</f>
        <v>5.938659037320515E-2</v>
      </c>
      <c r="P147" s="103">
        <f t="shared" ca="1" si="7"/>
        <v>0</v>
      </c>
      <c r="Q147" s="103">
        <f t="shared" ca="1" si="8"/>
        <v>0</v>
      </c>
      <c r="R147" s="107">
        <f t="shared" ca="1" si="9"/>
        <v>0</v>
      </c>
    </row>
    <row r="148" spans="2:18" ht="17" thickTop="1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51348-BA00-304E-B9FC-D11ADEDAF279}">
  <sheetPr codeName="ANBIMA"/>
  <dimension ref="A1:R35"/>
  <sheetViews>
    <sheetView showGridLines="0" workbookViewId="0">
      <selection activeCell="A20" sqref="A20"/>
    </sheetView>
  </sheetViews>
  <sheetFormatPr baseColWidth="10" defaultRowHeight="14"/>
  <cols>
    <col min="1" max="1" width="14.83203125" style="54" bestFit="1" customWidth="1"/>
    <col min="2" max="2" width="21.6640625" style="54" bestFit="1" customWidth="1"/>
    <col min="3" max="3" width="22.1640625" style="54" bestFit="1" customWidth="1"/>
    <col min="4" max="4" width="8.1640625" style="54" bestFit="1" customWidth="1"/>
    <col min="5" max="5" width="12.83203125" style="54" bestFit="1" customWidth="1"/>
    <col min="6" max="6" width="11.1640625" style="54" bestFit="1" customWidth="1"/>
    <col min="7" max="7" width="16.5" style="54" bestFit="1" customWidth="1"/>
    <col min="8" max="8" width="9.5" style="54" bestFit="1" customWidth="1"/>
    <col min="9" max="9" width="14.1640625" style="54" bestFit="1" customWidth="1"/>
    <col min="10" max="10" width="14.6640625" style="54" bestFit="1" customWidth="1"/>
    <col min="11" max="11" width="15.6640625" style="54" bestFit="1" customWidth="1"/>
    <col min="12" max="12" width="16.33203125" style="54" bestFit="1" customWidth="1"/>
    <col min="13" max="13" width="10.1640625" style="54" bestFit="1" customWidth="1"/>
    <col min="14" max="14" width="6.6640625" style="54" bestFit="1" customWidth="1"/>
    <col min="15" max="15" width="13.6640625" style="54" bestFit="1" customWidth="1"/>
    <col min="16" max="16" width="17.33203125" style="54" bestFit="1" customWidth="1"/>
    <col min="17" max="17" width="12.1640625" style="54" bestFit="1" customWidth="1"/>
    <col min="18" max="18" width="14.83203125" style="54" bestFit="1" customWidth="1"/>
    <col min="19" max="16384" width="10.83203125" style="54"/>
  </cols>
  <sheetData>
    <row r="1" spans="1:18">
      <c r="A1" s="54" t="s">
        <v>126</v>
      </c>
      <c r="I1" s="53"/>
      <c r="J1" s="53"/>
      <c r="K1" s="53"/>
      <c r="L1" s="53"/>
      <c r="P1" s="55"/>
    </row>
    <row r="2" spans="1:18" ht="16">
      <c r="A2" s="12" t="s">
        <v>5</v>
      </c>
      <c r="B2" s="12" t="s">
        <v>6</v>
      </c>
      <c r="C2" s="12" t="s">
        <v>7</v>
      </c>
      <c r="D2" s="12" t="s">
        <v>57</v>
      </c>
      <c r="E2" s="12" t="s">
        <v>8</v>
      </c>
      <c r="F2" s="12" t="s">
        <v>9</v>
      </c>
      <c r="G2" s="12" t="s">
        <v>10</v>
      </c>
      <c r="H2" s="12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2" t="s">
        <v>16</v>
      </c>
      <c r="N2" s="12" t="s">
        <v>17</v>
      </c>
      <c r="O2" s="12" t="s">
        <v>64</v>
      </c>
      <c r="P2" s="12" t="s">
        <v>62</v>
      </c>
      <c r="Q2" s="12" t="s">
        <v>61</v>
      </c>
      <c r="R2" s="12" t="s">
        <v>63</v>
      </c>
    </row>
    <row r="3" spans="1:18" ht="16">
      <c r="A3" s="13">
        <v>760100</v>
      </c>
      <c r="B3" s="30">
        <v>36722</v>
      </c>
      <c r="C3" s="30">
        <v>45000</v>
      </c>
      <c r="D3" s="56">
        <f>NETWORKDAYS(val_date,TxInd_Anbima!C3,feriados)-1</f>
        <v>117</v>
      </c>
      <c r="E3" s="43">
        <v>8.5832999999999993E-2</v>
      </c>
      <c r="F3" s="43">
        <v>8.5299999999999987E-2</v>
      </c>
      <c r="G3" s="43">
        <v>8.5536999999999988E-2</v>
      </c>
      <c r="H3" s="31">
        <v>3919.9755209999998</v>
      </c>
      <c r="I3" s="13">
        <v>7.6618000000000004</v>
      </c>
      <c r="J3" s="13">
        <v>9.6350999999999996</v>
      </c>
      <c r="K3" s="13">
        <v>7.7638999999999996</v>
      </c>
      <c r="L3" s="13">
        <v>9.7529000000000003</v>
      </c>
      <c r="M3" s="57">
        <v>0.43692238860226701</v>
      </c>
      <c r="N3" s="57">
        <f>M3%%*H3</f>
        <v>0.17127250678977363</v>
      </c>
      <c r="O3" s="57">
        <f>INT(M3*252)</f>
        <v>110</v>
      </c>
      <c r="P3" s="58">
        <f>WORKDAY(val_date,O3,feriados)</f>
        <v>44991</v>
      </c>
      <c r="Q3" s="59" cm="1">
        <f t="array" ref="Q3">Interpola_FF(O3,Pre_DI!$E$3:$E$40,Pre_DI!$F$3:$F$40)</f>
        <v>0.13709787113309502</v>
      </c>
      <c r="R3" s="59">
        <f>(1+Q3)/(1+G3)-1</f>
        <v>4.7498031972281973E-2</v>
      </c>
    </row>
    <row r="4" spans="1:18" ht="16">
      <c r="A4" s="13">
        <v>760199</v>
      </c>
      <c r="B4" s="30">
        <v>36722</v>
      </c>
      <c r="C4" s="30">
        <v>45061</v>
      </c>
      <c r="D4" s="56">
        <f>NETWORKDAYS(val_date,TxInd_Anbima!C4,feriados)-1</f>
        <v>157</v>
      </c>
      <c r="E4" s="43">
        <v>8.5791000000000006E-2</v>
      </c>
      <c r="F4" s="43">
        <v>8.5260000000000002E-2</v>
      </c>
      <c r="G4" s="43">
        <v>8.5573999999999997E-2</v>
      </c>
      <c r="H4" s="31">
        <v>3984.7990030000001</v>
      </c>
      <c r="I4" s="13">
        <v>7.8367000000000004</v>
      </c>
      <c r="J4" s="13">
        <v>9.2821999999999996</v>
      </c>
      <c r="K4" s="13">
        <v>7.9702999999999999</v>
      </c>
      <c r="L4" s="13">
        <v>9.4273000000000007</v>
      </c>
      <c r="M4" s="57">
        <v>0.570720633362227</v>
      </c>
      <c r="N4" s="57">
        <f t="shared" ref="N4:N17" si="0">M4%%*H4</f>
        <v>0.22742070108133308</v>
      </c>
      <c r="O4" s="57">
        <f t="shared" ref="O4:O17" si="1">INT(M4*252)</f>
        <v>143</v>
      </c>
      <c r="P4" s="58">
        <f>WORKDAY(val_date,O4,feriados)</f>
        <v>45040</v>
      </c>
      <c r="Q4" s="59" cm="1">
        <f t="array" ref="Q4">Interpola_FF(O4,Pre_DI!$E$3:$E$40,Pre_DI!$F$3:$F$40)</f>
        <v>0.13665945626548504</v>
      </c>
      <c r="R4" s="59">
        <f t="shared" ref="R4:R17" si="2">(1+Q4)/(1+G4)-1</f>
        <v>4.7058474378978365E-2</v>
      </c>
    </row>
    <row r="5" spans="1:18" ht="16">
      <c r="A5" s="13">
        <v>760199</v>
      </c>
      <c r="B5" s="30">
        <v>36722</v>
      </c>
      <c r="C5" s="30">
        <v>45519</v>
      </c>
      <c r="D5" s="56">
        <f>NETWORKDAYS(val_date,TxInd_Anbima!C5,feriados)-1</f>
        <v>473</v>
      </c>
      <c r="E5" s="43">
        <v>6.8839999999999998E-2</v>
      </c>
      <c r="F5" s="43">
        <v>6.8483000000000002E-2</v>
      </c>
      <c r="G5" s="43">
        <v>6.8666000000000005E-2</v>
      </c>
      <c r="H5" s="31">
        <v>3925.928253</v>
      </c>
      <c r="I5" s="13">
        <v>6.4794</v>
      </c>
      <c r="J5" s="13">
        <v>7.0697999999999999</v>
      </c>
      <c r="K5" s="13">
        <v>6.6093999999999999</v>
      </c>
      <c r="L5" s="13">
        <v>7.1997</v>
      </c>
      <c r="M5" s="57">
        <v>1.68910163294819</v>
      </c>
      <c r="N5" s="57">
        <f t="shared" si="0"/>
        <v>0.66312918229797357</v>
      </c>
      <c r="O5" s="57">
        <f t="shared" si="1"/>
        <v>425</v>
      </c>
      <c r="P5" s="58">
        <f>WORKDAY(val_date,O5,feriados)</f>
        <v>45453</v>
      </c>
      <c r="Q5" s="59" cm="1">
        <f t="array" ref="Q5">Interpola_FF(O5,Pre_DI!$E$3:$E$40,Pre_DI!$F$3:$F$40)</f>
        <v>0.12365671903090925</v>
      </c>
      <c r="R5" s="59">
        <f t="shared" si="2"/>
        <v>5.1457348723463969E-2</v>
      </c>
    </row>
    <row r="6" spans="1:18" ht="16">
      <c r="A6" s="13">
        <v>760199</v>
      </c>
      <c r="B6" s="30">
        <v>36722</v>
      </c>
      <c r="C6" s="30">
        <v>45792</v>
      </c>
      <c r="D6" s="56">
        <f>NETWORKDAYS(val_date,TxInd_Anbima!C6,feriados)-1</f>
        <v>660</v>
      </c>
      <c r="E6" s="43">
        <v>6.1420000000000002E-2</v>
      </c>
      <c r="F6" s="43">
        <v>6.1147E-2</v>
      </c>
      <c r="G6" s="43">
        <v>6.1298000000000005E-2</v>
      </c>
      <c r="H6" s="31">
        <v>4031.8315259999999</v>
      </c>
      <c r="I6" s="13">
        <v>5.7424999999999997</v>
      </c>
      <c r="J6" s="13">
        <v>6.3273000000000001</v>
      </c>
      <c r="K6" s="13">
        <v>5.8547000000000002</v>
      </c>
      <c r="L6" s="13">
        <v>6.4396000000000004</v>
      </c>
      <c r="M6" s="57">
        <v>2.2869831460746899</v>
      </c>
      <c r="N6" s="57">
        <f t="shared" si="0"/>
        <v>0.9220730747774597</v>
      </c>
      <c r="O6" s="57">
        <f t="shared" si="1"/>
        <v>576</v>
      </c>
      <c r="P6" s="58">
        <f>WORKDAY(val_date,O6,feriados)</f>
        <v>45667</v>
      </c>
      <c r="Q6" s="59" cm="1">
        <f t="array" ref="Q6">Interpola_FF(O6,Pre_DI!$E$3:$E$40,Pre_DI!$F$3:$F$40)</f>
        <v>0.1181857482335078</v>
      </c>
      <c r="R6" s="59">
        <f t="shared" si="2"/>
        <v>5.3602049785741457E-2</v>
      </c>
    </row>
    <row r="7" spans="1:18" ht="16">
      <c r="A7" s="13">
        <v>760199</v>
      </c>
      <c r="B7" s="30">
        <v>36722</v>
      </c>
      <c r="C7" s="30">
        <v>46249</v>
      </c>
      <c r="D7" s="56">
        <f>NETWORKDAYS(val_date,TxInd_Anbima!C7,feriados)-1</f>
        <v>977</v>
      </c>
      <c r="E7" s="43">
        <v>5.8631000000000003E-2</v>
      </c>
      <c r="F7" s="43">
        <v>5.8305999999999997E-2</v>
      </c>
      <c r="G7" s="43">
        <v>5.8487999999999998E-2</v>
      </c>
      <c r="H7" s="31">
        <v>4002.7204860000002</v>
      </c>
      <c r="I7" s="13">
        <v>5.4250999999999996</v>
      </c>
      <c r="J7" s="13">
        <v>5.9828999999999999</v>
      </c>
      <c r="K7" s="13">
        <v>5.5541</v>
      </c>
      <c r="L7" s="13">
        <v>6.1119000000000003</v>
      </c>
      <c r="M7" s="57">
        <v>3.3260632912420198</v>
      </c>
      <c r="N7" s="57">
        <f t="shared" si="0"/>
        <v>1.3313301673587019</v>
      </c>
      <c r="O7" s="57">
        <f t="shared" si="1"/>
        <v>838</v>
      </c>
      <c r="P7" s="58">
        <f>WORKDAY(val_date,O7,feriados)</f>
        <v>46045</v>
      </c>
      <c r="Q7" s="59" cm="1">
        <f t="array" ref="Q7">Interpola_FF(O7,Pre_DI!$E$3:$E$40,Pre_DI!$F$3:$F$40)</f>
        <v>0.11690000973418413</v>
      </c>
      <c r="R7" s="59">
        <f t="shared" si="2"/>
        <v>5.5184385400858682E-2</v>
      </c>
    </row>
    <row r="8" spans="1:18" ht="16">
      <c r="A8" s="13">
        <v>760199</v>
      </c>
      <c r="B8" s="30">
        <v>36722</v>
      </c>
      <c r="C8" s="30">
        <v>46522</v>
      </c>
      <c r="D8" s="56">
        <f>NETWORKDAYS(val_date,TxInd_Anbima!C8,feriados)-1</f>
        <v>1163</v>
      </c>
      <c r="E8" s="43">
        <v>5.8498999999999995E-2</v>
      </c>
      <c r="F8" s="43">
        <v>5.8193999999999996E-2</v>
      </c>
      <c r="G8" s="43">
        <v>5.8356000000000005E-2</v>
      </c>
      <c r="H8" s="31">
        <v>4068.9085490000002</v>
      </c>
      <c r="I8" s="13">
        <v>5.4095000000000004</v>
      </c>
      <c r="J8" s="13">
        <v>5.9580000000000002</v>
      </c>
      <c r="K8" s="13">
        <v>5.5263</v>
      </c>
      <c r="L8" s="13">
        <v>6.0747999999999998</v>
      </c>
      <c r="M8" s="57">
        <v>3.8217539445773498</v>
      </c>
      <c r="N8" s="57">
        <f t="shared" si="0"/>
        <v>1.5550367297265251</v>
      </c>
      <c r="O8" s="57">
        <f t="shared" si="1"/>
        <v>963</v>
      </c>
      <c r="P8" s="58">
        <f>WORKDAY(val_date,O8,feriados)</f>
        <v>46230</v>
      </c>
      <c r="Q8" s="59" cm="1">
        <f t="array" ref="Q8">Interpola_FF(O8,Pre_DI!$E$3:$E$40,Pre_DI!$F$3:$F$40)</f>
        <v>0.11684129617259109</v>
      </c>
      <c r="R8" s="59">
        <f t="shared" si="2"/>
        <v>5.5260513638691444E-2</v>
      </c>
    </row>
    <row r="9" spans="1:18" ht="16">
      <c r="A9" s="13">
        <v>760199</v>
      </c>
      <c r="B9" s="30">
        <v>36722</v>
      </c>
      <c r="C9" s="30">
        <v>46980</v>
      </c>
      <c r="D9" s="56">
        <f>NETWORKDAYS(val_date,TxInd_Anbima!C9,feriados)-1</f>
        <v>1479</v>
      </c>
      <c r="E9" s="43">
        <v>5.7999000000000002E-2</v>
      </c>
      <c r="F9" s="43">
        <v>5.7640000000000004E-2</v>
      </c>
      <c r="G9" s="43">
        <v>5.7788000000000006E-2</v>
      </c>
      <c r="H9" s="31">
        <v>4026.8399319999999</v>
      </c>
      <c r="I9" s="13">
        <v>5.3771000000000004</v>
      </c>
      <c r="J9" s="13">
        <v>5.8887</v>
      </c>
      <c r="K9" s="13">
        <v>5.4733999999999998</v>
      </c>
      <c r="L9" s="13">
        <v>5.9851000000000001</v>
      </c>
      <c r="M9" s="57">
        <v>4.7613202311705196</v>
      </c>
      <c r="N9" s="57">
        <f t="shared" si="0"/>
        <v>1.9173074435916919</v>
      </c>
      <c r="O9" s="57">
        <f t="shared" si="1"/>
        <v>1199</v>
      </c>
      <c r="P9" s="58">
        <f>WORKDAY(val_date,O9,feriados)</f>
        <v>46574</v>
      </c>
      <c r="Q9" s="59" cm="1">
        <f t="array" ref="Q9">Interpola_FF(O9,Pre_DI!$E$3:$E$40,Pre_DI!$F$3:$F$40)</f>
        <v>0.1170077807381833</v>
      </c>
      <c r="R9" s="59">
        <f t="shared" si="2"/>
        <v>5.5984545805192854E-2</v>
      </c>
    </row>
    <row r="10" spans="1:18" ht="16">
      <c r="A10" s="13">
        <v>760199</v>
      </c>
      <c r="B10" s="30">
        <v>36722</v>
      </c>
      <c r="C10" s="30">
        <v>47710</v>
      </c>
      <c r="D10" s="56">
        <f>NETWORKDAYS(val_date,TxInd_Anbima!C10,feriados)-1</f>
        <v>1979</v>
      </c>
      <c r="E10" s="43">
        <v>5.7633000000000004E-2</v>
      </c>
      <c r="F10" s="43">
        <v>5.7264000000000002E-2</v>
      </c>
      <c r="G10" s="43">
        <v>5.7443999999999995E-2</v>
      </c>
      <c r="H10" s="31">
        <v>4049.0568760000001</v>
      </c>
      <c r="I10" s="13">
        <v>5.3760000000000003</v>
      </c>
      <c r="J10" s="13">
        <v>5.8318000000000003</v>
      </c>
      <c r="K10" s="13">
        <v>5.4669999999999996</v>
      </c>
      <c r="L10" s="13">
        <v>5.923</v>
      </c>
      <c r="M10" s="57">
        <v>6.0433924684526099</v>
      </c>
      <c r="N10" s="57">
        <f t="shared" si="0"/>
        <v>2.4470039828754655</v>
      </c>
      <c r="O10" s="57">
        <f t="shared" si="1"/>
        <v>1522</v>
      </c>
      <c r="P10" s="58">
        <f>WORKDAY(val_date,O10,feriados)</f>
        <v>47043</v>
      </c>
      <c r="Q10" s="59" cm="1">
        <f t="array" ref="Q10">Interpola_FF(O10,Pre_DI!$E$3:$E$40,Pre_DI!$F$3:$F$40)</f>
        <v>0.11803958585509156</v>
      </c>
      <c r="R10" s="59">
        <f t="shared" si="2"/>
        <v>5.7303824935496905E-2</v>
      </c>
    </row>
    <row r="11" spans="1:18" ht="16">
      <c r="A11" s="13">
        <v>760199</v>
      </c>
      <c r="B11" s="30">
        <v>36722</v>
      </c>
      <c r="C11" s="30">
        <v>48441</v>
      </c>
      <c r="D11" s="56">
        <f>NETWORKDAYS(val_date,TxInd_Anbima!C11,feriados)-1</f>
        <v>2484</v>
      </c>
      <c r="E11" s="43">
        <v>5.8448E-2</v>
      </c>
      <c r="F11" s="43">
        <v>5.8085000000000005E-2</v>
      </c>
      <c r="G11" s="43">
        <v>5.8261E-2</v>
      </c>
      <c r="H11" s="31">
        <v>4036.083478</v>
      </c>
      <c r="I11" s="13">
        <v>5.4939</v>
      </c>
      <c r="J11" s="13">
        <v>5.9120999999999997</v>
      </c>
      <c r="K11" s="13">
        <v>5.5711000000000004</v>
      </c>
      <c r="L11" s="13">
        <v>5.9894999999999996</v>
      </c>
      <c r="M11" s="57">
        <v>7.1865297245790902</v>
      </c>
      <c r="N11" s="57">
        <f t="shared" si="0"/>
        <v>2.9005433885529555</v>
      </c>
      <c r="O11" s="57">
        <f t="shared" si="1"/>
        <v>1811</v>
      </c>
      <c r="P11" s="58">
        <f>WORKDAY(val_date,O11,feriados)</f>
        <v>47465</v>
      </c>
      <c r="Q11" s="59" cm="1">
        <f t="array" ref="Q11">Interpola_FF(O11,Pre_DI!$E$3:$E$40,Pre_DI!$F$3:$F$40)</f>
        <v>0.1183437374942482</v>
      </c>
      <c r="R11" s="59">
        <f t="shared" si="2"/>
        <v>5.6774970913837208E-2</v>
      </c>
    </row>
    <row r="12" spans="1:18" ht="16">
      <c r="A12" s="13">
        <v>760199</v>
      </c>
      <c r="B12" s="30">
        <v>36722</v>
      </c>
      <c r="C12" s="30">
        <v>49444</v>
      </c>
      <c r="D12" s="56">
        <f>NETWORKDAYS(val_date,TxInd_Anbima!C12,feriados)-1</f>
        <v>3172</v>
      </c>
      <c r="E12" s="43">
        <v>5.8437999999999997E-2</v>
      </c>
      <c r="F12" s="43">
        <v>5.8182999999999999E-2</v>
      </c>
      <c r="G12" s="43">
        <v>5.8299999999999998E-2</v>
      </c>
      <c r="H12" s="31">
        <v>4105.9578840000004</v>
      </c>
      <c r="I12" s="13">
        <v>5.5292000000000003</v>
      </c>
      <c r="J12" s="13">
        <v>5.9112</v>
      </c>
      <c r="K12" s="13">
        <v>5.5964999999999998</v>
      </c>
      <c r="L12" s="13">
        <v>5.9786999999999999</v>
      </c>
      <c r="M12" s="57">
        <v>8.4338293602423402</v>
      </c>
      <c r="N12" s="57">
        <f t="shared" si="0"/>
        <v>3.4628948153997716</v>
      </c>
      <c r="O12" s="57">
        <f t="shared" si="1"/>
        <v>2125</v>
      </c>
      <c r="P12" s="58">
        <f>WORKDAY(val_date,O12,feriados)</f>
        <v>47921</v>
      </c>
      <c r="Q12" s="59" cm="1">
        <f t="array" ref="Q12">Interpola_FF(O12,Pre_DI!$E$3:$E$40,Pre_DI!$F$3:$F$40)</f>
        <v>0.11902121602613192</v>
      </c>
      <c r="R12" s="59">
        <f t="shared" si="2"/>
        <v>5.7376184471446656E-2</v>
      </c>
    </row>
    <row r="13" spans="1:18" ht="16">
      <c r="A13" s="13">
        <v>760199</v>
      </c>
      <c r="B13" s="30">
        <v>36722</v>
      </c>
      <c r="C13" s="30">
        <v>51363</v>
      </c>
      <c r="D13" s="56">
        <f>NETWORKDAYS(val_date,TxInd_Anbima!C13,feriados)-1</f>
        <v>4494</v>
      </c>
      <c r="E13" s="43">
        <v>5.8410000000000004E-2</v>
      </c>
      <c r="F13" s="43">
        <v>5.8068999999999996E-2</v>
      </c>
      <c r="G13" s="43">
        <v>5.8244999999999998E-2</v>
      </c>
      <c r="H13" s="31">
        <v>4064.0514349999999</v>
      </c>
      <c r="I13" s="13">
        <v>5.5566000000000004</v>
      </c>
      <c r="J13" s="13">
        <v>5.8994</v>
      </c>
      <c r="K13" s="13">
        <v>5.6148999999999996</v>
      </c>
      <c r="L13" s="13">
        <v>5.9580000000000002</v>
      </c>
      <c r="M13" s="57">
        <v>10.673240883769299</v>
      </c>
      <c r="N13" s="57">
        <f t="shared" si="0"/>
        <v>4.3376599929783293</v>
      </c>
      <c r="O13" s="57">
        <f t="shared" si="1"/>
        <v>2689</v>
      </c>
      <c r="P13" s="58">
        <f>WORKDAY(val_date,O13,feriados)</f>
        <v>48738</v>
      </c>
      <c r="Q13" s="59" cm="1">
        <f t="array" ref="Q13">Interpola_FF(O13,Pre_DI!$E$3:$E$40,Pre_DI!$F$3:$F$40)</f>
        <v>0.11940874941753443</v>
      </c>
      <c r="R13" s="59">
        <f t="shared" si="2"/>
        <v>5.7797343164895043E-2</v>
      </c>
    </row>
    <row r="14" spans="1:18" ht="16">
      <c r="A14" s="13">
        <v>760199</v>
      </c>
      <c r="B14" s="30">
        <v>36722</v>
      </c>
      <c r="C14" s="30">
        <v>53097</v>
      </c>
      <c r="D14" s="56">
        <f>NETWORKDAYS(val_date,TxInd_Anbima!C14,feriados)-1</f>
        <v>5685</v>
      </c>
      <c r="E14" s="43">
        <v>5.8934E-2</v>
      </c>
      <c r="F14" s="43">
        <v>5.8577999999999998E-2</v>
      </c>
      <c r="G14" s="43">
        <v>5.8791999999999997E-2</v>
      </c>
      <c r="H14" s="31">
        <v>4108.1253909999996</v>
      </c>
      <c r="I14" s="13">
        <v>5.6275000000000004</v>
      </c>
      <c r="J14" s="13">
        <v>5.9511000000000003</v>
      </c>
      <c r="K14" s="13">
        <v>5.6811999999999996</v>
      </c>
      <c r="L14" s="13">
        <v>6.0053000000000001</v>
      </c>
      <c r="M14" s="57">
        <v>11.902806539207401</v>
      </c>
      <c r="N14" s="57">
        <f t="shared" si="0"/>
        <v>4.8898221767878747</v>
      </c>
      <c r="O14" s="57">
        <f t="shared" si="1"/>
        <v>2999</v>
      </c>
      <c r="P14" s="58">
        <f>WORKDAY(val_date,O14,feriados)</f>
        <v>49187</v>
      </c>
      <c r="Q14" s="59" cm="1">
        <f t="array" ref="Q14">Interpola_FF(O14,Pre_DI!$E$3:$E$40,Pre_DI!$F$3:$F$40)</f>
        <v>0.11953310024552355</v>
      </c>
      <c r="R14" s="59">
        <f t="shared" si="2"/>
        <v>5.7368302976905428E-2</v>
      </c>
    </row>
    <row r="15" spans="1:18" ht="16">
      <c r="A15" s="13">
        <v>760199</v>
      </c>
      <c r="B15" s="30">
        <v>36722</v>
      </c>
      <c r="C15" s="30">
        <v>55015</v>
      </c>
      <c r="D15" s="56">
        <f>NETWORKDAYS(val_date,TxInd_Anbima!C15,feriados)-1</f>
        <v>7004</v>
      </c>
      <c r="E15" s="43">
        <v>5.8882999999999998E-2</v>
      </c>
      <c r="F15" s="43">
        <v>5.8590999999999997E-2</v>
      </c>
      <c r="G15" s="43">
        <v>5.8771000000000004E-2</v>
      </c>
      <c r="H15" s="31">
        <v>4056.6391950000002</v>
      </c>
      <c r="I15" s="13">
        <v>5.6357999999999997</v>
      </c>
      <c r="J15" s="13">
        <v>5.9466999999999999</v>
      </c>
      <c r="K15" s="13">
        <v>5.6871</v>
      </c>
      <c r="L15" s="13">
        <v>5.9984999999999999</v>
      </c>
      <c r="M15" s="57">
        <v>13.281853489210301</v>
      </c>
      <c r="N15" s="57">
        <f t="shared" si="0"/>
        <v>5.3879687446578028</v>
      </c>
      <c r="O15" s="57">
        <f t="shared" si="1"/>
        <v>3347</v>
      </c>
      <c r="P15" s="58">
        <f>WORKDAY(val_date,O15,feriados)</f>
        <v>49698</v>
      </c>
      <c r="Q15" s="59" cm="1">
        <f t="array" ref="Q15">Interpola_FF(O15,Pre_DI!$E$3:$E$40,Pre_DI!$F$3:$F$40)</f>
        <v>0.11970000937375014</v>
      </c>
      <c r="R15" s="59">
        <f t="shared" si="2"/>
        <v>5.7546919375153216E-2</v>
      </c>
    </row>
    <row r="16" spans="1:18" ht="16">
      <c r="A16" s="13">
        <v>760199</v>
      </c>
      <c r="B16" s="30">
        <v>36722</v>
      </c>
      <c r="C16" s="30">
        <v>56749</v>
      </c>
      <c r="D16" s="56">
        <f>NETWORKDAYS(val_date,TxInd_Anbima!C16,feriados)-1</f>
        <v>8196</v>
      </c>
      <c r="E16" s="43">
        <v>5.8893000000000001E-2</v>
      </c>
      <c r="F16" s="43">
        <v>5.8598999999999998E-2</v>
      </c>
      <c r="G16" s="43">
        <v>5.8762999999999996E-2</v>
      </c>
      <c r="H16" s="31">
        <v>4120.8970680000002</v>
      </c>
      <c r="I16" s="13">
        <v>5.6393000000000004</v>
      </c>
      <c r="J16" s="13">
        <v>5.9443999999999999</v>
      </c>
      <c r="K16" s="13">
        <v>5.6909999999999998</v>
      </c>
      <c r="L16" s="13">
        <v>5.9966999999999997</v>
      </c>
      <c r="M16" s="57">
        <v>13.9093543631546</v>
      </c>
      <c r="N16" s="57">
        <f t="shared" si="0"/>
        <v>5.7319017612896799</v>
      </c>
      <c r="O16" s="57">
        <f t="shared" si="1"/>
        <v>3505</v>
      </c>
      <c r="P16" s="58">
        <f>WORKDAY(val_date,O16,feriados)</f>
        <v>49928</v>
      </c>
      <c r="Q16" s="59" cm="1">
        <f t="array" ref="Q16">Interpola_FF(O16,Pre_DI!$E$3:$E$40,Pre_DI!$F$3:$F$40)</f>
        <v>0.11970000620276866</v>
      </c>
      <c r="R16" s="59">
        <f t="shared" si="2"/>
        <v>5.7554907191476046E-2</v>
      </c>
    </row>
    <row r="17" spans="1:18" ht="16">
      <c r="A17" s="13">
        <v>760199</v>
      </c>
      <c r="B17" s="30">
        <v>36722</v>
      </c>
      <c r="C17" s="30">
        <v>58668</v>
      </c>
      <c r="D17" s="56">
        <f>NETWORKDAYS(val_date,TxInd_Anbima!C17,feriados)-1</f>
        <v>9517</v>
      </c>
      <c r="E17" s="43">
        <v>5.9020999999999997E-2</v>
      </c>
      <c r="F17" s="43">
        <v>5.8577999999999998E-2</v>
      </c>
      <c r="G17" s="43">
        <v>5.8799000000000004E-2</v>
      </c>
      <c r="H17" s="31">
        <v>4063.0902959999999</v>
      </c>
      <c r="I17" s="13">
        <v>5.6454000000000004</v>
      </c>
      <c r="J17" s="13">
        <v>5.9459999999999997</v>
      </c>
      <c r="K17" s="13">
        <v>5.6981999999999999</v>
      </c>
      <c r="L17" s="13">
        <v>5.9995000000000003</v>
      </c>
      <c r="M17" s="57">
        <v>14.8076837128527</v>
      </c>
      <c r="N17" s="57">
        <f t="shared" si="0"/>
        <v>6.016495599992906</v>
      </c>
      <c r="O17" s="57">
        <f t="shared" si="1"/>
        <v>3731</v>
      </c>
      <c r="P17" s="58">
        <f>WORKDAY(val_date,O17,feriados)</f>
        <v>50256</v>
      </c>
      <c r="Q17" s="59" cm="1">
        <f t="array" ref="Q17">Interpola_FF(O17,Pre_DI!$E$3:$E$40,Pre_DI!$F$3:$F$40)</f>
        <v>0.11970000213388277</v>
      </c>
      <c r="R17" s="59">
        <f t="shared" si="2"/>
        <v>5.751894564868576E-2</v>
      </c>
    </row>
    <row r="21" spans="1:18">
      <c r="C21" s="95"/>
      <c r="D21" s="95"/>
    </row>
    <row r="22" spans="1:18">
      <c r="C22" s="95"/>
      <c r="D22" s="95"/>
    </row>
    <row r="23" spans="1:18">
      <c r="C23" s="95"/>
      <c r="D23" s="95"/>
    </row>
    <row r="24" spans="1:18">
      <c r="C24" s="95"/>
      <c r="D24" s="95"/>
    </row>
    <row r="25" spans="1:18">
      <c r="C25" s="95"/>
      <c r="D25" s="95"/>
    </row>
    <row r="26" spans="1:18">
      <c r="C26" s="95"/>
      <c r="D26" s="95"/>
    </row>
    <row r="27" spans="1:18">
      <c r="C27" s="95"/>
      <c r="D27" s="95"/>
    </row>
    <row r="28" spans="1:18">
      <c r="C28" s="95"/>
      <c r="D28" s="95"/>
    </row>
    <row r="29" spans="1:18">
      <c r="C29" s="95"/>
      <c r="D29" s="95"/>
    </row>
    <row r="30" spans="1:18">
      <c r="C30" s="95"/>
      <c r="D30" s="95"/>
    </row>
    <row r="31" spans="1:18">
      <c r="C31" s="95"/>
      <c r="D31" s="95"/>
    </row>
    <row r="32" spans="1:18">
      <c r="C32" s="95"/>
      <c r="D32" s="95"/>
    </row>
    <row r="33" spans="3:4">
      <c r="C33" s="95"/>
      <c r="D33" s="95"/>
    </row>
    <row r="34" spans="3:4">
      <c r="C34" s="95"/>
      <c r="D34" s="95"/>
    </row>
    <row r="35" spans="3:4">
      <c r="C35" s="95"/>
      <c r="D35" s="95"/>
    </row>
  </sheetData>
  <mergeCells count="1">
    <mergeCell ref="I1:L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80A34-59B7-A84A-8A1D-096370D0DA13}">
  <sheetPr codeName="Sheet7"/>
  <dimension ref="A1:H126"/>
  <sheetViews>
    <sheetView workbookViewId="0">
      <selection activeCell="E8" sqref="E8"/>
    </sheetView>
  </sheetViews>
  <sheetFormatPr baseColWidth="10" defaultRowHeight="16"/>
  <cols>
    <col min="1" max="1" width="9" bestFit="1" customWidth="1"/>
    <col min="2" max="2" width="7.1640625" bestFit="1" customWidth="1"/>
    <col min="3" max="4" width="9" bestFit="1" customWidth="1"/>
    <col min="5" max="5" width="8.33203125" bestFit="1" customWidth="1"/>
    <col min="6" max="7" width="8.6640625" bestFit="1" customWidth="1"/>
  </cols>
  <sheetData>
    <row r="1" spans="1:8"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</row>
    <row r="2" spans="1:8">
      <c r="A2" s="1" t="s">
        <v>75</v>
      </c>
      <c r="B2" s="96">
        <v>13.01712244282897</v>
      </c>
      <c r="C2" s="96">
        <v>1.365298803835779</v>
      </c>
      <c r="D2" s="96">
        <v>29.99999999982839</v>
      </c>
      <c r="E2" s="96">
        <v>-29.845419877395148</v>
      </c>
      <c r="F2" s="96">
        <v>0.67006962124635372</v>
      </c>
      <c r="G2" s="96">
        <v>0.81918048463344717</v>
      </c>
      <c r="H2" t="s">
        <v>147</v>
      </c>
    </row>
    <row r="3" spans="1:8">
      <c r="A3" s="1" t="s">
        <v>135</v>
      </c>
      <c r="B3" s="96">
        <v>6.0369468715387127</v>
      </c>
      <c r="C3" s="96">
        <v>4.2626257972348434</v>
      </c>
      <c r="D3" s="96">
        <v>-17.215202371112571</v>
      </c>
      <c r="E3" s="96">
        <v>10.889660906122909</v>
      </c>
      <c r="F3" s="96">
        <v>2.0800337670183811</v>
      </c>
      <c r="G3" s="96">
        <v>2.500000000000504</v>
      </c>
      <c r="H3" t="s">
        <v>147</v>
      </c>
    </row>
    <row r="4" spans="1:8">
      <c r="A4" s="1" t="s">
        <v>136</v>
      </c>
      <c r="B4" s="96">
        <v>6.0182584498435512</v>
      </c>
      <c r="C4" s="96">
        <v>4.2846397339751254</v>
      </c>
      <c r="D4" s="96">
        <v>-12.06115344736401</v>
      </c>
      <c r="E4" s="96">
        <v>5.6706332517603766</v>
      </c>
      <c r="F4" s="96">
        <v>2.079283727529297</v>
      </c>
      <c r="G4" s="96">
        <v>3.029277420970534</v>
      </c>
      <c r="H4" t="s">
        <v>147</v>
      </c>
    </row>
    <row r="5" spans="1:8">
      <c r="A5" s="1" t="s">
        <v>67</v>
      </c>
      <c r="B5" s="96">
        <v>6.3047537556645299</v>
      </c>
      <c r="C5" s="96">
        <v>-3.028831785530381</v>
      </c>
      <c r="D5" s="96">
        <v>5.9193607640722092</v>
      </c>
      <c r="E5" s="96">
        <v>-5.6890119048580097</v>
      </c>
      <c r="F5" s="96">
        <v>0.42430349358355451</v>
      </c>
      <c r="G5" s="96">
        <v>0.66974685506030163</v>
      </c>
      <c r="H5" t="s">
        <v>147</v>
      </c>
    </row>
    <row r="6" spans="1:8">
      <c r="A6" s="1"/>
    </row>
    <row r="7" spans="1:8">
      <c r="A7" s="1" t="s">
        <v>57</v>
      </c>
      <c r="B7" s="1" t="s">
        <v>75</v>
      </c>
      <c r="C7" s="1" t="s">
        <v>135</v>
      </c>
      <c r="D7" s="1" t="s">
        <v>136</v>
      </c>
      <c r="E7" s="1" t="s">
        <v>67</v>
      </c>
    </row>
    <row r="8" spans="1:8">
      <c r="A8">
        <v>1</v>
      </c>
      <c r="B8" s="94" cm="1">
        <f t="array" ref="B8">Svensson(betas_pre,A8)</f>
        <v>0.13448555626520639</v>
      </c>
      <c r="C8" s="94" cm="1">
        <f t="array" ref="C8">Svensson(betas_real_ytm,A8)</f>
        <v>9.7922601271465057E-2</v>
      </c>
      <c r="D8" s="94" cm="1">
        <f t="array" ref="D8">Svensson(betas_real_spot,A8)</f>
        <v>9.7952400652358926E-2</v>
      </c>
      <c r="E8" s="94">
        <f>(1+B8)/(1+D8)-1</f>
        <v>3.3273897476011616E-2</v>
      </c>
      <c r="F8" s="94"/>
    </row>
    <row r="9" spans="1:8">
      <c r="A9">
        <v>21</v>
      </c>
      <c r="B9" s="94" cm="1">
        <f t="array" ref="B9">Svensson(betas_pre,A9)</f>
        <v>0.13627590059578398</v>
      </c>
      <c r="C9" s="94" cm="1">
        <f t="array" ref="C9">Svensson(betas_real_ytm,A9)</f>
        <v>9.5828667815410648E-2</v>
      </c>
      <c r="D9" s="94" cm="1">
        <f t="array" ref="D9">Svensson(betas_real_spot,A9)</f>
        <v>9.5850258743646957E-2</v>
      </c>
      <c r="E9" s="94">
        <f t="shared" ref="E9:E72" si="0">(1+B9)/(1+D9)-1</f>
        <v>3.6889749789796644E-2</v>
      </c>
      <c r="F9" s="94"/>
    </row>
    <row r="10" spans="1:8">
      <c r="A10">
        <f>+A9+21</f>
        <v>42</v>
      </c>
      <c r="B10" s="94" cm="1">
        <f t="array" ref="B10">Svensson(betas_pre,A10)</f>
        <v>0.13748233569373303</v>
      </c>
      <c r="C10" s="94" cm="1">
        <f t="array" ref="C10">Svensson(betas_real_ytm,A10)</f>
        <v>9.3732379086825385E-2</v>
      </c>
      <c r="D10" s="94" cm="1">
        <f t="array" ref="D10">Svensson(betas_real_spot,A10)</f>
        <v>9.3743053724370626E-2</v>
      </c>
      <c r="E10" s="94">
        <f t="shared" si="0"/>
        <v>3.999045463230444E-2</v>
      </c>
      <c r="F10" s="94"/>
    </row>
    <row r="11" spans="1:8">
      <c r="A11">
        <f t="shared" ref="A11:A51" si="1">+A10+21</f>
        <v>63</v>
      </c>
      <c r="B11" s="94" cm="1">
        <f t="array" ref="B11">Svensson(betas_pre,A11)</f>
        <v>0.1381289495535227</v>
      </c>
      <c r="C11" s="94" cm="1">
        <f t="array" ref="C11">Svensson(betas_real_ytm,A11)</f>
        <v>9.1736585823004854E-2</v>
      </c>
      <c r="D11" s="94" cm="1">
        <f t="array" ref="D11">Svensson(betas_real_spot,A11)</f>
        <v>9.1734249712340121E-2</v>
      </c>
      <c r="E11" s="94">
        <f t="shared" si="0"/>
        <v>4.2496330818060368E-2</v>
      </c>
      <c r="F11" s="94"/>
    </row>
    <row r="12" spans="1:8">
      <c r="A12">
        <f t="shared" si="1"/>
        <v>84</v>
      </c>
      <c r="B12" s="94" cm="1">
        <f t="array" ref="B12">Svensson(betas_pre,A12)</f>
        <v>0.13832655368468444</v>
      </c>
      <c r="C12" s="94" cm="1">
        <f t="array" ref="C12">Svensson(betas_real_ytm,A12)</f>
        <v>8.9837030247593305E-2</v>
      </c>
      <c r="D12" s="94" cm="1">
        <f t="array" ref="D12">Svensson(betas_real_spot,A12)</f>
        <v>8.9819835926296596E-2</v>
      </c>
      <c r="E12" s="94">
        <f t="shared" si="0"/>
        <v>4.4508932723875017E-2</v>
      </c>
      <c r="F12" s="94"/>
    </row>
    <row r="13" spans="1:8">
      <c r="A13">
        <f t="shared" si="1"/>
        <v>105</v>
      </c>
      <c r="B13" s="94" cm="1">
        <f t="array" ref="B13">Svensson(betas_pre,A13)</f>
        <v>0.13816783769612029</v>
      </c>
      <c r="C13" s="94" cm="1">
        <f t="array" ref="C13">Svensson(betas_real_ytm,A13)</f>
        <v>8.8029607335771115E-2</v>
      </c>
      <c r="D13" s="94" cm="1">
        <f t="array" ref="D13">Svensson(betas_real_spot,A13)</f>
        <v>8.7995938603673579E-2</v>
      </c>
      <c r="E13" s="94">
        <f t="shared" si="0"/>
        <v>4.6114049981507144E-2</v>
      </c>
      <c r="F13" s="94"/>
    </row>
    <row r="14" spans="1:8">
      <c r="A14">
        <f t="shared" si="1"/>
        <v>126</v>
      </c>
      <c r="B14" s="94" cm="1">
        <f t="array" ref="B14">Svensson(betas_pre,A14)</f>
        <v>0.13773024009329179</v>
      </c>
      <c r="C14" s="94" cm="1">
        <f t="array" ref="C14">Svensson(betas_real_ytm,A14)</f>
        <v>8.631036124972781E-2</v>
      </c>
      <c r="D14" s="94" cm="1">
        <f t="array" ref="D14">Svensson(betas_real_spot,A14)</f>
        <v>8.6258818078173677E-2</v>
      </c>
      <c r="E14" s="94">
        <f t="shared" si="0"/>
        <v>4.738412352424648E-2</v>
      </c>
      <c r="F14" s="94"/>
    </row>
    <row r="15" spans="1:8">
      <c r="A15">
        <f t="shared" si="1"/>
        <v>147</v>
      </c>
      <c r="B15" s="94" cm="1">
        <f t="array" ref="B15">Svensson(betas_pre,A15)</f>
        <v>0.13707832866662084</v>
      </c>
      <c r="C15" s="94" cm="1">
        <f t="array" ref="C15">Svensson(betas_real_ytm,A15)</f>
        <v>8.4675481693958485E-2</v>
      </c>
      <c r="D15" s="94" cm="1">
        <f t="array" ref="D15">Svensson(betas_real_spot,A15)</f>
        <v>8.4604865773675403E-2</v>
      </c>
      <c r="E15" s="94">
        <f t="shared" si="0"/>
        <v>4.8380257685378236E-2</v>
      </c>
      <c r="F15" s="94"/>
    </row>
    <row r="16" spans="1:8">
      <c r="A16">
        <f t="shared" si="1"/>
        <v>168</v>
      </c>
      <c r="B16" s="94" cm="1">
        <f t="array" ref="B16">Svensson(betas_pre,A16)</f>
        <v>0.13626578798697639</v>
      </c>
      <c r="C16" s="94" cm="1">
        <f t="array" ref="C16">Svensson(betas_real_ytm,A16)</f>
        <v>8.3121300209089491E-2</v>
      </c>
      <c r="D16" s="94" cm="1">
        <f t="array" ref="D16">Svensson(betas_real_spot,A16)</f>
        <v>8.303060113064295E-2</v>
      </c>
      <c r="E16" s="94">
        <f t="shared" si="0"/>
        <v>4.9153908302090432E-2</v>
      </c>
      <c r="F16" s="94"/>
    </row>
    <row r="17" spans="1:6">
      <c r="A17">
        <f t="shared" si="1"/>
        <v>189</v>
      </c>
      <c r="B17" s="94" cm="1">
        <f t="array" ref="B17">Svensson(betas_pre,A17)</f>
        <v>0.13533708869415045</v>
      </c>
      <c r="C17" s="94" cm="1">
        <f t="array" ref="C17">Svensson(betas_real_ytm,A17)</f>
        <v>8.1644286421410694E-2</v>
      </c>
      <c r="D17" s="94" cm="1">
        <f t="array" ref="D17">Svensson(betas_real_spot,A17)</f>
        <v>8.1532668479983125E-2</v>
      </c>
      <c r="E17" s="94">
        <f t="shared" si="0"/>
        <v>4.9748307917305556E-2</v>
      </c>
      <c r="F17" s="94"/>
    </row>
    <row r="18" spans="1:6">
      <c r="A18">
        <f t="shared" si="1"/>
        <v>210</v>
      </c>
      <c r="B18" s="94" cm="1">
        <f t="array" ref="B18">Svensson(betas_pre,A18)</f>
        <v>0.1343288964765158</v>
      </c>
      <c r="C18" s="94" cm="1">
        <f t="array" ref="C18">Svensson(betas_real_ytm,A18)</f>
        <v>8.0241044263827291E-2</v>
      </c>
      <c r="D18" s="94" cm="1">
        <f t="array" ref="D18">Svensson(betas_real_spot,A18)</f>
        <v>8.0107833878122092E-2</v>
      </c>
      <c r="E18" s="94">
        <f t="shared" si="0"/>
        <v>5.0199675345111716E-2</v>
      </c>
      <c r="F18" s="94"/>
    </row>
    <row r="19" spans="1:6">
      <c r="A19">
        <f t="shared" si="1"/>
        <v>231</v>
      </c>
      <c r="B19" s="94" cm="1">
        <f t="array" ref="B19">Svensson(betas_pre,A19)</f>
        <v>0.13327126615856066</v>
      </c>
      <c r="C19" s="94" cm="1">
        <f t="array" ref="C19">Svensson(betas_real_ytm,A19)</f>
        <v>7.8908308182543782E-2</v>
      </c>
      <c r="D19" s="94" cm="1">
        <f t="array" ref="D19">Svensson(betas_real_spot,A19)</f>
        <v>7.8752981915944389E-2</v>
      </c>
      <c r="E19" s="94">
        <f t="shared" si="0"/>
        <v>5.0538246620452254E-2</v>
      </c>
      <c r="F19" s="94"/>
    </row>
    <row r="20" spans="1:6">
      <c r="A20">
        <f t="shared" si="1"/>
        <v>252</v>
      </c>
      <c r="B20" s="94" cm="1">
        <f t="array" ref="B20">Svensson(betas_pre,A20)</f>
        <v>0.13218865693327678</v>
      </c>
      <c r="C20" s="94" cm="1">
        <f t="array" ref="C20">Svensson(betas_real_ytm,A20)</f>
        <v>7.7642939342474487E-2</v>
      </c>
      <c r="D20" s="94" cm="1">
        <f t="array" ref="D20">Svensson(betas_real_spot,A20)</f>
        <v>7.7465112513155743E-2</v>
      </c>
      <c r="E20" s="94">
        <f t="shared" si="0"/>
        <v>5.0789156683208159E-2</v>
      </c>
      <c r="F20" s="94"/>
    </row>
    <row r="21" spans="1:6">
      <c r="A21">
        <f t="shared" si="1"/>
        <v>273</v>
      </c>
      <c r="B21" s="94" cm="1">
        <f t="array" ref="B21">Svensson(betas_pre,A21)</f>
        <v>0.13110079765288374</v>
      </c>
      <c r="C21" s="94" cm="1">
        <f t="array" ref="C21">Svensson(betas_real_ytm,A21)</f>
        <v>7.6441921843120403E-2</v>
      </c>
      <c r="D21" s="94" cm="1">
        <f t="array" ref="D21">Svensson(betas_real_spot,A21)</f>
        <v>7.6241337708612092E-2</v>
      </c>
      <c r="E21" s="94">
        <f t="shared" si="0"/>
        <v>5.0973195343965161E-2</v>
      </c>
      <c r="F21" s="94"/>
    </row>
    <row r="22" spans="1:6">
      <c r="A22">
        <f t="shared" si="1"/>
        <v>294</v>
      </c>
      <c r="B22" s="94" cm="1">
        <f t="array" ref="B22">Svensson(betas_pre,A22)</f>
        <v>0.13002342562404606</v>
      </c>
      <c r="C22" s="94" cm="1">
        <f t="array" ref="C22">Svensson(betas_real_ytm,A22)</f>
        <v>7.5302358955468676E-2</v>
      </c>
      <c r="D22" s="94" cm="1">
        <f t="array" ref="D22">Svensson(betas_real_spot,A22)</f>
        <v>7.5078878456180387E-2</v>
      </c>
      <c r="E22" s="94">
        <f t="shared" si="0"/>
        <v>5.1107456642405902E-2</v>
      </c>
      <c r="F22" s="94"/>
    </row>
    <row r="23" spans="1:6">
      <c r="A23">
        <f t="shared" si="1"/>
        <v>315</v>
      </c>
      <c r="B23" s="94" cm="1">
        <f t="array" ref="B23">Svensson(betas_pre,A23)</f>
        <v>0.12896891811268332</v>
      </c>
      <c r="C23" s="94" cm="1">
        <f t="array" ref="C23">Svensson(betas_real_ytm,A23)</f>
        <v>7.4221469389368439E-2</v>
      </c>
      <c r="D23" s="94" cm="1">
        <f t="array" ref="D23">Svensson(betas_real_spot,A23)</f>
        <v>7.3975061434778E-2</v>
      </c>
      <c r="E23" s="94">
        <f t="shared" si="0"/>
        <v>5.1205897280739654E-2</v>
      </c>
      <c r="F23" s="94"/>
    </row>
    <row r="24" spans="1:6">
      <c r="A24">
        <f t="shared" si="1"/>
        <v>336</v>
      </c>
      <c r="B24" s="94" cm="1">
        <f t="array" ref="B24">Svensson(betas_pre,A24)</f>
        <v>0.12794683243808191</v>
      </c>
      <c r="C24" s="94" cm="1">
        <f t="array" ref="C24">Svensson(betas_real_ytm,A24)</f>
        <v>7.3196583599793724E-2</v>
      </c>
      <c r="D24" s="94" cm="1">
        <f t="array" ref="D24">Svensson(betas_real_spot,A24)</f>
        <v>7.2927315880375404E-2</v>
      </c>
      <c r="E24" s="94">
        <f t="shared" si="0"/>
        <v>5.1279817135200023E-2</v>
      </c>
      <c r="F24" s="94"/>
    </row>
    <row r="25" spans="1:6">
      <c r="A25">
        <f t="shared" si="1"/>
        <v>357</v>
      </c>
      <c r="B25" s="94" cm="1">
        <f t="array" ref="B25">Svensson(betas_pre,A25)</f>
        <v>0.12696436790010651</v>
      </c>
      <c r="C25" s="94" cm="1">
        <f t="array" ref="C25">Svensson(betas_real_ytm,A25)</f>
        <v>7.2225140139434568E-2</v>
      </c>
      <c r="D25" s="94" cm="1">
        <f t="array" ref="D25">Svensson(betas_real_spot,A25)</f>
        <v>7.1933170446927916E-2</v>
      </c>
      <c r="E25" s="94">
        <f t="shared" si="0"/>
        <v>5.1338272730411028E-2</v>
      </c>
      <c r="F25" s="94"/>
    </row>
    <row r="26" spans="1:6">
      <c r="A26">
        <f t="shared" si="1"/>
        <v>378</v>
      </c>
      <c r="B26" s="94" cm="1">
        <f t="array" ref="B26">Svensson(betas_pre,A26)</f>
        <v>0.12602676067108262</v>
      </c>
      <c r="C26" s="94" cm="1">
        <f t="array" ref="C26">Svensson(betas_real_ytm,A26)</f>
        <v>7.1304682064160713E-2</v>
      </c>
      <c r="D26" s="94" cm="1">
        <f t="array" ref="D26">Svensson(betas_real_spot,A26)</f>
        <v>7.0990250102444655E-2</v>
      </c>
      <c r="E26" s="94">
        <f t="shared" si="0"/>
        <v>5.1388432867034428E-2</v>
      </c>
      <c r="F26" s="94"/>
    </row>
    <row r="27" spans="1:6">
      <c r="A27">
        <f t="shared" si="1"/>
        <v>399</v>
      </c>
      <c r="B27" s="94" cm="1">
        <f t="array" ref="B27">Svensson(betas_pre,A27)</f>
        <v>0.125137621072999</v>
      </c>
      <c r="C27" s="94" cm="1">
        <f t="array" ref="C27">Svensson(betas_real_ytm,A27)</f>
        <v>7.0432853397058071E-2</v>
      </c>
      <c r="D27" s="94" cm="1">
        <f t="array" ref="D27">Svensson(betas_real_spot,A27)</f>
        <v>7.0096273065689468E-2</v>
      </c>
      <c r="E27" s="94">
        <f t="shared" si="0"/>
        <v>5.1435884221541217E-2</v>
      </c>
      <c r="F27" s="94"/>
    </row>
    <row r="28" spans="1:6">
      <c r="A28">
        <f t="shared" si="1"/>
        <v>420</v>
      </c>
      <c r="B28" s="94" cm="1">
        <f t="array" ref="B28">Svensson(betas_pre,A28)</f>
        <v>0.12429922126023484</v>
      </c>
      <c r="C28" s="94" cm="1">
        <f t="array" ref="C28">Svensson(betas_real_ytm,A28)</f>
        <v>6.9607395655965007E-2</v>
      </c>
      <c r="D28" s="94" cm="1">
        <f t="array" ref="D28">Svensson(betas_real_spot,A28)</f>
        <v>6.9249047788343246E-2</v>
      </c>
      <c r="E28" s="94">
        <f t="shared" si="0"/>
        <v>5.1484893613661376E-2</v>
      </c>
      <c r="F28" s="94"/>
    </row>
    <row r="29" spans="1:6">
      <c r="A29">
        <f t="shared" si="1"/>
        <v>441</v>
      </c>
      <c r="B29" s="94" cm="1">
        <f t="array" ref="B29">Svensson(betas_pre,A29)</f>
        <v>0.12351274017014849</v>
      </c>
      <c r="C29" s="94" cm="1">
        <f t="array" ref="C29">Svensson(betas_real_ytm,A29)</f>
        <v>6.8826144448726673E-2</v>
      </c>
      <c r="D29" s="94" cm="1">
        <f t="array" ref="D29">Svensson(betas_real_spot,A29)</f>
        <v>6.844646998684363E-2</v>
      </c>
      <c r="E29" s="94">
        <f t="shared" si="0"/>
        <v>5.1538632706590315E-2</v>
      </c>
      <c r="F29" s="94"/>
    </row>
    <row r="30" spans="1:6">
      <c r="A30">
        <f t="shared" si="1"/>
        <v>462</v>
      </c>
      <c r="B30" s="94" cm="1">
        <f t="array" ref="B30">Svensson(betas_pre,A30)</f>
        <v>0.1227784716375579</v>
      </c>
      <c r="C30" s="94" cm="1">
        <f t="array" ref="C30">Svensson(betas_real_ytm,A30)</f>
        <v>6.8087026139713153E-2</v>
      </c>
      <c r="D30" s="94" cm="1">
        <f t="array" ref="D30">Svensson(betas_real_spot,A30)</f>
        <v>6.7686519727547065E-2</v>
      </c>
      <c r="E30" s="94">
        <f t="shared" si="0"/>
        <v>5.1599370126045319E-2</v>
      </c>
      <c r="F30" s="94"/>
    </row>
    <row r="31" spans="1:6">
      <c r="A31">
        <f t="shared" si="1"/>
        <v>483</v>
      </c>
      <c r="B31" s="94" cm="1">
        <f t="array" ref="B31">Svensson(betas_pre,A31)</f>
        <v>0.1220960007557675</v>
      </c>
      <c r="C31" s="94" cm="1">
        <f t="array" ref="C31">Svensson(betas_real_ytm,A31)</f>
        <v>6.7388054590560728E-2</v>
      </c>
      <c r="D31" s="94" cm="1">
        <f t="array" ref="D31">Svensson(betas_real_spot,A31)</f>
        <v>6.6967258568326152E-2</v>
      </c>
      <c r="E31" s="94">
        <f t="shared" si="0"/>
        <v>5.1668635325711865E-2</v>
      </c>
      <c r="F31" s="94"/>
    </row>
    <row r="32" spans="1:6">
      <c r="A32">
        <f t="shared" si="1"/>
        <v>504</v>
      </c>
      <c r="B32" s="94" cm="1">
        <f t="array" ref="B32">Svensson(betas_pre,A32)</f>
        <v>0.12146435287686337</v>
      </c>
      <c r="C32" s="94" cm="1">
        <f t="array" ref="C32">Svensson(betas_real_ytm,A32)</f>
        <v>6.6727327977527104E-2</v>
      </c>
      <c r="D32" s="94" cm="1">
        <f t="array" ref="D32">Svensson(betas_real_spot,A32)</f>
        <v>6.6286826759235667E-2</v>
      </c>
      <c r="E32" s="94">
        <f t="shared" si="0"/>
        <v>5.1747357964956553E-2</v>
      </c>
      <c r="F32" s="94"/>
    </row>
    <row r="33" spans="1:6">
      <c r="A33">
        <f t="shared" si="1"/>
        <v>525</v>
      </c>
      <c r="B33" s="94" cm="1">
        <f t="array" ref="B33">Svensson(betas_pre,A33)</f>
        <v>0.12088211905487954</v>
      </c>
      <c r="C33" s="94" cm="1">
        <f t="array" ref="C33">Svensson(betas_real_ytm,A33)</f>
        <v>6.6103025687357958E-2</v>
      </c>
      <c r="D33" s="94" cm="1">
        <f t="array" ref="D33">Svensson(betas_real_spot,A33)</f>
        <v>6.5643440504425138E-2</v>
      </c>
      <c r="E33" s="94">
        <f t="shared" si="0"/>
        <v>5.1835986082086727E-2</v>
      </c>
      <c r="F33" s="94"/>
    </row>
    <row r="34" spans="1:6">
      <c r="A34">
        <f t="shared" si="1"/>
        <v>546</v>
      </c>
      <c r="B34" s="94" cm="1">
        <f t="array" ref="B34">Svensson(betas_pre,A34)</f>
        <v>0.12034756122949244</v>
      </c>
      <c r="C34" s="94" cm="1">
        <f t="array" ref="C34">Svensson(betas_real_ytm,A34)</f>
        <v>6.5513405293099264E-2</v>
      </c>
      <c r="D34" s="94" cm="1">
        <f t="array" ref="D34">Svensson(betas_real_spot,A34)</f>
        <v>6.5035389287074016E-2</v>
      </c>
      <c r="E34" s="94">
        <f t="shared" si="0"/>
        <v>5.1934585929058974E-2</v>
      </c>
      <c r="F34" s="94"/>
    </row>
    <row r="35" spans="1:6">
      <c r="A35">
        <f t="shared" si="1"/>
        <v>567</v>
      </c>
      <c r="B35" s="94" cm="1">
        <f t="array" ref="B35">Svensson(betas_pre,A35)</f>
        <v>0.11985870001138074</v>
      </c>
      <c r="C35" s="94" cm="1">
        <f t="array" ref="C35">Svensson(betas_real_ytm,A35)</f>
        <v>6.495679961087332E-2</v>
      </c>
      <c r="D35" s="94" cm="1">
        <f t="array" ref="D35">Svensson(betas_real_spot,A35)</f>
        <v>6.4461033258744596E-2</v>
      </c>
      <c r="E35" s="94">
        <f t="shared" si="0"/>
        <v>5.2042925970753107E-2</v>
      </c>
      <c r="F35" s="94"/>
    </row>
    <row r="36" spans="1:6">
      <c r="A36">
        <f t="shared" si="1"/>
        <v>588</v>
      </c>
      <c r="B36" s="94" cm="1">
        <f t="array" ref="B36">Svensson(betas_pre,A36)</f>
        <v>0.11941338755228029</v>
      </c>
      <c r="C36" s="94" cm="1">
        <f t="array" ref="C36">Svensson(betas_real_ytm,A36)</f>
        <v>6.443161383826547E-2</v>
      </c>
      <c r="D36" s="94" cm="1">
        <f t="array" ref="D36">Svensson(betas_real_spot,A36)</f>
        <v>6.3918800694209799E-2</v>
      </c>
      <c r="E36" s="94">
        <f t="shared" si="0"/>
        <v>5.2160547235240218E-2</v>
      </c>
      <c r="F36" s="94"/>
    </row>
    <row r="37" spans="1:6">
      <c r="A37">
        <f t="shared" si="1"/>
        <v>609</v>
      </c>
      <c r="B37" s="94" cm="1">
        <f t="array" ref="B37">Svensson(betas_pre,A37)</f>
        <v>0.11900936765435015</v>
      </c>
      <c r="C37" s="94" cm="1">
        <f t="array" ref="C37">Svensson(betas_real_ytm,A37)</f>
        <v>6.3936322774623786E-2</v>
      </c>
      <c r="D37" s="94" cm="1">
        <f t="array" ref="D37">Svensson(betas_real_spot,A37)</f>
        <v>6.3407185512497549E-2</v>
      </c>
      <c r="E37" s="94">
        <f t="shared" si="0"/>
        <v>5.2286821924243165E-2</v>
      </c>
      <c r="F37" s="94"/>
    </row>
    <row r="38" spans="1:6">
      <c r="A38">
        <f t="shared" si="1"/>
        <v>630</v>
      </c>
      <c r="B38" s="94" cm="1">
        <f t="array" ref="B38">Svensson(betas_pre,A38)</f>
        <v>0.11864432498753216</v>
      </c>
      <c r="C38" s="94" cm="1">
        <f t="array" ref="C38">Svensson(betas_real_ytm,A38)</f>
        <v>6.3469468123279416E-2</v>
      </c>
      <c r="D38" s="94" cm="1">
        <f t="array" ref="D38">Svensson(betas_real_spot,A38)</f>
        <v>6.2924744864623364E-2</v>
      </c>
      <c r="E38" s="94">
        <f t="shared" si="0"/>
        <v>5.2421001949677581E-2</v>
      </c>
      <c r="F38" s="94"/>
    </row>
    <row r="39" spans="1:6">
      <c r="A39">
        <f t="shared" si="1"/>
        <v>651</v>
      </c>
      <c r="B39" s="94" cm="1">
        <f t="array" ref="B39">Svensson(betas_pre,A39)</f>
        <v>0.11831592503432081</v>
      </c>
      <c r="C39" s="94" cm="1">
        <f t="array" ref="C39">Svensson(betas_real_ytm,A39)</f>
        <v>6.3029655875414495E-2</v>
      </c>
      <c r="D39" s="94" cm="1">
        <f t="array" ref="D39">Svensson(betas_real_spot,A39)</f>
        <v>6.2470096788211395E-2</v>
      </c>
      <c r="E39" s="94">
        <f t="shared" si="0"/>
        <v>5.2562258848440235E-2</v>
      </c>
      <c r="F39" s="94"/>
    </row>
    <row r="40" spans="1:6">
      <c r="A40">
        <f t="shared" si="1"/>
        <v>672</v>
      </c>
      <c r="B40" s="94" cm="1">
        <f t="array" ref="B40">Svensson(betas_pre,A40)</f>
        <v>0.11802184616381323</v>
      </c>
      <c r="C40" s="94" cm="1">
        <f t="array" ref="C40">Svensson(betas_real_ytm,A40)</f>
        <v>6.2615553775074287E-2</v>
      </c>
      <c r="D40" s="94" cm="1">
        <f t="array" ref="D40">Svensson(betas_real_spot,A40)</f>
        <v>6.2041917928994009E-2</v>
      </c>
      <c r="E40" s="94">
        <f t="shared" si="0"/>
        <v>5.2709716339616186E-2</v>
      </c>
      <c r="F40" s="94"/>
    </row>
    <row r="41" spans="1:6">
      <c r="A41">
        <f t="shared" si="1"/>
        <v>693</v>
      </c>
      <c r="B41" s="94" cm="1">
        <f t="array" ref="B41">Svensson(betas_pre,A41)</f>
        <v>0.11775980504699876</v>
      </c>
      <c r="C41" s="94" cm="1">
        <f t="array" ref="C41">Svensson(betas_real_ytm,A41)</f>
        <v>6.2225888864598719E-2</v>
      </c>
      <c r="D41" s="94" cm="1">
        <f t="array" ref="D41">Svensson(betas_real_spot,A41)</f>
        <v>6.1638941328961604E-2</v>
      </c>
      <c r="E41" s="94">
        <f t="shared" si="0"/>
        <v>5.2862476622970389E-2</v>
      </c>
      <c r="F41" s="94"/>
    </row>
    <row r="42" spans="1:6">
      <c r="A42">
        <f t="shared" si="1"/>
        <v>714</v>
      </c>
      <c r="B42" s="94" cm="1">
        <f t="array" ref="B42">Svensson(betas_pre,A42)</f>
        <v>0.11752757645945021</v>
      </c>
      <c r="C42" s="94" cm="1">
        <f t="array" ref="C42">Svensson(betas_real_ytm,A42)</f>
        <v>6.1859445109565918E-2</v>
      </c>
      <c r="D42" s="94" cm="1">
        <f t="array" ref="D42">Svensson(betas_real_spot,A42)</f>
        <v>6.1259954280760268E-2</v>
      </c>
      <c r="E42" s="94">
        <f t="shared" si="0"/>
        <v>5.3019641372243687E-2</v>
      </c>
      <c r="F42" s="94"/>
    </row>
    <row r="43" spans="1:6">
      <c r="A43">
        <f t="shared" si="1"/>
        <v>735</v>
      </c>
      <c r="B43" s="94" cm="1">
        <f t="array" ref="B43">Svensson(betas_pre,A43)</f>
        <v>0.1173230083728799</v>
      </c>
      <c r="C43" s="94" cm="1">
        <f t="array" ref="C43">Svensson(betas_real_ytm,A43)</f>
        <v>6.1515061102176832E-2</v>
      </c>
      <c r="D43" s="94" cm="1">
        <f t="array" ref="D43">Svensson(betas_real_spot,A43)</f>
        <v>6.0903796247768441E-2</v>
      </c>
      <c r="E43" s="94">
        <f t="shared" si="0"/>
        <v>5.3180328249042397E-2</v>
      </c>
      <c r="F43" s="94"/>
    </row>
    <row r="44" spans="1:6">
      <c r="A44">
        <f t="shared" si="1"/>
        <v>756</v>
      </c>
      <c r="B44" s="94" cm="1">
        <f t="array" ref="B44">Svensson(betas_pre,A44)</f>
        <v>0.11714403311084365</v>
      </c>
      <c r="C44" s="94" cm="1">
        <f t="array" ref="C44">Svensson(betas_real_ytm,A44)</f>
        <v>6.1191627841863612E-2</v>
      </c>
      <c r="D44" s="94" cm="1">
        <f t="array" ref="D44">Svensson(betas_real_spot,A44)</f>
        <v>6.0569356849139451E-2</v>
      </c>
      <c r="E44" s="94">
        <f t="shared" si="0"/>
        <v>5.3343683650999063E-2</v>
      </c>
      <c r="F44" s="94"/>
    </row>
    <row r="45" spans="1:6">
      <c r="A45">
        <f>+A44+126</f>
        <v>882</v>
      </c>
      <c r="B45" s="94" cm="1">
        <f t="array" ref="B45">Svensson(betas_pre,A45)</f>
        <v>0.11650394440357899</v>
      </c>
      <c r="C45" s="94" cm="1">
        <f t="array" ref="C45">Svensson(betas_real_ytm,A45)</f>
        <v>5.9634968533037611E-2</v>
      </c>
      <c r="D45" s="94" cm="1">
        <f t="array" ref="D45">Svensson(betas_real_spot,A45)</f>
        <v>5.8962471611653196E-2</v>
      </c>
      <c r="E45" s="94">
        <f t="shared" si="0"/>
        <v>5.4337593951136354E-2</v>
      </c>
      <c r="F45" s="94"/>
    </row>
    <row r="46" spans="1:6">
      <c r="A46">
        <f t="shared" ref="A46:A102" si="2">+A45+126</f>
        <v>1008</v>
      </c>
      <c r="B46" s="94" cm="1">
        <f t="array" ref="B46">Svensson(betas_pre,A46)</f>
        <v>0.11637262729462464</v>
      </c>
      <c r="C46" s="94" cm="1">
        <f t="array" ref="C46">Svensson(betas_real_ytm,A46)</f>
        <v>5.8603661745343358E-2</v>
      </c>
      <c r="D46" s="94" cm="1">
        <f t="array" ref="D46">Svensson(betas_real_spot,A46)</f>
        <v>5.7906393498903072E-2</v>
      </c>
      <c r="E46" s="94">
        <f t="shared" si="0"/>
        <v>5.5265980199203923E-2</v>
      </c>
      <c r="F46" s="94"/>
    </row>
    <row r="47" spans="1:6">
      <c r="A47">
        <f t="shared" si="2"/>
        <v>1134</v>
      </c>
      <c r="B47" s="94" cm="1">
        <f t="array" ref="B47">Svensson(betas_pre,A47)</f>
        <v>0.11651666242267622</v>
      </c>
      <c r="C47" s="94" cm="1">
        <f t="array" ref="C47">Svensson(betas_real_ytm,A47)</f>
        <v>5.7950633491688337E-2</v>
      </c>
      <c r="D47" s="94" cm="1">
        <f t="array" ref="D47">Svensson(betas_real_spot,A47)</f>
        <v>5.7250825485138664E-2</v>
      </c>
      <c r="E47" s="94">
        <f t="shared" si="0"/>
        <v>5.6056553004195653E-2</v>
      </c>
      <c r="F47" s="94"/>
    </row>
    <row r="48" spans="1:6">
      <c r="A48">
        <f t="shared" si="2"/>
        <v>1260</v>
      </c>
      <c r="B48" s="94" cm="1">
        <f t="array" ref="B48">Svensson(betas_pre,A48)</f>
        <v>0.11679340863763421</v>
      </c>
      <c r="C48" s="94" cm="1">
        <f t="array" ref="C48">Svensson(betas_real_ytm,A48)</f>
        <v>5.7566227067506408E-2</v>
      </c>
      <c r="D48" s="94" cm="1">
        <f t="array" ref="D48">Svensson(betas_real_spot,A48)</f>
        <v>5.6882308581245759E-2</v>
      </c>
      <c r="E48" s="94">
        <f t="shared" si="0"/>
        <v>5.6686633478436166E-2</v>
      </c>
      <c r="F48" s="94"/>
    </row>
    <row r="49" spans="1:6">
      <c r="A49">
        <f t="shared" si="2"/>
        <v>1386</v>
      </c>
      <c r="B49" s="94" cm="1">
        <f t="array" ref="B49">Svensson(betas_pre,A49)</f>
        <v>0.117121092952248</v>
      </c>
      <c r="C49" s="94" cm="1">
        <f t="array" ref="C49">Svensson(betas_real_ytm,A49)</f>
        <v>5.7369300784185333E-2</v>
      </c>
      <c r="D49" s="94" cm="1">
        <f t="array" ref="D49">Svensson(betas_real_spot,A49)</f>
        <v>5.6715817370561881E-2</v>
      </c>
      <c r="E49" s="94">
        <f t="shared" si="0"/>
        <v>5.7163217005678169E-2</v>
      </c>
      <c r="F49" s="94"/>
    </row>
    <row r="50" spans="1:6">
      <c r="A50">
        <f t="shared" si="2"/>
        <v>1512</v>
      </c>
      <c r="B50" s="94" cm="1">
        <f t="array" ref="B50">Svensson(betas_pre,A50)</f>
        <v>0.11745570617324297</v>
      </c>
      <c r="C50" s="94" cm="1">
        <f t="array" ref="C50">Svensson(betas_real_ytm,A50)</f>
        <v>5.7300306245053473E-2</v>
      </c>
      <c r="D50" s="94" cm="1">
        <f t="array" ref="D50">Svensson(betas_real_spot,A50)</f>
        <v>5.6688138755610913E-2</v>
      </c>
      <c r="E50" s="94">
        <f t="shared" si="0"/>
        <v>5.7507570293344967E-2</v>
      </c>
      <c r="F50" s="94"/>
    </row>
    <row r="51" spans="1:6">
      <c r="A51">
        <f t="shared" si="2"/>
        <v>1638</v>
      </c>
      <c r="B51" s="94" cm="1">
        <f t="array" ref="B51">Svensson(betas_pre,A51)</f>
        <v>0.11777542183541335</v>
      </c>
      <c r="C51" s="94" cm="1">
        <f t="array" ref="C51">Svensson(betas_real_ytm,A51)</f>
        <v>5.731594881991571E-2</v>
      </c>
      <c r="D51" s="94" cm="1">
        <f t="array" ref="D51">Svensson(betas_real_spot,A51)</f>
        <v>5.6752697134360125E-2</v>
      </c>
      <c r="E51" s="94">
        <f t="shared" si="0"/>
        <v>5.7745511193424193E-2</v>
      </c>
      <c r="F51" s="94"/>
    </row>
    <row r="52" spans="1:6">
      <c r="A52">
        <f t="shared" si="2"/>
        <v>1764</v>
      </c>
      <c r="B52" s="94" cm="1">
        <f t="array" ref="B52">Svensson(betas_pre,A52)</f>
        <v>0.11807084611150294</v>
      </c>
      <c r="C52" s="94" cm="1">
        <f t="array" ref="C52">Svensson(betas_real_ytm,A52)</f>
        <v>5.7385095523381308E-2</v>
      </c>
      <c r="D52" s="94" cm="1">
        <f t="array" ref="D52">Svensson(betas_real_spot,A52)</f>
        <v>5.6875536364413906E-2</v>
      </c>
      <c r="E52" s="94">
        <f t="shared" si="0"/>
        <v>5.7902096927701763E-2</v>
      </c>
      <c r="F52" s="94"/>
    </row>
    <row r="53" spans="1:6">
      <c r="A53">
        <f t="shared" si="2"/>
        <v>1890</v>
      </c>
      <c r="B53" s="94" cm="1">
        <f t="array" ref="B53">Svensson(betas_pre,A53)</f>
        <v>0.11833921559322896</v>
      </c>
      <c r="C53" s="94" cm="1">
        <f t="array" ref="C53">Svensson(betas_real_ytm,A53)</f>
        <v>5.7485656611686288E-2</v>
      </c>
      <c r="D53" s="94" cm="1">
        <f t="array" ref="D53">Svensson(betas_real_spot,A53)</f>
        <v>5.7032217155921633E-2</v>
      </c>
      <c r="E53" s="94">
        <f t="shared" si="0"/>
        <v>5.7999176791660778E-2</v>
      </c>
      <c r="F53" s="94"/>
    </row>
    <row r="54" spans="1:6">
      <c r="A54">
        <f t="shared" si="2"/>
        <v>2016</v>
      </c>
      <c r="B54" s="94" cm="1">
        <f t="array" ref="B54">Svensson(betas_pre,A54)</f>
        <v>0.11858107920098609</v>
      </c>
      <c r="C54" s="94" cm="1">
        <f t="array" ref="C54">Svensson(betas_real_ytm,A54)</f>
        <v>5.7602221411481733E-2</v>
      </c>
      <c r="D54" s="94" cm="1">
        <f t="array" ref="D54">Svensson(betas_real_spot,A54)</f>
        <v>5.7205433054763825E-2</v>
      </c>
      <c r="E54" s="94">
        <f t="shared" si="0"/>
        <v>5.8054607200493713E-2</v>
      </c>
      <c r="F54" s="94"/>
    </row>
    <row r="55" spans="1:6">
      <c r="A55">
        <f t="shared" si="2"/>
        <v>2142</v>
      </c>
      <c r="B55" s="94" cm="1">
        <f t="array" ref="B55">Svensson(betas_pre,A55)</f>
        <v>0.11879847020607243</v>
      </c>
      <c r="C55" s="94" cm="1">
        <f t="array" ref="C55">Svensson(betas_real_ytm,A55)</f>
        <v>5.7724274753546807E-2</v>
      </c>
      <c r="D55" s="94" cm="1">
        <f t="array" ref="D55">Svensson(betas_real_spot,A55)</f>
        <v>5.7383186917568919E-2</v>
      </c>
      <c r="E55" s="94">
        <f t="shared" si="0"/>
        <v>5.8082333867572E-2</v>
      </c>
      <c r="F55" s="94"/>
    </row>
    <row r="56" spans="1:6">
      <c r="A56">
        <f t="shared" si="2"/>
        <v>2268</v>
      </c>
      <c r="B56" s="94" cm="1">
        <f t="array" ref="B56">Svensson(betas_pre,A56)</f>
        <v>0.11899394044645047</v>
      </c>
      <c r="C56" s="94" cm="1">
        <f t="array" ref="C56">Svensson(betas_real_ytm,A56)</f>
        <v>5.7844858040025406E-2</v>
      </c>
      <c r="D56" s="94" cm="1">
        <f t="array" ref="D56">Svensson(betas_real_spot,A56)</f>
        <v>5.7557402299980673E-2</v>
      </c>
      <c r="E56" s="94">
        <f t="shared" si="0"/>
        <v>5.8092863813214546E-2</v>
      </c>
      <c r="F56" s="94"/>
    </row>
    <row r="57" spans="1:6">
      <c r="A57">
        <f t="shared" si="2"/>
        <v>2394</v>
      </c>
      <c r="B57" s="94" cm="1">
        <f t="array" ref="B57">Svensson(betas_pre,A57)</f>
        <v>0.11917007804886355</v>
      </c>
      <c r="C57" s="94" cm="1">
        <f t="array" ref="C57">Svensson(betas_real_ytm,A57)</f>
        <v>5.7959569273253263E-2</v>
      </c>
      <c r="D57" s="94" cm="1">
        <f t="array" ref="D57">Svensson(betas_real_spot,A57)</f>
        <v>5.7722870835297327E-2</v>
      </c>
      <c r="E57" s="94">
        <f t="shared" si="0"/>
        <v>5.809386268166894E-2</v>
      </c>
      <c r="F57" s="94"/>
    </row>
    <row r="58" spans="1:6">
      <c r="A58">
        <f t="shared" si="2"/>
        <v>2520</v>
      </c>
      <c r="B58" s="94" cm="1">
        <f t="array" ref="B58">Svensson(betas_pre,A58)</f>
        <v>0.11932928788083103</v>
      </c>
      <c r="C58" s="94" cm="1">
        <f t="array" ref="C58">Svensson(betas_real_ytm,A58)</f>
        <v>5.8065820410880403E-2</v>
      </c>
      <c r="D58" s="94" cm="1">
        <f t="array" ref="D58">Svensson(betas_real_spot,A58)</f>
        <v>5.7876458172126229E-2</v>
      </c>
      <c r="E58" s="94">
        <f t="shared" si="0"/>
        <v>5.8090743237530162E-2</v>
      </c>
      <c r="F58" s="94"/>
    </row>
    <row r="59" spans="1:6">
      <c r="A59">
        <f t="shared" si="2"/>
        <v>2646</v>
      </c>
      <c r="B59" s="94" cm="1">
        <f t="array" ref="B59">Svensson(betas_pre,A59)</f>
        <v>0.11947370956078045</v>
      </c>
      <c r="C59" s="94" cm="1">
        <f t="array" ref="C59">Svensson(betas_real_ytm,A59)</f>
        <v>5.8162289285806273E-2</v>
      </c>
      <c r="D59" s="94" cm="1">
        <f t="array" ref="D59">Svensson(betas_real_spot,A59)</f>
        <v>5.8016508164708477E-2</v>
      </c>
      <c r="E59" s="94">
        <f t="shared" si="0"/>
        <v>5.8087185711949818E-2</v>
      </c>
      <c r="F59" s="94"/>
    </row>
    <row r="60" spans="1:6">
      <c r="A60">
        <f t="shared" si="2"/>
        <v>2772</v>
      </c>
      <c r="B60" s="94" cm="1">
        <f t="array" ref="B60">Svensson(betas_pre,A60)</f>
        <v>0.1196052038867904</v>
      </c>
      <c r="C60" s="94" cm="1">
        <f t="array" ref="C60">Svensson(betas_real_ytm,A60)</f>
        <v>5.8248518036989966E-2</v>
      </c>
      <c r="D60" s="94" cm="1">
        <f t="array" ref="D60">Svensson(betas_real_spot,A60)</f>
        <v>5.8142398538252149E-2</v>
      </c>
      <c r="E60" s="94">
        <f t="shared" si="0"/>
        <v>5.8085570933973152E-2</v>
      </c>
      <c r="F60" s="94"/>
    </row>
    <row r="61" spans="1:6">
      <c r="A61">
        <f t="shared" si="2"/>
        <v>2898</v>
      </c>
      <c r="B61" s="94" cm="1">
        <f t="array" ref="B61">Svensson(betas_pre,A61)</f>
        <v>0.11972537054617995</v>
      </c>
      <c r="C61" s="94" cm="1">
        <f t="array" ref="C61">Svensson(betas_real_ytm,A61)</f>
        <v>5.8324621391792703E-2</v>
      </c>
      <c r="D61" s="94" cm="1">
        <f t="array" ref="D61">Svensson(betas_real_spot,A61)</f>
        <v>5.8254211870611153E-2</v>
      </c>
      <c r="E61" s="94">
        <f t="shared" si="0"/>
        <v>5.8087327209319639E-2</v>
      </c>
      <c r="F61" s="94"/>
    </row>
    <row r="62" spans="1:6">
      <c r="A62">
        <f t="shared" si="2"/>
        <v>3024</v>
      </c>
      <c r="B62" s="94" cm="1">
        <f t="array" ref="B62">Svensson(betas_pre,A62)</f>
        <v>0.11983557783133741</v>
      </c>
      <c r="C62" s="94" cm="1">
        <f t="array" ref="C62">Svensson(betas_real_ytm,A62)</f>
        <v>5.8391076928053766E-2</v>
      </c>
      <c r="D62" s="94" cm="1">
        <f t="array" ref="D62">Svensson(betas_real_spot,A62)</f>
        <v>5.8352494025783429E-2</v>
      </c>
      <c r="E62" s="94">
        <f t="shared" si="0"/>
        <v>5.8093200661041955E-2</v>
      </c>
      <c r="F62" s="94"/>
    </row>
    <row r="63" spans="1:6">
      <c r="A63">
        <f t="shared" si="2"/>
        <v>3150</v>
      </c>
      <c r="B63" s="94" cm="1">
        <f t="array" ref="B63">Svensson(betas_pre,A63)</f>
        <v>0.11993699483315098</v>
      </c>
      <c r="C63" s="94" cm="1">
        <f t="array" ref="C63">Svensson(betas_real_ytm,A63)</f>
        <v>5.8448576195639819E-2</v>
      </c>
      <c r="D63" s="94" cm="1">
        <f t="array" ref="D63">Svensson(betas_real_spot,A63)</f>
        <v>5.8438078627865299E-2</v>
      </c>
      <c r="E63" s="94">
        <f t="shared" si="0"/>
        <v>5.8103461550638391E-2</v>
      </c>
      <c r="F63" s="94"/>
    </row>
    <row r="64" spans="1:6">
      <c r="A64">
        <f t="shared" si="2"/>
        <v>3276</v>
      </c>
      <c r="B64" s="94" cm="1">
        <f t="array" ref="B64">Svensson(betas_pre,A64)</f>
        <v>0.12003062176557673</v>
      </c>
      <c r="C64" s="94" cm="1">
        <f t="array" ref="C64">Svensson(betas_real_ytm,A64)</f>
        <v>5.8497920747767426E-2</v>
      </c>
      <c r="D64" s="94" cm="1">
        <f t="array" ref="D64">Svensson(betas_real_spot,A64)</f>
        <v>5.8511961169022686E-2</v>
      </c>
      <c r="E64" s="94">
        <f t="shared" si="0"/>
        <v>5.8118058985949128E-2</v>
      </c>
      <c r="F64" s="94"/>
    </row>
    <row r="65" spans="1:6">
      <c r="A65">
        <f t="shared" si="2"/>
        <v>3402</v>
      </c>
      <c r="B65" s="94" cm="1">
        <f t="array" ref="B65">Svensson(betas_pre,A65)</f>
        <v>0.12011731674128619</v>
      </c>
      <c r="C65" s="94" cm="1">
        <f t="array" ref="C65">Svensson(betas_real_ytm,A65)</f>
        <v>5.8539951080629211E-2</v>
      </c>
      <c r="D65" s="94" cm="1">
        <f t="array" ref="D65">Svensson(betas_real_spot,A65)</f>
        <v>5.8575210216315052E-2</v>
      </c>
      <c r="E65" s="94">
        <f t="shared" si="0"/>
        <v>5.8136735048230692E-2</v>
      </c>
      <c r="F65" s="94"/>
    </row>
    <row r="66" spans="1:6">
      <c r="A66">
        <f t="shared" si="2"/>
        <v>3528</v>
      </c>
      <c r="B66" s="94" cm="1">
        <f t="array" ref="B66">Svensson(betas_pre,A66)</f>
        <v>0.12019781862648031</v>
      </c>
      <c r="C66" s="94" cm="1">
        <f t="array" ref="C66">Svensson(betas_real_ytm,A66)</f>
        <v>5.8575499486392152E-2</v>
      </c>
      <c r="D66" s="94" cm="1">
        <f t="array" ref="D66">Svensson(betas_real_spot,A66)</f>
        <v>5.8628906169396429E-2</v>
      </c>
      <c r="E66" s="94">
        <f t="shared" si="0"/>
        <v>5.8159107595000537E-2</v>
      </c>
      <c r="F66" s="94"/>
    </row>
    <row r="67" spans="1:6">
      <c r="A67">
        <f t="shared" si="2"/>
        <v>3654</v>
      </c>
      <c r="B67" s="94" cm="1">
        <f t="array" ref="B67">Svensson(betas_pre,A67)</f>
        <v>0.12027276619552803</v>
      </c>
      <c r="C67" s="94" cm="1">
        <f t="array" ref="C67">Svensson(betas_real_ytm,A67)</f>
        <v>5.8605360107752753E-2</v>
      </c>
      <c r="D67" s="94" cm="1">
        <f t="array" ref="D67">Svensson(betas_real_spot,A67)</f>
        <v>5.8674100320911103E-2</v>
      </c>
      <c r="E67" s="94">
        <f t="shared" si="0"/>
        <v>5.8184729234374233E-2</v>
      </c>
      <c r="F67" s="94"/>
    </row>
    <row r="68" spans="1:6">
      <c r="A68">
        <f t="shared" si="2"/>
        <v>3780</v>
      </c>
      <c r="B68" s="94" cm="1">
        <f t="array" ref="B68">Svensson(betas_pre,A68)</f>
        <v>0.12034271403367151</v>
      </c>
      <c r="C68" s="94" cm="1">
        <f t="array" ref="C68">Svensson(betas_real_ytm,A68)</f>
        <v>5.8630271211046713E-2</v>
      </c>
      <c r="D68" s="94" cm="1">
        <f t="array" ref="D68">Svensson(betas_real_spot,A68)</f>
        <v>5.8711788738023435E-2</v>
      </c>
      <c r="E68" s="94">
        <f t="shared" si="0"/>
        <v>5.8213128399289493E-2</v>
      </c>
      <c r="F68" s="94"/>
    </row>
    <row r="69" spans="1:6">
      <c r="A69">
        <f t="shared" si="2"/>
        <v>3906</v>
      </c>
      <c r="B69" s="94" cm="1">
        <f t="array" ref="B69">Svensson(betas_pre,A69)</f>
        <v>0.12040814568617711</v>
      </c>
      <c r="C69" s="94" cm="1">
        <f t="array" ref="C69">Svensson(betas_real_ytm,A69)</f>
        <v>5.8650905999969132E-2</v>
      </c>
      <c r="D69" s="94" cm="1">
        <f t="array" ref="D69">Svensson(betas_real_spot,A69)</f>
        <v>5.8742896837449786E-2</v>
      </c>
      <c r="E69" s="94">
        <f t="shared" si="0"/>
        <v>5.8243837132628373E-2</v>
      </c>
      <c r="F69" s="94"/>
    </row>
    <row r="70" spans="1:6">
      <c r="A70">
        <f t="shared" si="2"/>
        <v>4032</v>
      </c>
      <c r="B70" s="94" cm="1">
        <f t="array" ref="B70">Svensson(betas_pre,A70)</f>
        <v>0.12046948452292952</v>
      </c>
      <c r="C70" s="94" cm="1">
        <f t="array" ref="C70">Svensson(betas_real_ytm,A70)</f>
        <v>5.8667869273845395E-2</v>
      </c>
      <c r="D70" s="94" cm="1">
        <f t="array" ref="D70">Svensson(betas_real_spot,A70)</f>
        <v>5.876827156144513E-2</v>
      </c>
      <c r="E70" s="94">
        <f t="shared" si="0"/>
        <v>5.8276409124433881E-2</v>
      </c>
      <c r="F70" s="94"/>
    </row>
    <row r="71" spans="1:6">
      <c r="A71">
        <f t="shared" si="2"/>
        <v>4158</v>
      </c>
      <c r="B71" s="94" cm="1">
        <f t="array" ref="B71">Svensson(betas_pre,A71)</f>
        <v>0.12052710272807614</v>
      </c>
      <c r="C71" s="94" cm="1">
        <f t="array" ref="C71">Svensson(betas_real_ytm,A71)</f>
        <v>5.8681697970325263E-2</v>
      </c>
      <c r="D71" s="94" cm="1">
        <f t="array" ref="D71">Svensson(betas_real_spot,A71)</f>
        <v>5.8788678851386729E-2</v>
      </c>
      <c r="E71" s="94">
        <f t="shared" si="0"/>
        <v>5.8310430692992909E-2</v>
      </c>
      <c r="F71" s="94"/>
    </row>
    <row r="72" spans="1:6">
      <c r="A72">
        <f t="shared" si="2"/>
        <v>4284</v>
      </c>
      <c r="B72" s="94" cm="1">
        <f t="array" ref="B72">Svensson(betas_pre,A72)</f>
        <v>0.12058132875874908</v>
      </c>
      <c r="C72" s="94" cm="1">
        <f t="array" ref="C72">Svensson(betas_real_ytm,A72)</f>
        <v>5.8692864181624511E-2</v>
      </c>
      <c r="D72" s="94" cm="1">
        <f t="array" ref="D72">Svensson(betas_real_spot,A72)</f>
        <v>5.8804804715487692E-2</v>
      </c>
      <c r="E72" s="94">
        <f t="shared" si="0"/>
        <v>5.8345526737443754E-2</v>
      </c>
      <c r="F72" s="94"/>
    </row>
    <row r="73" spans="1:6">
      <c r="A73">
        <f t="shared" si="2"/>
        <v>4410</v>
      </c>
      <c r="B73" s="94" cm="1">
        <f t="array" ref="B73">Svensson(betas_pre,A73)</f>
        <v>0.12063245355562993</v>
      </c>
      <c r="C73" s="94" cm="1">
        <f t="array" ref="C73">Svensson(betas_real_ytm,A73)</f>
        <v>5.8701779641335217E-2</v>
      </c>
      <c r="D73" s="94" cm="1">
        <f t="array" ref="D73">Svensson(betas_real_spot,A73)</f>
        <v>5.8817258641590889E-2</v>
      </c>
      <c r="E73" s="94">
        <f t="shared" ref="E73:E126" si="3">(1+B73)/(1+D73)-1</f>
        <v>5.8381363176252865E-2</v>
      </c>
      <c r="F73" s="94"/>
    </row>
    <row r="74" spans="1:6">
      <c r="A74">
        <f t="shared" si="2"/>
        <v>4536</v>
      </c>
      <c r="B74" s="94" cm="1">
        <f t="array" ref="B74">Svensson(betas_pre,A74)</f>
        <v>0.1206807357350521</v>
      </c>
      <c r="C74" s="94" cm="1">
        <f t="array" ref="C74">Svensson(betas_real_ytm,A74)</f>
        <v>5.8708800980018315E-2</v>
      </c>
      <c r="D74" s="94" cm="1">
        <f t="array" ref="D74">Svensson(betas_real_spot,A74)</f>
        <v>5.8826578448862077E-2</v>
      </c>
      <c r="E74" s="94">
        <f t="shared" si="3"/>
        <v>5.8417646992583006E-2</v>
      </c>
      <c r="F74" s="94"/>
    </row>
    <row r="75" spans="1:6">
      <c r="A75">
        <f t="shared" si="2"/>
        <v>4662</v>
      </c>
      <c r="B75" s="94" cm="1">
        <f t="array" ref="B75">Svensson(betas_pre,A75)</f>
        <v>0.12072640594813122</v>
      </c>
      <c r="C75" s="94" cm="1">
        <f t="array" ref="C75">Svensson(betas_real_ytm,A75)</f>
        <v>5.8714235268687603E-2</v>
      </c>
      <c r="D75" s="94" cm="1">
        <f t="array" ref="D75">Svensson(betas_real_spot,A75)</f>
        <v>5.8833235929693445E-2</v>
      </c>
      <c r="E75" s="94">
        <f t="shared" si="3"/>
        <v>5.8454124708404498E-2</v>
      </c>
      <c r="F75" s="94"/>
    </row>
    <row r="76" spans="1:6">
      <c r="A76">
        <f t="shared" si="2"/>
        <v>4788</v>
      </c>
      <c r="B76" s="94" cm="1">
        <f t="array" ref="B76">Svensson(betas_pre,A76)</f>
        <v>0.12076967055640762</v>
      </c>
      <c r="C76" s="94" cm="1">
        <f t="array" ref="C76">Svensson(betas_real_ytm,A76)</f>
        <v>5.8718345529982403E-2</v>
      </c>
      <c r="D76" s="94" cm="1">
        <f t="array" ref="D76">Svensson(betas_real_spot,A76)</f>
        <v>5.8837642825459634E-2</v>
      </c>
      <c r="E76" s="94">
        <f t="shared" si="3"/>
        <v>5.8490579883130334E-2</v>
      </c>
      <c r="F76" s="94"/>
    </row>
    <row r="77" spans="1:6">
      <c r="A77">
        <f t="shared" si="2"/>
        <v>4914</v>
      </c>
      <c r="B77" s="94" cm="1">
        <f t="array" ref="B77">Svensson(betas_pre,A77)</f>
        <v>0.12081071474451191</v>
      </c>
      <c r="C77" s="94" cm="1">
        <f t="array" ref="C77">Svensson(betas_real_ytm,A77)</f>
        <v>5.872135601257316E-2</v>
      </c>
      <c r="D77" s="94" cm="1">
        <f t="array" ref="D77">Svensson(betas_real_spot,A77)</f>
        <v>5.8840156822493335E-2</v>
      </c>
      <c r="E77" s="94">
        <f t="shared" si="3"/>
        <v>5.8526830062799906E-2</v>
      </c>
      <c r="F77" s="94"/>
    </row>
    <row r="78" spans="1:6">
      <c r="A78">
        <f t="shared" si="2"/>
        <v>5040</v>
      </c>
      <c r="B78" s="94" cm="1">
        <f t="array" ref="B78">Svensson(betas_pre,A78)</f>
        <v>0.12084970516720166</v>
      </c>
      <c r="C78" s="94" cm="1">
        <f t="array" ref="C78">Svensson(betas_real_ytm,A78)</f>
        <v>5.8723457106700593E-2</v>
      </c>
      <c r="D78" s="94" cm="1">
        <f t="array" ref="D78">Svensson(betas_real_spot,A78)</f>
        <v>5.8841087359731079E-2</v>
      </c>
      <c r="E78" s="94">
        <f t="shared" si="3"/>
        <v>5.8562723479206769E-2</v>
      </c>
      <c r="F78" s="94"/>
    </row>
    <row r="79" spans="1:6">
      <c r="A79">
        <f t="shared" si="2"/>
        <v>5166</v>
      </c>
      <c r="B79" s="94" cm="1">
        <f t="array" ref="B79">Svensson(betas_pre,A79)</f>
        <v>0.12088679220963136</v>
      </c>
      <c r="C79" s="94" cm="1">
        <f t="array" ref="C79">Svensson(betas_real_ytm,A79)</f>
        <v>5.8724809836429685E-2</v>
      </c>
      <c r="D79" s="94" cm="1">
        <f t="array" ref="D79">Svensson(betas_real_spot,A79)</f>
        <v>5.8840701116105232E-2</v>
      </c>
      <c r="E79" s="94">
        <f t="shared" si="3"/>
        <v>5.8598135704572396E-2</v>
      </c>
      <c r="F79" s="94"/>
    </row>
    <row r="80" spans="1:6">
      <c r="A80">
        <f t="shared" si="2"/>
        <v>5292</v>
      </c>
      <c r="B80" s="94" cm="1">
        <f t="array" ref="B80">Svensson(betas_pre,A80)</f>
        <v>0.12092211192498481</v>
      </c>
      <c r="C80" s="94" cm="1">
        <f t="array" ref="C80">Svensson(betas_real_ytm,A80)</f>
        <v>5.8725549903783453E-2</v>
      </c>
      <c r="D80" s="94" cm="1">
        <f t="array" ref="D80">Svensson(betas_real_spot,A80)</f>
        <v>5.8839227100965265E-2</v>
      </c>
      <c r="E80" s="94">
        <f t="shared" si="3"/>
        <v>5.8632966398495245E-2</v>
      </c>
      <c r="F80" s="94"/>
    </row>
    <row r="81" spans="1:6">
      <c r="A81">
        <f t="shared" si="2"/>
        <v>5418</v>
      </c>
      <c r="B81" s="94" cm="1">
        <f t="array" ref="B81">Svensson(betas_pre,A81)</f>
        <v>0.120955787701818</v>
      </c>
      <c r="C81" s="94" cm="1">
        <f t="array" ref="C81">Svensson(betas_real_ytm,A81)</f>
        <v>5.8725791286328467E-2</v>
      </c>
      <c r="D81" s="94" cm="1">
        <f t="array" ref="D81">Svensson(betas_real_spot,A81)</f>
        <v>5.883686130997573E-2</v>
      </c>
      <c r="E81" s="94">
        <f t="shared" si="3"/>
        <v>5.866713623380071E-2</v>
      </c>
      <c r="F81" s="94"/>
    </row>
    <row r="82" spans="1:6">
      <c r="A82">
        <f t="shared" si="2"/>
        <v>5544</v>
      </c>
      <c r="B82" s="94" cm="1">
        <f t="array" ref="B82">Svensson(betas_pre,A82)</f>
        <v>0.12098793170402876</v>
      </c>
      <c r="C82" s="94" cm="1">
        <f t="array" ref="C82">Svensson(betas_real_ytm,A82)</f>
        <v>5.8725629406690238E-2</v>
      </c>
      <c r="D82" s="94" cm="1">
        <f t="array" ref="D82">Svensson(betas_real_spot,A82)</f>
        <v>5.8833770936156458E-2</v>
      </c>
      <c r="E82" s="94">
        <f t="shared" si="3"/>
        <v>5.8700584051941895E-2</v>
      </c>
      <c r="F82" s="94"/>
    </row>
    <row r="83" spans="1:6">
      <c r="A83">
        <f t="shared" si="2"/>
        <v>5670</v>
      </c>
      <c r="B83" s="94" cm="1">
        <f t="array" ref="B83">Svensson(betas_pre,A83)</f>
        <v>0.12101864611878055</v>
      </c>
      <c r="C83" s="94" cm="1">
        <f t="array" ref="C83">Svensson(betas_real_ytm,A83)</f>
        <v>5.8725143902619112E-2</v>
      </c>
      <c r="D83" s="94" cm="1">
        <f t="array" ref="D83">Svensson(betas_real_spot,A83)</f>
        <v>5.8830098144124585E-2</v>
      </c>
      <c r="E83" s="94">
        <f t="shared" si="3"/>
        <v>5.8733264273142183E-2</v>
      </c>
      <c r="F83" s="94"/>
    </row>
    <row r="84" spans="1:6">
      <c r="A84">
        <f t="shared" si="2"/>
        <v>5796</v>
      </c>
      <c r="B84" s="94" cm="1">
        <f t="array" ref="B84">Svensson(betas_pre,A84)</f>
        <v>0.12104802424159135</v>
      </c>
      <c r="C84" s="94" cm="1">
        <f t="array" ref="C84">Svensson(betas_real_ytm,A84)</f>
        <v>5.8724401031632484E-2</v>
      </c>
      <c r="D84" s="94" cm="1">
        <f t="array" ref="D84">Svensson(betas_real_spot,A84)</f>
        <v>5.8825963427527474E-2</v>
      </c>
      <c r="E84" s="94">
        <f t="shared" si="3"/>
        <v>5.8765144568843741E-2</v>
      </c>
      <c r="F84" s="94"/>
    </row>
    <row r="85" spans="1:6">
      <c r="A85">
        <f t="shared" si="2"/>
        <v>5922</v>
      </c>
      <c r="B85" s="94" cm="1">
        <f t="array" ref="B85">Svensson(betas_pre,A85)</f>
        <v>0.12107615142283511</v>
      </c>
      <c r="C85" s="94" cm="1">
        <f t="array" ref="C85">Svensson(betas_real_ytm,A85)</f>
        <v>5.8723455746398451E-2</v>
      </c>
      <c r="D85" s="94" cm="1">
        <f t="array" ref="D85">Svensson(betas_real_spot,A85)</f>
        <v>5.8821468576887782E-2</v>
      </c>
      <c r="E85" s="94">
        <f t="shared" si="3"/>
        <v>5.8796203792147228E-2</v>
      </c>
      <c r="F85" s="94"/>
    </row>
    <row r="86" spans="1:6">
      <c r="A86">
        <f t="shared" si="2"/>
        <v>6048</v>
      </c>
      <c r="B86" s="94" cm="1">
        <f t="array" ref="B86">Svensson(betas_pre,A86)</f>
        <v>0.12110310589586827</v>
      </c>
      <c r="C86" s="94" cm="1">
        <f t="array" ref="C86">Svensson(betas_real_ytm,A86)</f>
        <v>5.8722353476986421E-2</v>
      </c>
      <c r="D86" s="94" cm="1">
        <f t="array" ref="D86">Svensson(betas_real_spot,A86)</f>
        <v>5.8816699288982671E-2</v>
      </c>
      <c r="E86" s="94">
        <f t="shared" si="3"/>
        <v>5.8826430154258258E-2</v>
      </c>
      <c r="F86" s="94"/>
    </row>
    <row r="87" spans="1:6">
      <c r="A87">
        <f t="shared" si="2"/>
        <v>6174</v>
      </c>
      <c r="B87" s="94" cm="1">
        <f t="array" ref="B87">Svensson(betas_pre,A87)</f>
        <v>0.12112895950369831</v>
      </c>
      <c r="C87" s="94" cm="1">
        <f t="array" ref="C87">Svensson(betas_real_ytm,A87)</f>
        <v>5.8721131654684643E-2</v>
      </c>
      <c r="D87" s="94" cm="1">
        <f t="array" ref="D87">Svensson(betas_real_spot,A87)</f>
        <v>5.8811727450412167E-2</v>
      </c>
      <c r="E87" s="94">
        <f t="shared" si="3"/>
        <v>5.8855819630317496E-2</v>
      </c>
      <c r="F87" s="94"/>
    </row>
    <row r="88" spans="1:6">
      <c r="A88">
        <f t="shared" si="2"/>
        <v>6300</v>
      </c>
      <c r="B88" s="94" cm="1">
        <f t="array" ref="B88">Svensson(betas_pre,A88)</f>
        <v>0.1211537783384013</v>
      </c>
      <c r="C88" s="94" cm="1">
        <f t="array" ref="C88">Svensson(betas_real_ytm,A88)</f>
        <v>5.8719821009796967E-2</v>
      </c>
      <c r="D88" s="94" cm="1">
        <f t="array" ref="D88">Svensson(betas_real_spot,A88)</f>
        <v>5.8806613127942872E-2</v>
      </c>
      <c r="E88" s="94">
        <f t="shared" si="3"/>
        <v>5.888437457551543E-2</v>
      </c>
      <c r="F88" s="94"/>
    </row>
    <row r="89" spans="1:6">
      <c r="A89">
        <f t="shared" si="2"/>
        <v>6426</v>
      </c>
      <c r="B89" s="94" cm="1">
        <f t="array" ref="B89">Svensson(betas_pre,A89)</f>
        <v>0.12117762330527405</v>
      </c>
      <c r="C89" s="94" cm="1">
        <f t="array" ref="C89">Svensson(betas_real_ytm,A89)</f>
        <v>5.8718446673106689E-2</v>
      </c>
      <c r="D89" s="94" cm="1">
        <f t="array" ref="D89">Svensson(betas_real_spot,A89)</f>
        <v>5.8801406297078584E-2</v>
      </c>
      <c r="E89" s="94">
        <f t="shared" si="3"/>
        <v>5.8912102531429866E-2</v>
      </c>
      <c r="F89" s="94"/>
    </row>
    <row r="90" spans="1:6">
      <c r="A90">
        <f t="shared" si="2"/>
        <v>6552</v>
      </c>
      <c r="B90" s="94" cm="1">
        <f t="array" ref="B90">Svensson(betas_pre,A90)</f>
        <v>0.12120055062185123</v>
      </c>
      <c r="C90" s="94" cm="1">
        <f t="array" ref="C90">Svensson(betas_real_ytm,A90)</f>
        <v>5.8717029107777104E-2</v>
      </c>
      <c r="D90" s="94" cm="1">
        <f t="array" ref="D90">Svensson(betas_real_spot,A90)</f>
        <v>5.8796148338500429E-2</v>
      </c>
      <c r="E90" s="94">
        <f t="shared" si="3"/>
        <v>5.8939015202575051E-2</v>
      </c>
      <c r="F90" s="94"/>
    </row>
    <row r="91" spans="1:6">
      <c r="A91">
        <f t="shared" si="2"/>
        <v>6678</v>
      </c>
      <c r="B91" s="94" cm="1">
        <f t="array" ref="B91">Svensson(betas_pre,A91)</f>
        <v>0.12122261226040204</v>
      </c>
      <c r="C91" s="94" cm="1">
        <f t="array" ref="C91">Svensson(betas_real_ytm,A91)</f>
        <v>5.8715584895540143E-2</v>
      </c>
      <c r="D91" s="94" cm="1">
        <f t="array" ref="D91">Svensson(betas_real_spot,A91)</f>
        <v>5.879087332983398E-2</v>
      </c>
      <c r="E91" s="94">
        <f t="shared" si="3"/>
        <v>5.8965127583905375E-2</v>
      </c>
      <c r="F91" s="94"/>
    </row>
    <row r="92" spans="1:6">
      <c r="A92">
        <f t="shared" si="2"/>
        <v>6804</v>
      </c>
      <c r="B92" s="94" cm="1">
        <f t="array" ref="B92">Svensson(betas_pre,A92)</f>
        <v>0.12124385634122947</v>
      </c>
      <c r="C92" s="94" cm="1">
        <f t="array" ref="C92">Svensson(betas_real_ytm,A92)</f>
        <v>5.8714127398211989E-2</v>
      </c>
      <c r="D92" s="94" cm="1">
        <f t="array" ref="D92">Svensson(betas_real_spot,A92)</f>
        <v>5.8785609157827011E-2</v>
      </c>
      <c r="E92" s="94">
        <f t="shared" si="3"/>
        <v>5.8990457221157921E-2</v>
      </c>
      <c r="F92" s="94"/>
    </row>
    <row r="93" spans="1:6">
      <c r="A93">
        <f t="shared" si="2"/>
        <v>6930</v>
      </c>
      <c r="B93" s="94" cm="1">
        <f t="array" ref="B93">Svensson(betas_pre,A93)</f>
        <v>0.12126432748304375</v>
      </c>
      <c r="C93" s="94" cm="1">
        <f t="array" ref="C93">Svensson(betas_real_ytm,A93)</f>
        <v>5.8712667312951876E-2</v>
      </c>
      <c r="D93" s="94" cm="1">
        <f t="array" ref="D93">Svensson(betas_real_spot,A93)</f>
        <v>5.878037847361367E-2</v>
      </c>
      <c r="E93" s="94">
        <f t="shared" si="3"/>
        <v>5.9015023587337234E-2</v>
      </c>
      <c r="F93" s="94"/>
    </row>
    <row r="94" spans="1:6">
      <c r="A94">
        <f t="shared" si="2"/>
        <v>7056</v>
      </c>
      <c r="B94" s="94" cm="1">
        <f t="array" ref="B94">Svensson(betas_pre,A94)</f>
        <v>0.1212840671157738</v>
      </c>
      <c r="C94" s="94" cm="1">
        <f t="array" ref="C94">Svensson(betas_real_ytm,A94)</f>
        <v>5.8711213137263088E-2</v>
      </c>
      <c r="D94" s="94" cm="1">
        <f t="array" ref="D94">Svensson(betas_real_spot,A94)</f>
        <v>5.8775199511379231E-2</v>
      </c>
      <c r="E94" s="94">
        <f t="shared" si="3"/>
        <v>5.9038847560126229E-2</v>
      </c>
      <c r="F94" s="94"/>
    </row>
    <row r="95" spans="1:6">
      <c r="A95">
        <f t="shared" si="2"/>
        <v>7182</v>
      </c>
      <c r="B95" s="94" cm="1">
        <f t="array" ref="B95">Svensson(betas_pre,A95)</f>
        <v>0.12130311376043382</v>
      </c>
      <c r="C95" s="94" cm="1">
        <f t="array" ref="C95">Svensson(betas_real_ytm,A95)</f>
        <v>5.8709771557568499E-2</v>
      </c>
      <c r="D95" s="94" cm="1">
        <f t="array" ref="D95">Svensson(betas_real_spot,A95)</f>
        <v>5.877008678849871E-2</v>
      </c>
      <c r="E95" s="94">
        <f t="shared" si="3"/>
        <v>5.906195098655731E-2</v>
      </c>
      <c r="F95" s="94"/>
    </row>
    <row r="96" spans="1:6">
      <c r="A96">
        <f t="shared" si="2"/>
        <v>7308</v>
      </c>
      <c r="B96" s="94" cm="1">
        <f t="array" ref="B96">Svensson(betas_pre,A96)</f>
        <v>0.12132150328002388</v>
      </c>
      <c r="C96" s="94" cm="1">
        <f t="array" ref="C96">Svensson(betas_real_ytm,A96)</f>
        <v>5.8708347773247738E-2</v>
      </c>
      <c r="D96" s="94" cm="1">
        <f t="array" ref="D96">Svensson(betas_real_spot,A96)</f>
        <v>5.8765051703126493E-2</v>
      </c>
      <c r="E96" s="94">
        <f t="shared" si="3"/>
        <v>5.9084356322745446E-2</v>
      </c>
      <c r="F96" s="94"/>
    </row>
    <row r="97" spans="1:6">
      <c r="A97">
        <f t="shared" si="2"/>
        <v>7434</v>
      </c>
      <c r="B97" s="94" cm="1">
        <f t="array" ref="B97">Svensson(betas_pre,A97)</f>
        <v>0.12133926910490082</v>
      </c>
      <c r="C97" s="94" cm="1">
        <f t="array" ref="C97">Svensson(betas_real_ytm,A97)</f>
        <v>5.8706945766316021E-2</v>
      </c>
      <c r="D97" s="94" cm="1">
        <f t="array" ref="D97">Svensson(betas_real_spot,A97)</f>
        <v>5.8760103043291614E-2</v>
      </c>
      <c r="E97" s="94">
        <f t="shared" si="3"/>
        <v>5.9106086337908037E-2</v>
      </c>
      <c r="F97" s="94"/>
    </row>
    <row r="98" spans="1:6">
      <c r="A98">
        <f t="shared" si="2"/>
        <v>7560</v>
      </c>
      <c r="B98" s="94" cm="1">
        <f t="array" ref="B98">Svensson(betas_pre,A98)</f>
        <v>0.12135644243560173</v>
      </c>
      <c r="C98" s="94" cm="1">
        <f t="array" ref="C98">Svensson(betas_real_ytm,A98)</f>
        <v>5.8705568525424016E-2</v>
      </c>
      <c r="D98" s="94" cm="1">
        <f t="array" ref="D98">Svensson(betas_real_spot,A98)</f>
        <v>5.8755247419807206E-2</v>
      </c>
      <c r="E98" s="94">
        <f t="shared" si="3"/>
        <v>5.9127163873193611E-2</v>
      </c>
      <c r="F98" s="94"/>
    </row>
    <row r="99" spans="1:6">
      <c r="A99">
        <f t="shared" si="2"/>
        <v>7686</v>
      </c>
      <c r="B99" s="94" cm="1">
        <f t="array" ref="B99">Svensson(betas_pre,A99)</f>
        <v>0.12137305242570712</v>
      </c>
      <c r="C99" s="94" cm="1">
        <f t="array" ref="C99">Svensson(betas_real_ytm,A99)</f>
        <v>5.8704218231554264E-2</v>
      </c>
      <c r="D99" s="94" cm="1">
        <f t="array" ref="D99">Svensson(betas_real_spot,A99)</f>
        <v>5.8750489633729717E-2</v>
      </c>
      <c r="E99" s="94">
        <f t="shared" si="3"/>
        <v>5.9147611647047738E-2</v>
      </c>
      <c r="F99" s="94"/>
    </row>
    <row r="100" spans="1:6">
      <c r="A100">
        <f t="shared" si="2"/>
        <v>7812</v>
      </c>
      <c r="B100" s="94" cm="1">
        <f t="array" ref="B100">Svensson(betas_pre,A100)</f>
        <v>0.12138912634699857</v>
      </c>
      <c r="C100" s="94" cm="1">
        <f t="array" ref="C100">Svensson(betas_real_ytm,A100)</f>
        <v>5.8702896411666892E-2</v>
      </c>
      <c r="D100" s="94" cm="1">
        <f t="array" ref="D100">Svensson(betas_real_spot,A100)</f>
        <v>5.8745832987700156E-2</v>
      </c>
      <c r="E100" s="94">
        <f t="shared" si="3"/>
        <v>5.9167452099928353E-2</v>
      </c>
      <c r="F100" s="94"/>
    </row>
    <row r="101" spans="1:6">
      <c r="A101">
        <f t="shared" si="2"/>
        <v>7938</v>
      </c>
      <c r="B101" s="94" cm="1">
        <f t="array" ref="B101">Svensson(betas_pre,A101)</f>
        <v>0.12140468973888056</v>
      </c>
      <c r="C101" s="94" cm="1">
        <f t="array" ref="C101">Svensson(betas_real_ytm,A101)</f>
        <v>5.8701604065573586E-2</v>
      </c>
      <c r="D101" s="94" cm="1">
        <f t="array" ref="D101">Svensson(betas_real_spot,A101)</f>
        <v>5.8741279549263052E-2</v>
      </c>
      <c r="E101" s="94">
        <f t="shared" si="3"/>
        <v>5.9186707272144146E-2</v>
      </c>
      <c r="F101" s="94"/>
    </row>
    <row r="102" spans="1:6">
      <c r="A102">
        <f t="shared" si="2"/>
        <v>8064</v>
      </c>
      <c r="B102" s="94" cm="1">
        <f t="array" ref="B102">Svensson(betas_pre,A102)</f>
        <v>0.12141976654378647</v>
      </c>
      <c r="C102" s="94" cm="1">
        <f t="array" ref="C102">Svensson(betas_real_ytm,A102)</f>
        <v>5.8700341770493263E-2</v>
      </c>
      <c r="D102" s="94" cm="1">
        <f t="array" ref="D102">Svensson(betas_real_spot,A102)</f>
        <v>5.8736830373152145E-2</v>
      </c>
      <c r="E102" s="94">
        <f t="shared" si="3"/>
        <v>5.9205398709461843E-2</v>
      </c>
      <c r="F102" s="94"/>
    </row>
    <row r="103" spans="1:6">
      <c r="A103">
        <f t="shared" ref="A103:A117" si="4">+A102+126</f>
        <v>8190</v>
      </c>
      <c r="B103" s="94" cm="1">
        <f t="array" ref="B103">Svensson(betas_pre,A103)</f>
        <v>0.12143437923007956</v>
      </c>
      <c r="C103" s="94" cm="1">
        <f t="array" ref="C103">Svensson(betas_real_ytm,A103)</f>
        <v>5.8699109767029946E-2</v>
      </c>
      <c r="D103" s="94" cm="1">
        <f t="array" ref="D103">Svensson(betas_real_spot,A103)</f>
        <v>5.873248568858002E-2</v>
      </c>
      <c r="E103" s="94">
        <f t="shared" si="3"/>
        <v>5.9223547391879183E-2</v>
      </c>
      <c r="F103" s="94"/>
    </row>
    <row r="104" spans="1:6">
      <c r="A104">
        <f t="shared" si="4"/>
        <v>8316</v>
      </c>
      <c r="B104" s="94" cm="1">
        <f t="array" ref="B104">Svensson(betas_pre,A104)</f>
        <v>0.12144854890377753</v>
      </c>
      <c r="C104" s="94" cm="1">
        <f t="array" ref="C104">Svensson(betas_real_ytm,A104)</f>
        <v>5.8697908029717617E-2</v>
      </c>
      <c r="D104" s="94" cm="1">
        <f t="array" ref="D104">Svensson(betas_real_spot,A104)</f>
        <v>5.8728245056719634E-2</v>
      </c>
      <c r="E104" s="94">
        <f t="shared" si="3"/>
        <v>5.9241173681635173E-2</v>
      </c>
      <c r="F104" s="94"/>
    </row>
    <row r="105" spans="1:6">
      <c r="A105">
        <f t="shared" si="4"/>
        <v>8442</v>
      </c>
      <c r="B105" s="94" cm="1">
        <f t="array" ref="B105">Svensson(betas_pre,A105)</f>
        <v>0.12146229541026465</v>
      </c>
      <c r="C105" s="94" cm="1">
        <f t="array" ref="C105">Svensson(betas_real_ytm,A105)</f>
        <v>5.8696736324761467E-2</v>
      </c>
      <c r="D105" s="94" cm="1">
        <f t="array" ref="D105">Svensson(betas_real_spot,A105)</f>
        <v>5.8724107502841509E-2</v>
      </c>
      <c r="E105" s="94">
        <f t="shared" si="3"/>
        <v>5.9258297287100081E-2</v>
      </c>
      <c r="F105" s="94"/>
    </row>
    <row r="106" spans="1:6">
      <c r="A106">
        <f t="shared" si="4"/>
        <v>8568</v>
      </c>
      <c r="B106" s="94" cm="1">
        <f t="array" ref="B106">Svensson(betas_pre,A106)</f>
        <v>0.12147563742702855</v>
      </c>
      <c r="C106" s="94" cm="1">
        <f t="array" ref="C106">Svensson(betas_real_ytm,A106)</f>
        <v>5.8695594257174077E-2</v>
      </c>
      <c r="D106" s="94" cm="1">
        <f t="array" ref="D106">Svensson(betas_real_spot,A106)</f>
        <v>5.8720071626924483E-2</v>
      </c>
      <c r="E106" s="94">
        <f t="shared" si="3"/>
        <v>5.9274937239707004E-2</v>
      </c>
      <c r="F106" s="94"/>
    </row>
    <row r="107" spans="1:6">
      <c r="A107">
        <f t="shared" si="4"/>
        <v>8694</v>
      </c>
      <c r="B107" s="94" cm="1">
        <f t="array" ref="B107">Svensson(betas_pre,A107)</f>
        <v>0.12148859254832661</v>
      </c>
      <c r="C107" s="94" cm="1">
        <f t="array" ref="C107">Svensson(betas_real_ytm,A107)</f>
        <v>5.8694481309144543E-2</v>
      </c>
      <c r="D107" s="94" cm="1">
        <f t="array" ref="D107">Svensson(betas_real_spot,A107)</f>
        <v>5.8716135696018613E-2</v>
      </c>
      <c r="E107" s="94">
        <f t="shared" si="3"/>
        <v>5.929111188150582E-2</v>
      </c>
      <c r="F107" s="94"/>
    </row>
    <row r="108" spans="1:6">
      <c r="A108">
        <f t="shared" si="4"/>
        <v>8820</v>
      </c>
      <c r="B108" s="94" cm="1">
        <f t="array" ref="B108">Svensson(betas_pre,A108)</f>
        <v>0.12150117736259312</v>
      </c>
      <c r="C108" s="94" cm="1">
        <f t="array" ref="C108">Svensson(betas_real_ytm,A108)</f>
        <v>5.8693396871170825E-2</v>
      </c>
      <c r="D108" s="94" cm="1">
        <f t="array" ref="D108">Svensson(betas_real_spot,A108)</f>
        <v>5.8712297721152343E-2</v>
      </c>
      <c r="E108" s="94">
        <f t="shared" si="3"/>
        <v>5.9306838861314937E-2</v>
      </c>
      <c r="F108" s="94"/>
    </row>
    <row r="109" spans="1:6">
      <c r="A109">
        <f t="shared" si="4"/>
        <v>8946</v>
      </c>
      <c r="B109" s="94" cm="1">
        <f t="array" ref="B109">Svensson(betas_pre,A109)</f>
        <v>0.12151340752330267</v>
      </c>
      <c r="C109" s="94" cm="1">
        <f t="array" ref="C109">Svensson(betas_real_ytm,A109)</f>
        <v>5.8692340267224689E-2</v>
      </c>
      <c r="D109" s="94" cm="1">
        <f t="array" ref="D109">Svensson(betas_real_spot,A109)</f>
        <v>5.8708555521175355E-2</v>
      </c>
      <c r="E109" s="94">
        <f t="shared" si="3"/>
        <v>5.9322135137757748E-2</v>
      </c>
      <c r="F109" s="94"/>
    </row>
    <row r="110" spans="1:6">
      <c r="A110">
        <f t="shared" si="4"/>
        <v>9072</v>
      </c>
      <c r="B110" s="94" cm="1">
        <f t="array" ref="B110">Svensson(betas_pre,A110)</f>
        <v>0.12152529781392553</v>
      </c>
      <c r="C110" s="94" cm="1">
        <f t="array" ref="C110">Svensson(betas_real_ytm,A110)</f>
        <v>5.8691310775010351E-2</v>
      </c>
      <c r="D110" s="94" cm="1">
        <f t="array" ref="D110">Svensson(betas_real_spot,A110)</f>
        <v>5.8704906775569957E-2</v>
      </c>
      <c r="E110" s="94">
        <f t="shared" si="3"/>
        <v>5.9337016987749402E-2</v>
      </c>
      <c r="F110" s="94"/>
    </row>
    <row r="111" spans="1:6">
      <c r="A111">
        <f t="shared" si="4"/>
        <v>9198</v>
      </c>
      <c r="B111" s="94" cm="1">
        <f t="array" ref="B111">Svensson(betas_pre,A111)</f>
        <v>0.12153686220754086</v>
      </c>
      <c r="C111" s="94" cm="1">
        <f t="array" ref="C111">Svensson(betas_real_ytm,A111)</f>
        <v>5.8690307642193698E-2</v>
      </c>
      <c r="D111" s="94" cm="1">
        <f t="array" ref="D111">Svensson(betas_real_spot,A111)</f>
        <v>5.8701349067961768E-2</v>
      </c>
      <c r="E111" s="94">
        <f t="shared" si="3"/>
        <v>5.9351500019242387E-2</v>
      </c>
      <c r="F111" s="94"/>
    </row>
    <row r="112" spans="1:6">
      <c r="A112">
        <f t="shared" si="4"/>
        <v>9324</v>
      </c>
      <c r="B112" s="94" cm="1">
        <f t="array" ref="B112">Svensson(betas_pre,A112)</f>
        <v>0.12154811392161669</v>
      </c>
      <c r="C112" s="94" cm="1">
        <f t="array" ref="C112">Svensson(betas_real_ytm,A112)</f>
        <v>5.8689330099325768E-2</v>
      </c>
      <c r="D112" s="94" cm="1">
        <f t="array" ref="D112">Svensson(betas_real_spot,A112)</f>
        <v>5.8697879921806133E-2</v>
      </c>
      <c r="E112" s="94">
        <f t="shared" si="3"/>
        <v>5.9365599187232387E-2</v>
      </c>
      <c r="F112" s="94"/>
    </row>
    <row r="113" spans="1:6">
      <c r="A113">
        <f t="shared" si="4"/>
        <v>9450</v>
      </c>
      <c r="B113" s="94" cm="1">
        <f t="array" ref="B113">Svensson(betas_pre,A113)</f>
        <v>0.12155906546840314</v>
      </c>
      <c r="C113" s="94" cm="1">
        <f t="array" ref="C113">Svensson(betas_real_ytm,A113)</f>
        <v>5.8688377370066616E-2</v>
      </c>
      <c r="D113" s="94" cm="1">
        <f t="array" ref="D113">Svensson(betas_real_spot,A113)</f>
        <v>5.8694496829496096E-2</v>
      </c>
      <c r="E113" s="94">
        <f t="shared" si="3"/>
        <v>5.9379328812201759E-2</v>
      </c>
      <c r="F113" s="94"/>
    </row>
    <row r="114" spans="1:6">
      <c r="A114">
        <f t="shared" si="4"/>
        <v>9576</v>
      </c>
      <c r="B114" s="94" cm="1">
        <f t="array" ref="B114">Svensson(betas_pre,A114)</f>
        <v>0.12156972870134768</v>
      </c>
      <c r="C114" s="94" cm="1">
        <f t="array" ref="C114">Svensson(betas_real_ytm,A114)</f>
        <v>5.8687448679201969E-2</v>
      </c>
      <c r="D114" s="94" cm="1">
        <f t="array" ref="D114">Svensson(betas_real_spot,A114)</f>
        <v>5.8691197275956022E-2</v>
      </c>
      <c r="E114" s="94">
        <f t="shared" si="3"/>
        <v>5.939270260032381E-2</v>
      </c>
      <c r="F114" s="94"/>
    </row>
    <row r="115" spans="1:6">
      <c r="A115">
        <f t="shared" si="4"/>
        <v>9702</v>
      </c>
      <c r="B115" s="94" cm="1">
        <f t="array" ref="B115">Svensson(betas_pre,A115)</f>
        <v>0.12158011485789079</v>
      </c>
      <c r="C115" s="94" cm="1">
        <f t="array" ref="C115">Svensson(betas_real_ytm,A115)</f>
        <v>5.8686543258865569E-2</v>
      </c>
      <c r="D115" s="94" cm="1">
        <f t="array" ref="D115">Svensson(betas_real_spot,A115)</f>
        <v>5.8687978757617075E-2</v>
      </c>
      <c r="E115" s="94">
        <f t="shared" si="3"/>
        <v>5.9405733664869231E-2</v>
      </c>
      <c r="F115" s="94"/>
    </row>
    <row r="116" spans="1:6">
      <c r="A116">
        <f t="shared" si="4"/>
        <v>9828</v>
      </c>
      <c r="B116" s="94" cm="1">
        <f t="array" ref="B116">Svensson(betas_pre,A116)</f>
        <v>0.1215902345989701</v>
      </c>
      <c r="C116" s="94" cm="1">
        <f t="array" ref="C116">Svensson(betas_real_ytm,A116)</f>
        <v>5.8685660353302777E-2</v>
      </c>
      <c r="D116" s="94" cm="1">
        <f t="array" ref="D116">Svensson(betas_real_spot,A116)</f>
        <v>5.8684838797535485E-2</v>
      </c>
      <c r="E116" s="94">
        <f t="shared" si="3"/>
        <v>5.9418434548362153E-2</v>
      </c>
      <c r="F116" s="94"/>
    </row>
    <row r="117" spans="1:6">
      <c r="A117">
        <f t="shared" si="4"/>
        <v>9954</v>
      </c>
      <c r="B117" s="94" cm="1">
        <f t="array" ref="B117">Svensson(betas_pre,A117)</f>
        <v>0.12160009804552081</v>
      </c>
      <c r="C117" s="94" cm="1">
        <f t="array" ref="C117">Svensson(betas_real_ytm,A117)</f>
        <v>5.8684799222455154E-2</v>
      </c>
      <c r="D117" s="94" cm="1">
        <f t="array" ref="D117">Svensson(betas_real_spot,A117)</f>
        <v>5.86817749572979E-2</v>
      </c>
      <c r="E117" s="94">
        <f t="shared" si="3"/>
        <v>5.9430817245116563E-2</v>
      </c>
      <c r="F117" s="94"/>
    </row>
    <row r="118" spans="1:6">
      <c r="A118">
        <f t="shared" ref="A118:A125" si="5">+A117+126</f>
        <v>10080</v>
      </c>
      <c r="B118" s="94" cm="1">
        <f t="array" ref="B118">Svensson(betas_pre,A118)</f>
        <v>0.12160971481223885</v>
      </c>
      <c r="C118" s="94" cm="1">
        <f t="array" ref="C118">Svensson(betas_real_ytm,A118)</f>
        <v>5.8683959144592256E-2</v>
      </c>
      <c r="D118" s="94" cm="1">
        <f t="array" ref="D118">Svensson(betas_real_spot,A118)</f>
        <v>5.8678784846252746E-2</v>
      </c>
      <c r="E118" s="94">
        <f t="shared" si="3"/>
        <v>5.9442893223864202E-2</v>
      </c>
      <c r="F118" s="94"/>
    </row>
    <row r="119" spans="1:6">
      <c r="A119">
        <f t="shared" si="5"/>
        <v>10206</v>
      </c>
      <c r="B119" s="94" cm="1">
        <f t="array" ref="B119">Svensson(betas_pre,A119)</f>
        <v>0.12161909403884241</v>
      </c>
      <c r="C119" s="94" cm="1">
        <f t="array" ref="C119">Svensson(betas_real_ytm,A119)</f>
        <v>5.8683139418180694E-2</v>
      </c>
      <c r="D119" s="94" cm="1">
        <f t="array" ref="D119">Svensson(betas_real_spot,A119)</f>
        <v>5.8675866128527793E-2</v>
      </c>
      <c r="E119" s="94">
        <f t="shared" si="3"/>
        <v>5.9454673450233253E-2</v>
      </c>
      <c r="F119" s="94"/>
    </row>
    <row r="120" spans="1:6">
      <c r="A120">
        <f t="shared" si="5"/>
        <v>10332</v>
      </c>
      <c r="B120" s="94" cm="1">
        <f t="array" ref="B120">Svensson(betas_pre,A120)</f>
        <v>0.1216282444190448</v>
      </c>
      <c r="C120" s="94" cm="1">
        <f t="array" ref="C120">Svensson(betas_real_ytm,A120)</f>
        <v>5.8682339363139012E-2</v>
      </c>
      <c r="D120" s="94" cm="1">
        <f t="array" ref="D120">Svensson(betas_real_spot,A120)</f>
        <v>5.867301652821863E-2</v>
      </c>
      <c r="E120" s="94">
        <f t="shared" si="3"/>
        <v>5.9466168408901066E-2</v>
      </c>
      <c r="F120" s="94"/>
    </row>
    <row r="121" spans="1:6">
      <c r="A121">
        <f t="shared" si="5"/>
        <v>10458</v>
      </c>
      <c r="B121" s="94" cm="1">
        <f t="array" ref="B121">Svensson(betas_pre,A121)</f>
        <v>0.12163717422743121</v>
      </c>
      <c r="C121" s="94" cm="1">
        <f t="array" ref="C121">Svensson(betas_real_ytm,A121)</f>
        <v>5.8681558321609519E-2</v>
      </c>
      <c r="D121" s="94" cm="1">
        <f t="array" ref="D121">Svensson(betas_real_spot,A121)</f>
        <v>5.8670233833071024E-2</v>
      </c>
      <c r="E121" s="94">
        <f t="shared" si="3"/>
        <v>5.9477388125270148E-2</v>
      </c>
      <c r="F121" s="94"/>
    </row>
    <row r="122" spans="1:6">
      <c r="A122">
        <f t="shared" si="5"/>
        <v>10584</v>
      </c>
      <c r="B122" s="94" cm="1">
        <f t="array" ref="B122">Svensson(betas_pre,A122)</f>
        <v>0.1216458913444167</v>
      </c>
      <c r="C122" s="94" cm="1">
        <f t="array" ref="C122">Svensson(betas_real_ytm,A122)</f>
        <v>5.8680795658343984E-2</v>
      </c>
      <c r="D122" s="94" cm="1">
        <f t="array" ref="D122">Svensson(betas_real_spot,A122)</f>
        <v>5.866751589692943E-2</v>
      </c>
      <c r="E122" s="94">
        <f t="shared" si="3"/>
        <v>5.9488342186574394E-2</v>
      </c>
      <c r="F122" s="94"/>
    </row>
    <row r="123" spans="1:6">
      <c r="A123">
        <f t="shared" si="5"/>
        <v>10710</v>
      </c>
      <c r="B123" s="94" cm="1">
        <f t="array" ref="B123">Svensson(betas_pre,A123)</f>
        <v>0.12165440327944076</v>
      </c>
      <c r="C123" s="94" cm="1">
        <f t="array" ref="C123">Svensson(betas_real_ytm,A123)</f>
        <v>5.868005076079013E-2</v>
      </c>
      <c r="D123" s="94" cm="1">
        <f t="array" ref="D123">Svensson(betas_real_spot,A123)</f>
        <v>5.8664860641180171E-2</v>
      </c>
      <c r="E123" s="94">
        <f t="shared" si="3"/>
        <v>5.9499039762320072E-2</v>
      </c>
      <c r="F123" s="94"/>
    </row>
    <row r="124" spans="1:6">
      <c r="A124">
        <f t="shared" si="5"/>
        <v>10836</v>
      </c>
      <c r="B124" s="94" cm="1">
        <f t="array" ref="B124">Svensson(betas_pre,A124)</f>
        <v>0.12166271719254278</v>
      </c>
      <c r="C124" s="94" cm="1">
        <f t="array" ref="C124">Svensson(betas_real_ytm,A124)</f>
        <v>5.8679323038943548E-2</v>
      </c>
      <c r="D124" s="94" cm="1">
        <f t="array" ref="D124">Svensson(betas_real_spot,A124)</f>
        <v>5.866226605537958E-2</v>
      </c>
      <c r="E124" s="94">
        <f t="shared" si="3"/>
        <v>5.9509489624019363E-2</v>
      </c>
      <c r="F124" s="94"/>
    </row>
    <row r="125" spans="1:6">
      <c r="A125">
        <f t="shared" si="5"/>
        <v>10962</v>
      </c>
      <c r="B125" s="94" cm="1">
        <f t="array" ref="B125">Svensson(betas_pre,A125)</f>
        <v>0.12167083991445039</v>
      </c>
      <c r="C125" s="94" cm="1">
        <f t="array" ref="C125">Svensson(betas_real_ytm,A125)</f>
        <v>5.8678611925022946E-2</v>
      </c>
      <c r="D125" s="94" cm="1">
        <f t="array" ref="D125">Svensson(betas_real_spot,A125)</f>
        <v>5.8659730197226798E-2</v>
      </c>
      <c r="E125" s="94">
        <f t="shared" si="3"/>
        <v>5.9519700164173406E-2</v>
      </c>
      <c r="F125" s="94"/>
    </row>
    <row r="126" spans="1:6">
      <c r="A126">
        <f t="shared" ref="A126" si="6">+A125+126</f>
        <v>11088</v>
      </c>
      <c r="B126" s="94" cm="1">
        <f t="array" ref="B126">Svensson(betas_pre,A126)</f>
        <v>0.12167877796529597</v>
      </c>
      <c r="C126" s="94" cm="1">
        <f t="array" ref="C126">Svensson(betas_real_ytm,A126)</f>
        <v>5.867791687300862E-2</v>
      </c>
      <c r="D126" s="94" cm="1">
        <f t="array" ref="D126">Svensson(betas_real_spot,A126)</f>
        <v>5.865725119201428E-2</v>
      </c>
      <c r="E126" s="94">
        <f t="shared" si="3"/>
        <v>5.952967941448617E-2</v>
      </c>
      <c r="F126" s="9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379C2-6447-1C48-A670-CE90A6FD78FC}">
  <sheetPr codeName="Pre_DI"/>
  <dimension ref="A1:F40"/>
  <sheetViews>
    <sheetView showGridLines="0" workbookViewId="0">
      <selection activeCell="E8" sqref="E8"/>
    </sheetView>
  </sheetViews>
  <sheetFormatPr baseColWidth="10" defaultRowHeight="16"/>
  <sheetData>
    <row r="1" spans="1:6">
      <c r="A1" s="8" t="s">
        <v>18</v>
      </c>
      <c r="B1" s="8" t="s">
        <v>59</v>
      </c>
      <c r="C1" s="8" t="s">
        <v>58</v>
      </c>
      <c r="D1" s="8" t="s">
        <v>1</v>
      </c>
      <c r="E1" s="8" t="s">
        <v>57</v>
      </c>
      <c r="F1" s="8" t="s">
        <v>60</v>
      </c>
    </row>
    <row r="2" spans="1:6">
      <c r="A2" s="32">
        <f>val_date</f>
        <v>44830</v>
      </c>
      <c r="B2" s="9" t="s">
        <v>134</v>
      </c>
      <c r="C2" s="33"/>
      <c r="D2" s="32"/>
      <c r="E2" s="34">
        <v>1</v>
      </c>
      <c r="F2" s="35">
        <v>0.13650000000000001</v>
      </c>
    </row>
    <row r="3" spans="1:6">
      <c r="A3" s="32">
        <f>val_date</f>
        <v>44830</v>
      </c>
      <c r="B3" s="9" t="s">
        <v>19</v>
      </c>
      <c r="C3" s="33">
        <v>99746.41</v>
      </c>
      <c r="D3" s="32">
        <v>44837</v>
      </c>
      <c r="E3" s="34">
        <f>NETWORKDAYS(A3,D3,feriados)-1</f>
        <v>5</v>
      </c>
      <c r="F3" s="35">
        <f>(100000/C3)^(252/E3)-1</f>
        <v>0.13652082775956442</v>
      </c>
    </row>
    <row r="4" spans="1:6">
      <c r="A4" s="32">
        <f>val_date</f>
        <v>44830</v>
      </c>
      <c r="B4" s="9" t="s">
        <v>20</v>
      </c>
      <c r="C4" s="33">
        <v>98737.95</v>
      </c>
      <c r="D4" s="32">
        <v>44866</v>
      </c>
      <c r="E4" s="34">
        <f>NETWORKDAYS(A4,D4,feriados)-1</f>
        <v>25</v>
      </c>
      <c r="F4" s="35">
        <f t="shared" ref="F4:F40" si="0">(100000/C4)^(252/E4)-1</f>
        <v>0.1365805245335201</v>
      </c>
    </row>
    <row r="5" spans="1:6">
      <c r="A5" s="32">
        <f>val_date</f>
        <v>44830</v>
      </c>
      <c r="B5" s="9" t="s">
        <v>21</v>
      </c>
      <c r="C5" s="33">
        <v>97734.27</v>
      </c>
      <c r="D5" s="32">
        <v>44896</v>
      </c>
      <c r="E5" s="34">
        <f>NETWORKDAYS(A5,D5,feriados)-1</f>
        <v>45</v>
      </c>
      <c r="F5" s="35">
        <f t="shared" si="0"/>
        <v>0.13693990163713377</v>
      </c>
    </row>
    <row r="6" spans="1:6">
      <c r="A6" s="32">
        <f>val_date</f>
        <v>44830</v>
      </c>
      <c r="B6" s="9" t="s">
        <v>22</v>
      </c>
      <c r="C6" s="33">
        <v>96642.85</v>
      </c>
      <c r="D6" s="32">
        <v>44928</v>
      </c>
      <c r="E6" s="34">
        <f>NETWORKDAYS(A6,D6,feriados)-1</f>
        <v>67</v>
      </c>
      <c r="F6" s="35">
        <f t="shared" si="0"/>
        <v>0.13704990807779716</v>
      </c>
    </row>
    <row r="7" spans="1:6">
      <c r="A7" s="32">
        <f>val_date</f>
        <v>44830</v>
      </c>
      <c r="B7" s="9" t="s">
        <v>23</v>
      </c>
      <c r="C7" s="33">
        <v>95564.38</v>
      </c>
      <c r="D7" s="32">
        <v>44958</v>
      </c>
      <c r="E7" s="34">
        <f>NETWORKDAYS(A7,D7,feriados)-1</f>
        <v>89</v>
      </c>
      <c r="F7" s="35">
        <f t="shared" si="0"/>
        <v>0.13707986517992543</v>
      </c>
    </row>
    <row r="8" spans="1:6">
      <c r="A8" s="32">
        <f>val_date</f>
        <v>44830</v>
      </c>
      <c r="B8" s="9" t="s">
        <v>24</v>
      </c>
      <c r="C8" s="33">
        <v>94691.839999999997</v>
      </c>
      <c r="D8" s="32">
        <v>44986</v>
      </c>
      <c r="E8" s="34">
        <f>NETWORKDAYS(A8,D8,feriados)-1</f>
        <v>107</v>
      </c>
      <c r="F8" s="35">
        <f t="shared" si="0"/>
        <v>0.13707013296373893</v>
      </c>
    </row>
    <row r="9" spans="1:6">
      <c r="A9" s="32">
        <f>val_date</f>
        <v>44830</v>
      </c>
      <c r="B9" s="9" t="s">
        <v>25</v>
      </c>
      <c r="C9" s="33">
        <v>93580.51</v>
      </c>
      <c r="D9" s="32">
        <v>45019</v>
      </c>
      <c r="E9" s="34">
        <f>NETWORKDAYS(A9,D9,feriados)-1</f>
        <v>130</v>
      </c>
      <c r="F9" s="35">
        <f t="shared" si="0"/>
        <v>0.13725008749067968</v>
      </c>
    </row>
    <row r="10" spans="1:6">
      <c r="A10" s="32">
        <f>val_date</f>
        <v>44830</v>
      </c>
      <c r="B10" s="9" t="s">
        <v>26</v>
      </c>
      <c r="C10" s="33">
        <v>92762.61</v>
      </c>
      <c r="D10" s="32">
        <v>45048</v>
      </c>
      <c r="E10" s="34">
        <f>NETWORKDAYS(A10,D10,feriados)-1</f>
        <v>148</v>
      </c>
      <c r="F10" s="35">
        <f t="shared" si="0"/>
        <v>0.13645998801736048</v>
      </c>
    </row>
    <row r="11" spans="1:6">
      <c r="A11" s="32">
        <f>val_date</f>
        <v>44830</v>
      </c>
      <c r="B11" s="9" t="s">
        <v>27</v>
      </c>
      <c r="C11" s="33">
        <v>91698.16</v>
      </c>
      <c r="D11" s="32">
        <v>45078</v>
      </c>
      <c r="E11" s="34">
        <f>NETWORKDAYS(A11,D11,feriados)-1</f>
        <v>170</v>
      </c>
      <c r="F11" s="35">
        <f t="shared" si="0"/>
        <v>0.13709000930869952</v>
      </c>
    </row>
    <row r="12" spans="1:6">
      <c r="A12" s="32">
        <f>val_date</f>
        <v>44830</v>
      </c>
      <c r="B12" s="9" t="s">
        <v>28</v>
      </c>
      <c r="C12" s="33">
        <v>90778.559999999998</v>
      </c>
      <c r="D12" s="32">
        <v>45110</v>
      </c>
      <c r="E12" s="34">
        <f>NETWORKDAYS(A12,D12,feriados)-1</f>
        <v>191</v>
      </c>
      <c r="F12" s="35">
        <f t="shared" si="0"/>
        <v>0.13614996682679914</v>
      </c>
    </row>
    <row r="13" spans="1:6">
      <c r="A13" s="32">
        <f>val_date</f>
        <v>44830</v>
      </c>
      <c r="B13" s="9" t="s">
        <v>29</v>
      </c>
      <c r="C13" s="33">
        <v>89872.63</v>
      </c>
      <c r="D13" s="32">
        <v>45139</v>
      </c>
      <c r="E13" s="34">
        <f>NETWORKDAYS(A13,D13,feriados)-1</f>
        <v>212</v>
      </c>
      <c r="F13" s="35">
        <f t="shared" si="0"/>
        <v>0.13532992897916563</v>
      </c>
    </row>
    <row r="14" spans="1:6">
      <c r="A14" s="32">
        <f>val_date</f>
        <v>44830</v>
      </c>
      <c r="B14" s="9" t="s">
        <v>30</v>
      </c>
      <c r="C14" s="33">
        <v>88914.21</v>
      </c>
      <c r="D14" s="32">
        <v>45170</v>
      </c>
      <c r="E14" s="34">
        <f>NETWORKDAYS(A14,D14,feriados)-1</f>
        <v>235</v>
      </c>
      <c r="F14" s="35">
        <f t="shared" si="0"/>
        <v>0.13427999556975778</v>
      </c>
    </row>
    <row r="15" spans="1:6">
      <c r="A15" s="32">
        <f>val_date</f>
        <v>44830</v>
      </c>
      <c r="B15" s="9" t="s">
        <v>31</v>
      </c>
      <c r="C15" s="33">
        <v>88122.28</v>
      </c>
      <c r="D15" s="32">
        <v>45201</v>
      </c>
      <c r="E15" s="34">
        <f>NETWORKDAYS(A15,D15,feriados)-1</f>
        <v>255</v>
      </c>
      <c r="F15" s="35">
        <f t="shared" si="0"/>
        <v>0.13309996079962594</v>
      </c>
    </row>
    <row r="16" spans="1:6">
      <c r="A16" s="32">
        <f>val_date</f>
        <v>44830</v>
      </c>
      <c r="B16" s="9" t="s">
        <v>32</v>
      </c>
      <c r="C16" s="33">
        <v>85838.54</v>
      </c>
      <c r="D16" s="32">
        <v>45293</v>
      </c>
      <c r="E16" s="34">
        <f>NETWORKDAYS(A16,D16,feriados)-1</f>
        <v>316</v>
      </c>
      <c r="F16" s="35">
        <f t="shared" si="0"/>
        <v>0.12950003664906817</v>
      </c>
    </row>
    <row r="17" spans="1:6">
      <c r="A17" s="32">
        <f>val_date</f>
        <v>44830</v>
      </c>
      <c r="B17" s="9" t="s">
        <v>33</v>
      </c>
      <c r="C17" s="33">
        <v>83699.69</v>
      </c>
      <c r="D17" s="32">
        <v>45383</v>
      </c>
      <c r="E17" s="34">
        <f>NETWORKDAYS(A17,D17,feriados)-1</f>
        <v>377</v>
      </c>
      <c r="F17" s="35">
        <f t="shared" si="0"/>
        <v>0.12630000149451881</v>
      </c>
    </row>
    <row r="18" spans="1:6">
      <c r="A18" s="32">
        <f>val_date</f>
        <v>44830</v>
      </c>
      <c r="B18" s="9" t="s">
        <v>34</v>
      </c>
      <c r="C18" s="33">
        <v>81671.23</v>
      </c>
      <c r="D18" s="32">
        <v>45474</v>
      </c>
      <c r="E18" s="34">
        <f>NETWORKDAYS(A18,D18,feriados)-1</f>
        <v>440</v>
      </c>
      <c r="F18" s="35">
        <f t="shared" si="0"/>
        <v>0.12295001861261023</v>
      </c>
    </row>
    <row r="19" spans="1:6">
      <c r="A19" s="32">
        <f>val_date</f>
        <v>44830</v>
      </c>
      <c r="B19" s="9" t="s">
        <v>35</v>
      </c>
      <c r="C19" s="33">
        <v>79597.759999999995</v>
      </c>
      <c r="D19" s="32">
        <v>45566</v>
      </c>
      <c r="E19" s="34">
        <f>NETWORKDAYS(A19,D19,feriados)-1</f>
        <v>506</v>
      </c>
      <c r="F19" s="35">
        <f t="shared" si="0"/>
        <v>0.12035002649057236</v>
      </c>
    </row>
    <row r="20" spans="1:6">
      <c r="A20" s="32">
        <f>val_date</f>
        <v>44830</v>
      </c>
      <c r="B20" s="9" t="s">
        <v>36</v>
      </c>
      <c r="C20" s="33">
        <v>77654.33</v>
      </c>
      <c r="D20" s="32">
        <v>45659</v>
      </c>
      <c r="E20" s="34">
        <f>NETWORKDAYS(A20,D20,feriados)-1</f>
        <v>570</v>
      </c>
      <c r="F20" s="35">
        <f t="shared" si="0"/>
        <v>0.11830001902557652</v>
      </c>
    </row>
    <row r="21" spans="1:6">
      <c r="A21" s="32">
        <f>val_date</f>
        <v>44830</v>
      </c>
      <c r="B21" s="9" t="s">
        <v>37</v>
      </c>
      <c r="C21" s="33">
        <v>75760.490000000005</v>
      </c>
      <c r="D21" s="32">
        <v>45748</v>
      </c>
      <c r="E21" s="34">
        <f>NETWORKDAYS(A21,D21,feriados)-1</f>
        <v>631</v>
      </c>
      <c r="F21" s="35">
        <f t="shared" si="0"/>
        <v>0.11723997666684016</v>
      </c>
    </row>
    <row r="22" spans="1:6">
      <c r="A22" s="32">
        <f>val_date</f>
        <v>44830</v>
      </c>
      <c r="B22" s="9" t="s">
        <v>38</v>
      </c>
      <c r="C22" s="33">
        <v>73816.12</v>
      </c>
      <c r="D22" s="32">
        <v>45839</v>
      </c>
      <c r="E22" s="34">
        <f>NETWORKDAYS(A22,D22,feriados)-1</f>
        <v>692</v>
      </c>
      <c r="F22" s="35">
        <f t="shared" si="0"/>
        <v>0.11690001798289962</v>
      </c>
    </row>
    <row r="23" spans="1:6">
      <c r="A23" s="32">
        <f>val_date</f>
        <v>44830</v>
      </c>
      <c r="B23" s="9" t="s">
        <v>39</v>
      </c>
      <c r="C23" s="33">
        <v>71649.56</v>
      </c>
      <c r="D23" s="32">
        <v>45931</v>
      </c>
      <c r="E23" s="34">
        <f>NETWORKDAYS(A23,D23,feriados)-1</f>
        <v>758</v>
      </c>
      <c r="F23" s="35">
        <f t="shared" si="0"/>
        <v>0.11721000585597352</v>
      </c>
    </row>
    <row r="24" spans="1:6">
      <c r="A24" s="32">
        <f>val_date</f>
        <v>44830</v>
      </c>
      <c r="B24" s="9" t="s">
        <v>40</v>
      </c>
      <c r="C24" s="33">
        <v>69693.36</v>
      </c>
      <c r="D24" s="32">
        <v>46024</v>
      </c>
      <c r="E24" s="34">
        <f>NETWORKDAYS(A24,D24,feriados)-1</f>
        <v>823</v>
      </c>
      <c r="F24" s="35">
        <f t="shared" si="0"/>
        <v>0.11690001572533792</v>
      </c>
    </row>
    <row r="25" spans="1:6">
      <c r="A25" s="32">
        <f>val_date</f>
        <v>44830</v>
      </c>
      <c r="B25" s="9" t="s">
        <v>41</v>
      </c>
      <c r="C25" s="33">
        <v>67852.98</v>
      </c>
      <c r="D25" s="32">
        <v>46113</v>
      </c>
      <c r="E25" s="34">
        <f>NETWORKDAYS(A25,D25,feriados)-1</f>
        <v>884</v>
      </c>
      <c r="F25" s="35">
        <f t="shared" si="0"/>
        <v>0.11689999262912432</v>
      </c>
    </row>
    <row r="26" spans="1:6">
      <c r="A26" s="32">
        <f>val_date</f>
        <v>44830</v>
      </c>
      <c r="B26" s="9" t="s">
        <v>42</v>
      </c>
      <c r="C26" s="33">
        <v>66072.28</v>
      </c>
      <c r="D26" s="32">
        <v>46204</v>
      </c>
      <c r="E26" s="34">
        <f>NETWORKDAYS(A26,D26,feriados)-1</f>
        <v>945</v>
      </c>
      <c r="F26" s="35">
        <f t="shared" si="0"/>
        <v>0.11685001673699813</v>
      </c>
    </row>
    <row r="27" spans="1:6">
      <c r="A27" s="32">
        <f>val_date</f>
        <v>44830</v>
      </c>
      <c r="B27" s="9" t="s">
        <v>43</v>
      </c>
      <c r="C27" s="33">
        <v>64222.39</v>
      </c>
      <c r="D27" s="32">
        <v>46296</v>
      </c>
      <c r="E27" s="34">
        <f>NETWORKDAYS(A27,D27,feriados)-1</f>
        <v>1010</v>
      </c>
      <c r="F27" s="35">
        <f t="shared" si="0"/>
        <v>0.11681999151572997</v>
      </c>
    </row>
    <row r="28" spans="1:6">
      <c r="A28" s="32">
        <f>val_date</f>
        <v>44830</v>
      </c>
      <c r="B28" s="9" t="s">
        <v>44</v>
      </c>
      <c r="C28" s="33">
        <v>62453.7</v>
      </c>
      <c r="D28" s="32">
        <v>46391</v>
      </c>
      <c r="E28" s="34">
        <f>NETWORKDAYS(A28,D28,feriados)-1</f>
        <v>1073</v>
      </c>
      <c r="F28" s="35">
        <f t="shared" si="0"/>
        <v>0.11690001506731984</v>
      </c>
    </row>
    <row r="29" spans="1:6">
      <c r="A29" s="32">
        <f>val_date</f>
        <v>44830</v>
      </c>
      <c r="B29" s="9" t="s">
        <v>45</v>
      </c>
      <c r="C29" s="33">
        <v>60806.7</v>
      </c>
      <c r="D29" s="32">
        <v>46478</v>
      </c>
      <c r="E29" s="34">
        <f>NETWORKDAYS(A29,D29,feriados)-1</f>
        <v>1133</v>
      </c>
      <c r="F29" s="35">
        <f t="shared" si="0"/>
        <v>0.11699998480022566</v>
      </c>
    </row>
    <row r="30" spans="1:6">
      <c r="A30" s="32">
        <f>val_date</f>
        <v>44830</v>
      </c>
      <c r="B30" s="9" t="s">
        <v>46</v>
      </c>
      <c r="C30" s="33">
        <v>59147.73</v>
      </c>
      <c r="D30" s="32">
        <v>46569</v>
      </c>
      <c r="E30" s="34">
        <f>NETWORKDAYS(A30,D30,feriados)-1</f>
        <v>1196</v>
      </c>
      <c r="F30" s="35">
        <f t="shared" si="0"/>
        <v>0.11700001797792581</v>
      </c>
    </row>
    <row r="31" spans="1:6">
      <c r="A31" s="32">
        <f>val_date</f>
        <v>44830</v>
      </c>
      <c r="B31" s="9" t="s">
        <v>47</v>
      </c>
      <c r="C31" s="33">
        <v>55836.4</v>
      </c>
      <c r="D31" s="32">
        <v>46755</v>
      </c>
      <c r="E31" s="34">
        <f>NETWORKDAYS(A31,D31,feriados)-1</f>
        <v>1324</v>
      </c>
      <c r="F31" s="35">
        <f t="shared" si="0"/>
        <v>0.11729999838347216</v>
      </c>
    </row>
    <row r="32" spans="1:6">
      <c r="A32" s="32">
        <f>val_date</f>
        <v>44830</v>
      </c>
      <c r="B32" s="9" t="s">
        <v>48</v>
      </c>
      <c r="C32" s="33">
        <v>49789.56</v>
      </c>
      <c r="D32" s="32">
        <v>47120</v>
      </c>
      <c r="E32" s="34">
        <f>NETWORKDAYS(A32,D32,feriados)-1</f>
        <v>1573</v>
      </c>
      <c r="F32" s="35">
        <f t="shared" si="0"/>
        <v>0.11819999481777921</v>
      </c>
    </row>
    <row r="33" spans="1:6">
      <c r="A33" s="32">
        <f>val_date</f>
        <v>44830</v>
      </c>
      <c r="B33" s="9" t="s">
        <v>49</v>
      </c>
      <c r="C33" s="33">
        <v>44522.8</v>
      </c>
      <c r="D33" s="32">
        <v>47485</v>
      </c>
      <c r="E33" s="34">
        <f>NETWORKDAYS(A33,D33,feriados)-1</f>
        <v>1823</v>
      </c>
      <c r="F33" s="35">
        <f t="shared" si="0"/>
        <v>0.11834999154204762</v>
      </c>
    </row>
    <row r="34" spans="1:6">
      <c r="A34" s="32">
        <f>val_date</f>
        <v>44830</v>
      </c>
      <c r="B34" s="9" t="s">
        <v>50</v>
      </c>
      <c r="C34" s="33">
        <v>39603.46</v>
      </c>
      <c r="D34" s="32">
        <v>47850</v>
      </c>
      <c r="E34" s="34">
        <f>NETWORKDAYS(A34,D34,feriados)-1</f>
        <v>2076</v>
      </c>
      <c r="F34" s="35">
        <f t="shared" si="0"/>
        <v>0.11899998952083468</v>
      </c>
    </row>
    <row r="35" spans="1:6">
      <c r="A35" s="32">
        <f>val_date</f>
        <v>44830</v>
      </c>
      <c r="B35" s="9" t="s">
        <v>51</v>
      </c>
      <c r="C35" s="33">
        <v>35346.839999999997</v>
      </c>
      <c r="D35" s="32">
        <v>48215</v>
      </c>
      <c r="E35" s="34">
        <f>NETWORKDAYS(A35,D35,feriados)-1</f>
        <v>2329</v>
      </c>
      <c r="F35" s="35">
        <f t="shared" si="0"/>
        <v>0.11909999128726056</v>
      </c>
    </row>
    <row r="36" spans="1:6">
      <c r="A36" s="32">
        <f>val_date</f>
        <v>44830</v>
      </c>
      <c r="B36" s="9" t="s">
        <v>52</v>
      </c>
      <c r="C36" s="33">
        <v>31527.3</v>
      </c>
      <c r="D36" s="32">
        <v>48582</v>
      </c>
      <c r="E36" s="34">
        <f>NETWORKDAYS(A36,D36,feriados)-1</f>
        <v>2581</v>
      </c>
      <c r="F36" s="35">
        <f t="shared" si="0"/>
        <v>0.11930000539446306</v>
      </c>
    </row>
    <row r="37" spans="1:6">
      <c r="A37" s="32">
        <f>val_date</f>
        <v>44830</v>
      </c>
      <c r="B37" s="9" t="s">
        <v>53</v>
      </c>
      <c r="C37" s="33">
        <v>28111.77</v>
      </c>
      <c r="D37" s="32">
        <v>48946</v>
      </c>
      <c r="E37" s="34">
        <f>NETWORKDAYS(A37,D37,feriados)-1</f>
        <v>2832</v>
      </c>
      <c r="F37" s="35">
        <f t="shared" si="0"/>
        <v>0.11953998723090797</v>
      </c>
    </row>
    <row r="38" spans="1:6">
      <c r="A38" s="32">
        <f>val_date</f>
        <v>44830</v>
      </c>
      <c r="B38" s="9" t="s">
        <v>54</v>
      </c>
      <c r="C38" s="33">
        <v>25146.63</v>
      </c>
      <c r="D38" s="32">
        <v>49311</v>
      </c>
      <c r="E38" s="34">
        <f>NETWORKDAYS(A38,D38,feriados)-1</f>
        <v>3081</v>
      </c>
      <c r="F38" s="35">
        <f t="shared" si="0"/>
        <v>0.11952999192243352</v>
      </c>
    </row>
    <row r="39" spans="1:6">
      <c r="A39" s="32">
        <f>val_date</f>
        <v>44830</v>
      </c>
      <c r="B39" s="9" t="s">
        <v>55</v>
      </c>
      <c r="C39" s="33">
        <v>22436.83</v>
      </c>
      <c r="D39" s="32">
        <v>49676</v>
      </c>
      <c r="E39" s="34">
        <f>NETWORKDAYS(A39,D39,feriados)-1</f>
        <v>3331</v>
      </c>
      <c r="F39" s="35">
        <f t="shared" si="0"/>
        <v>0.11970000971163608</v>
      </c>
    </row>
    <row r="40" spans="1:6">
      <c r="A40" s="32">
        <f>val_date</f>
        <v>44830</v>
      </c>
      <c r="B40" s="9" t="s">
        <v>56</v>
      </c>
      <c r="C40" s="33">
        <v>20020.28</v>
      </c>
      <c r="D40" s="32">
        <v>50042</v>
      </c>
      <c r="E40" s="34">
        <f>NETWORKDAYS(A40,D40,feriados)-1</f>
        <v>3585</v>
      </c>
      <c r="F40" s="35">
        <f t="shared" si="0"/>
        <v>0.11970000470379794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5F6A3-BEAA-F74B-A4B3-C1BDBF833440}">
  <sheetPr codeName="bonds"/>
  <dimension ref="A1:AA386"/>
  <sheetViews>
    <sheetView showGridLines="0" zoomScale="101" workbookViewId="0">
      <selection activeCell="K2" sqref="K2"/>
    </sheetView>
  </sheetViews>
  <sheetFormatPr baseColWidth="10" defaultColWidth="10.1640625" defaultRowHeight="16"/>
  <cols>
    <col min="13" max="13" width="10.6640625" customWidth="1"/>
  </cols>
  <sheetData>
    <row r="1" spans="1:27" s="48" customFormat="1" ht="51">
      <c r="A1" s="47" t="s">
        <v>0</v>
      </c>
      <c r="B1" s="47" t="s">
        <v>1</v>
      </c>
      <c r="C1" s="47" t="s">
        <v>2</v>
      </c>
      <c r="D1" s="47" t="s">
        <v>57</v>
      </c>
      <c r="E1" s="47" t="s">
        <v>74</v>
      </c>
      <c r="F1" s="47" t="s">
        <v>111</v>
      </c>
      <c r="G1" s="47" t="s">
        <v>104</v>
      </c>
      <c r="H1" s="47" t="s">
        <v>112</v>
      </c>
      <c r="I1" s="47" t="s">
        <v>113</v>
      </c>
      <c r="J1" s="47" t="s">
        <v>106</v>
      </c>
      <c r="K1" s="47" t="s">
        <v>114</v>
      </c>
      <c r="L1" s="47" t="s">
        <v>115</v>
      </c>
      <c r="M1" s="47" t="s">
        <v>105</v>
      </c>
      <c r="N1" s="47" t="s">
        <v>116</v>
      </c>
      <c r="O1" s="47" t="s">
        <v>69</v>
      </c>
      <c r="P1" s="47" t="s">
        <v>68</v>
      </c>
      <c r="Q1" s="47" t="s">
        <v>70</v>
      </c>
      <c r="R1" s="47" t="s">
        <v>71</v>
      </c>
      <c r="S1" s="47" t="s">
        <v>72</v>
      </c>
      <c r="T1" s="47" t="s">
        <v>73</v>
      </c>
      <c r="U1" s="47" t="s">
        <v>76</v>
      </c>
      <c r="V1" s="47" t="s">
        <v>90</v>
      </c>
      <c r="W1" s="47" t="s">
        <v>93</v>
      </c>
      <c r="X1" s="47" t="s">
        <v>94</v>
      </c>
      <c r="Y1" s="47" t="s">
        <v>95</v>
      </c>
      <c r="Z1" s="47" t="s">
        <v>96</v>
      </c>
      <c r="AA1" s="47" t="s">
        <v>97</v>
      </c>
    </row>
    <row r="2" spans="1:27">
      <c r="A2" s="2" t="s">
        <v>65</v>
      </c>
      <c r="B2" s="3">
        <v>45000</v>
      </c>
      <c r="C2" s="3">
        <v>45000</v>
      </c>
      <c r="D2" s="4">
        <f>NETWORKDAYS(Dashboard!$C$10,bonds!C2,feriados)-1</f>
        <v>117</v>
      </c>
      <c r="E2" s="2">
        <f>IF(tbl_Bonds[[#This Row],[Coupon]]&lt;tbl_Bonds[[#This Row],[Maturity]],SQRT(1.06)-1,SQRT(1.06))</f>
        <v>1.0295630140987</v>
      </c>
      <c r="F2" s="5" cm="1">
        <f t="array" ref="F2">Svensson(betas_pre,tbl_Bonds[[#This Row],[DU]])</f>
        <v>0.13794751957277054</v>
      </c>
      <c r="G2" s="49">
        <f>IF(curve_type="Simulada",_xlfn.XLOOKUP(tbl_Bonds[[#This Row],[Coupon]],Simulador!$B$5:$B$147,Simulador!$H$5:$H$147),0)</f>
        <v>0</v>
      </c>
      <c r="H2" s="5" cm="1">
        <f t="array" ref="H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0.13794751957277054</v>
      </c>
      <c r="I2" s="5" cm="1">
        <f t="array" ref="I2">Interpola_FF(tbl_Bonds[[#This Row],[DU]],dus_svensson,svensson_implicita)</f>
        <v>4.6895451319471704E-2</v>
      </c>
      <c r="J2" s="49">
        <f>IF(curve_type="Simulada",_xlfn.XLOOKUP(tbl_Bonds[[#This Row],[Coupon]],Simulador!$B$5:$B$147,Simulador!$N$5:$N$147),0)</f>
        <v>0</v>
      </c>
      <c r="K2" s="5" cm="1">
        <f t="array" ref="K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4.6895451319471704E-2</v>
      </c>
      <c r="L2" s="5" cm="1">
        <f t="array" ref="L2">Interpola_FF(tbl_Bonds[[#This Row],[DU]],dus_svensson,svensson_real_spot)</f>
        <v>8.6926612886886856E-2</v>
      </c>
      <c r="M2" s="49">
        <f>IF(curve_type="Simulada",_xlfn.XLOOKUP(tbl_Bonds[[#This Row],[Coupon]],Simulador!$B$5:$B$147,Simulador!$K$5:$K$147),0)</f>
        <v>0</v>
      </c>
      <c r="N2" s="5" cm="1">
        <f t="array" ref="N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8.6926612886886856E-2</v>
      </c>
      <c r="O2" s="6">
        <f>IF(curve_type="Mercado",tbl_Bonds[[#This Row],[FC]]/(1+tbl_Bonds[[#This Row],[Real Mercado]])^(tbl_Bonds[[#This Row],[DU]]/252),tbl_Bonds[[#This Row],[FC]]/(1+tbl_Bonds[[#This Row],[Real Simulada]])^(tbl_Bonds[[#This Row],[DU]]/252))</f>
        <v>0.99047994512295046</v>
      </c>
      <c r="P2" s="7">
        <f>tbl_Bonds[[#This Row],[Cotação]]*VNA</f>
        <v>3917.6495861513649</v>
      </c>
      <c r="Q2" s="18">
        <f>tbl_Bonds[[#This Row],[Cotação]]%%*VNA</f>
        <v>0.39176495861513649</v>
      </c>
      <c r="R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-0.16734420841866976</v>
      </c>
      <c r="S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-0.15983798429447696</v>
      </c>
      <c r="T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0.1737396389793909</v>
      </c>
      <c r="U2" s="18">
        <f>IF(curve_type="Mercado",tbl_Bonds[[#This Row],[VP Cupom]]*LN(1+tbl_Bonds[[#This Row],[Real Mercado]])/252,tbl_Bonds[[#This Row],[VP Cupom]]*LN(1+tbl_Bonds[[#This Row],[Real Simulada]])/252)</f>
        <v>1.2958417684887891</v>
      </c>
      <c r="V2" s="18">
        <f>SUMIF(Dashboard!$B$28:$B$42,tbl_Bonds[[#This Row],[Bond]],Dashboard!$C$28:$C$42)</f>
        <v>10725</v>
      </c>
      <c r="W2" s="18">
        <f>tbl_Bonds[[#This Row],[Quantidade]]*tbl_Bonds[[#This Row],[𝛿P/𝛿VNA]]</f>
        <v>4201.6791811473386</v>
      </c>
      <c r="X2" s="18">
        <f>+tbl_Bonds[[#This Row],[Quantidade]]*tbl_Bonds[[#This Row],[𝛿P/𝛿r_real]]</f>
        <v>-1794.7666352902331</v>
      </c>
      <c r="Y2" s="18">
        <f>tbl_Bonds[[#This Row],[Quantidade]]*tbl_Bonds[[#This Row],[𝛿P/𝛿r_pre]]</f>
        <v>-1714.2623815582654</v>
      </c>
      <c r="Z2" s="18">
        <f>tbl_Bonds[[#This Row],[Quantidade]]*tbl_Bonds[[#This Row],[𝛿P/𝛿r_implicita]]</f>
        <v>1863.3576280539673</v>
      </c>
      <c r="AA2" s="18">
        <f>tbl_Bonds[[#This Row],[Quantidade]]*tbl_Bonds[[#This Row],[𝛿P/𝛿du]]</f>
        <v>13897.902967042262</v>
      </c>
    </row>
    <row r="3" spans="1:27">
      <c r="A3" s="2" t="s">
        <v>66</v>
      </c>
      <c r="B3" s="3">
        <v>45061</v>
      </c>
      <c r="C3" s="3">
        <v>44881</v>
      </c>
      <c r="D3" s="4">
        <f>NETWORKDAYS(Dashboard!$C$10,bonds!C3,feriados)-1</f>
        <v>34</v>
      </c>
      <c r="E3" s="2">
        <f>IF(tbl_Bonds[[#This Row],[Coupon]]&lt;tbl_Bonds[[#This Row],[Maturity]],SQRT(1.06)-1,SQRT(1.06))</f>
        <v>2.9563014098699991E-2</v>
      </c>
      <c r="F3" s="5" cm="1">
        <f t="array" ref="F3">Svensson(betas_pre,tbl_Bonds[[#This Row],[DU]])</f>
        <v>0.13709542415198134</v>
      </c>
      <c r="G3" s="49">
        <f>IF(curve_type="Simulada",_xlfn.XLOOKUP(tbl_Bonds[[#This Row],[Coupon]],Simulador!$B$5:$B$147,Simulador!$H$5:$H$147),0)</f>
        <v>0</v>
      </c>
      <c r="H3" s="5" cm="1">
        <f t="array" ref="H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0.13709542415198134</v>
      </c>
      <c r="I3" s="5" cm="1">
        <f t="array" ref="I3">Interpola_FF(tbl_Bonds[[#This Row],[DU]],dus_svensson,svensson_implicita)</f>
        <v>3.9260043860060989E-2</v>
      </c>
      <c r="J3" s="49">
        <f>IF(curve_type="Simulada",_xlfn.XLOOKUP(tbl_Bonds[[#This Row],[Coupon]],Simulador!$B$5:$B$147,Simulador!$N$5:$N$147),0)</f>
        <v>0</v>
      </c>
      <c r="K3" s="5" cm="1">
        <f t="array" ref="K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3.9260043860060989E-2</v>
      </c>
      <c r="L3" s="5" cm="1">
        <f t="array" ref="L3">Interpola_FF(tbl_Bonds[[#This Row],[DU]],dus_svensson,svensson_real_spot)</f>
        <v>9.4238501847281109E-2</v>
      </c>
      <c r="M3" s="49">
        <f>IF(curve_type="Simulada",_xlfn.XLOOKUP(tbl_Bonds[[#This Row],[Coupon]],Simulador!$B$5:$B$147,Simulador!$K$5:$K$147),0)</f>
        <v>0</v>
      </c>
      <c r="N3" s="5" cm="1">
        <f t="array" ref="N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9.4238501847281109E-2</v>
      </c>
      <c r="O3" s="6">
        <f>IF(curve_type="Mercado",tbl_Bonds[[#This Row],[FC]]/(1+tbl_Bonds[[#This Row],[Real Mercado]])^(tbl_Bonds[[#This Row],[DU]]/252),tbl_Bonds[[#This Row],[FC]]/(1+tbl_Bonds[[#This Row],[Real Simulada]])^(tbl_Bonds[[#This Row],[DU]]/252))</f>
        <v>2.9205974099578352E-2</v>
      </c>
      <c r="P3" s="7">
        <f>tbl_Bonds[[#This Row],[Cotação]]*VNA</f>
        <v>115.51851494596143</v>
      </c>
      <c r="Q3" s="18">
        <f>tbl_Bonds[[#This Row],[Cotação]]%%*VNA</f>
        <v>1.1551851494596142E-2</v>
      </c>
      <c r="R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-1.4243541380865455E-3</v>
      </c>
      <c r="S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-1.3706872257140204E-3</v>
      </c>
      <c r="T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1.4997229822422155E-3</v>
      </c>
      <c r="U3" s="18">
        <f>IF(curve_type="Mercado",tbl_Bonds[[#This Row],[VP Cupom]]*LN(1+tbl_Bonds[[#This Row],[Real Mercado]])/252,tbl_Bonds[[#This Row],[VP Cupom]]*LN(1+tbl_Bonds[[#This Row],[Real Simulada]])/252)</f>
        <v>4.1283516027923767E-2</v>
      </c>
      <c r="V3" s="18">
        <f>SUMIF(Dashboard!$B$28:$B$42,tbl_Bonds[[#This Row],[Bond]],Dashboard!$C$28:$C$42)</f>
        <v>14795</v>
      </c>
      <c r="W3" s="18">
        <f>tbl_Bonds[[#This Row],[Quantidade]]*tbl_Bonds[[#This Row],[𝛿P/𝛿VNA]]</f>
        <v>170.90964286254993</v>
      </c>
      <c r="X3" s="18">
        <f>+tbl_Bonds[[#This Row],[Quantidade]]*tbl_Bonds[[#This Row],[𝛿P/𝛿r_real]]</f>
        <v>-21.073319472990441</v>
      </c>
      <c r="Y3" s="18">
        <f>tbl_Bonds[[#This Row],[Quantidade]]*tbl_Bonds[[#This Row],[𝛿P/𝛿r_pre]]</f>
        <v>-20.279317504438932</v>
      </c>
      <c r="Z3" s="18">
        <f>tbl_Bonds[[#This Row],[Quantidade]]*tbl_Bonds[[#This Row],[𝛿P/𝛿r_implicita]]</f>
        <v>22.18840152227358</v>
      </c>
      <c r="AA3" s="18">
        <f>tbl_Bonds[[#This Row],[Quantidade]]*tbl_Bonds[[#This Row],[𝛿P/𝛿du]]</f>
        <v>610.78961963313213</v>
      </c>
    </row>
    <row r="4" spans="1:27">
      <c r="A4" s="2" t="s">
        <v>66</v>
      </c>
      <c r="B4" s="3">
        <v>45061</v>
      </c>
      <c r="C4" s="3">
        <v>45061</v>
      </c>
      <c r="D4" s="4">
        <f>NETWORKDAYS(Dashboard!$C$10,bonds!C4,feriados)-1</f>
        <v>157</v>
      </c>
      <c r="E4" s="2">
        <f>IF(tbl_Bonds[[#This Row],[Coupon]]&lt;tbl_Bonds[[#This Row],[Maturity]],SQRT(1.06)-1,SQRT(1.06))</f>
        <v>1.0295630140987</v>
      </c>
      <c r="F4" s="5" cm="1">
        <f t="array" ref="F4">Svensson(betas_pre,tbl_Bonds[[#This Row],[DU]])</f>
        <v>0.1367085106174083</v>
      </c>
      <c r="G4" s="49">
        <f>IF(curve_type="Simulada",_xlfn.XLOOKUP(tbl_Bonds[[#This Row],[Coupon]],Simulador!$B$5:$B$147,Simulador!$H$5:$H$147),0)</f>
        <v>0</v>
      </c>
      <c r="H4" s="5" cm="1">
        <f t="array" ref="H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0.1367085106174083</v>
      </c>
      <c r="I4" s="5" cm="1">
        <f t="array" ref="I4">Interpola_FF(tbl_Bonds[[#This Row],[DU]],dus_svensson,svensson_implicita)</f>
        <v>4.8774403248048603E-2</v>
      </c>
      <c r="J4" s="49">
        <f>IF(curve_type="Simulada",_xlfn.XLOOKUP(tbl_Bonds[[#This Row],[Coupon]],Simulador!$B$5:$B$147,Simulador!$N$5:$N$147),0)</f>
        <v>0</v>
      </c>
      <c r="K4" s="5" cm="1">
        <f t="array" ref="K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4.8774403248048603E-2</v>
      </c>
      <c r="L4" s="5" cm="1">
        <f t="array" ref="L4">Interpola_FF(tbl_Bonds[[#This Row],[DU]],dus_svensson,svensson_real_spot)</f>
        <v>8.3802406981866362E-2</v>
      </c>
      <c r="M4" s="49">
        <f>IF(curve_type="Simulada",_xlfn.XLOOKUP(tbl_Bonds[[#This Row],[Coupon]],Simulador!$B$5:$B$147,Simulador!$K$5:$K$147),0)</f>
        <v>0</v>
      </c>
      <c r="N4" s="5" cm="1">
        <f t="array" ref="N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8.3802406981866362E-2</v>
      </c>
      <c r="O4" s="6">
        <f>IF(curve_type="Mercado",tbl_Bonds[[#This Row],[FC]]/(1+tbl_Bonds[[#This Row],[Real Mercado]])^(tbl_Bonds[[#This Row],[DU]]/252),tbl_Bonds[[#This Row],[FC]]/(1+tbl_Bonds[[#This Row],[Real Simulada]])^(tbl_Bonds[[#This Row],[DU]]/252))</f>
        <v>0.97921590426418326</v>
      </c>
      <c r="P4" s="7">
        <f>tbl_Bonds[[#This Row],[Cotação]]*VNA</f>
        <v>3873.0968769056835</v>
      </c>
      <c r="Q4" s="18">
        <f>tbl_Bonds[[#This Row],[Cotação]]%%*VNA</f>
        <v>0.38730968769056834</v>
      </c>
      <c r="R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-0.22264213628756213</v>
      </c>
      <c r="S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-0.21227449575744795</v>
      </c>
      <c r="T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0.23007257344117396</v>
      </c>
      <c r="U4" s="18">
        <f>IF(curve_type="Mercado",tbl_Bonds[[#This Row],[VP Cupom]]*LN(1+tbl_Bonds[[#This Row],[Real Mercado]])/252,tbl_Bonds[[#This Row],[VP Cupom]]*LN(1+tbl_Bonds[[#This Row],[Real Simulada]])/252)</f>
        <v>1.2368643431373323</v>
      </c>
      <c r="V4" s="18">
        <f>SUMIF(Dashboard!$B$28:$B$42,tbl_Bonds[[#This Row],[Bond]],Dashboard!$C$28:$C$42)</f>
        <v>14795</v>
      </c>
      <c r="W4" s="18">
        <f>tbl_Bonds[[#This Row],[Quantidade]]*tbl_Bonds[[#This Row],[𝛿P/𝛿VNA]]</f>
        <v>5730.2468293819584</v>
      </c>
      <c r="X4" s="18">
        <f>+tbl_Bonds[[#This Row],[Quantidade]]*tbl_Bonds[[#This Row],[𝛿P/𝛿r_real]]</f>
        <v>-3293.9904063744816</v>
      </c>
      <c r="Y4" s="18">
        <f>tbl_Bonds[[#This Row],[Quantidade]]*tbl_Bonds[[#This Row],[𝛿P/𝛿r_pre]]</f>
        <v>-3140.6011647314422</v>
      </c>
      <c r="Z4" s="18">
        <f>tbl_Bonds[[#This Row],[Quantidade]]*tbl_Bonds[[#This Row],[𝛿P/𝛿r_implicita]]</f>
        <v>3403.9237240621687</v>
      </c>
      <c r="AA4" s="18">
        <f>tbl_Bonds[[#This Row],[Quantidade]]*tbl_Bonds[[#This Row],[𝛿P/𝛿du]]</f>
        <v>18299.40795671683</v>
      </c>
    </row>
    <row r="5" spans="1:27">
      <c r="A5" s="2" t="s">
        <v>77</v>
      </c>
      <c r="B5" s="3">
        <v>45519</v>
      </c>
      <c r="C5" s="3">
        <v>44972</v>
      </c>
      <c r="D5" s="4">
        <f>NETWORKDAYS(Dashboard!$C$10,bonds!C5,feriados)-1</f>
        <v>99</v>
      </c>
      <c r="E5" s="2">
        <f>IF(tbl_Bonds[[#This Row],[Coupon]]&lt;tbl_Bonds[[#This Row],[Maturity]],SQRT(1.06)-1,SQRT(1.06))</f>
        <v>2.9563014098699991E-2</v>
      </c>
      <c r="F5" s="5" cm="1">
        <f t="array" ref="F5">Svensson(betas_pre,tbl_Bonds[[#This Row],[DU]])</f>
        <v>0.13824476901041258</v>
      </c>
      <c r="G5" s="49">
        <f>IF(curve_type="Simulada",_xlfn.XLOOKUP(tbl_Bonds[[#This Row],[Coupon]],Simulador!$B$5:$B$147,Simulador!$H$5:$H$147),0)</f>
        <v>0</v>
      </c>
      <c r="H5" s="5" cm="1">
        <f t="array" ref="H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0.13824476901041258</v>
      </c>
      <c r="I5" s="5" cm="1">
        <f t="array" ref="I5">Interpola_FF(tbl_Bonds[[#This Row],[DU]],dus_svensson,svensson_implicita)</f>
        <v>4.5724704287595008E-2</v>
      </c>
      <c r="J5" s="49">
        <f>IF(curve_type="Simulada",_xlfn.XLOOKUP(tbl_Bonds[[#This Row],[Coupon]],Simulador!$B$5:$B$147,Simulador!$N$5:$N$147),0)</f>
        <v>0</v>
      </c>
      <c r="K5" s="5" cm="1">
        <f t="array" ref="K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4.5724704287595008E-2</v>
      </c>
      <c r="L5" s="5" cm="1">
        <f t="array" ref="L5">Interpola_FF(tbl_Bonds[[#This Row],[DU]],dus_svensson,svensson_real_spot)</f>
        <v>8.8437815039086765E-2</v>
      </c>
      <c r="M5" s="49">
        <f>IF(curve_type="Simulada",_xlfn.XLOOKUP(tbl_Bonds[[#This Row],[Coupon]],Simulador!$B$5:$B$147,Simulador!$K$5:$K$147),0)</f>
        <v>0</v>
      </c>
      <c r="N5" s="5" cm="1">
        <f t="array" ref="N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8.8437815039086765E-2</v>
      </c>
      <c r="O5" s="6">
        <f>IF(curve_type="Mercado",tbl_Bonds[[#This Row],[FC]]/(1+tbl_Bonds[[#This Row],[Real Mercado]])^(tbl_Bonds[[#This Row],[DU]]/252),tbl_Bonds[[#This Row],[FC]]/(1+tbl_Bonds[[#This Row],[Real Simulada]])^(tbl_Bonds[[#This Row],[DU]]/252))</f>
        <v>2.8595002889922921E-2</v>
      </c>
      <c r="P5" s="7">
        <f>tbl_Bonds[[#This Row],[Cotação]]*VNA</f>
        <v>113.10193789314702</v>
      </c>
      <c r="Q5" s="18">
        <f>tbl_Bonds[[#This Row],[Cotação]]%%*VNA</f>
        <v>1.1310193789314704E-2</v>
      </c>
      <c r="R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-4.0822639160797754E-3</v>
      </c>
      <c r="S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-3.9035816912818782E-3</v>
      </c>
      <c r="T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4.248949481913014E-3</v>
      </c>
      <c r="U5" s="18">
        <f>IF(curve_type="Mercado",tbl_Bonds[[#This Row],[VP Cupom]]*LN(1+tbl_Bonds[[#This Row],[Real Mercado]])/252,tbl_Bonds[[#This Row],[VP Cupom]]*LN(1+tbl_Bonds[[#This Row],[Real Simulada]])/252)</f>
        <v>3.8034328556047631E-2</v>
      </c>
      <c r="V5" s="18">
        <f>SUMIF(Dashboard!$B$28:$B$42,tbl_Bonds[[#This Row],[Bond]],Dashboard!$C$28:$C$42)</f>
        <v>1729</v>
      </c>
      <c r="W5" s="18">
        <f>tbl_Bonds[[#This Row],[Quantidade]]*tbl_Bonds[[#This Row],[𝛿P/𝛿VNA]]</f>
        <v>19.555325061725121</v>
      </c>
      <c r="X5" s="18">
        <f>+tbl_Bonds[[#This Row],[Quantidade]]*tbl_Bonds[[#This Row],[𝛿P/𝛿r_real]]</f>
        <v>-7.0582343109019314</v>
      </c>
      <c r="Y5" s="18">
        <f>tbl_Bonds[[#This Row],[Quantidade]]*tbl_Bonds[[#This Row],[𝛿P/𝛿r_pre]]</f>
        <v>-6.7492927442263673</v>
      </c>
      <c r="Z5" s="18">
        <f>tbl_Bonds[[#This Row],[Quantidade]]*tbl_Bonds[[#This Row],[𝛿P/𝛿r_implicita]]</f>
        <v>7.3464336542276012</v>
      </c>
      <c r="AA5" s="18">
        <f>tbl_Bonds[[#This Row],[Quantidade]]*tbl_Bonds[[#This Row],[𝛿P/𝛿du]]</f>
        <v>65.761354073406352</v>
      </c>
    </row>
    <row r="6" spans="1:27">
      <c r="A6" s="2" t="s">
        <v>77</v>
      </c>
      <c r="B6" s="3">
        <v>45519</v>
      </c>
      <c r="C6" s="3">
        <v>45153</v>
      </c>
      <c r="D6" s="4">
        <f>NETWORKDAYS(Dashboard!$C$10,bonds!C6,feriados)-1</f>
        <v>222</v>
      </c>
      <c r="E6" s="2">
        <f>IF(tbl_Bonds[[#This Row],[Coupon]]&lt;tbl_Bonds[[#This Row],[Maturity]],SQRT(1.06)-1,SQRT(1.06))</f>
        <v>2.9563014098699991E-2</v>
      </c>
      <c r="F6" s="5" cm="1">
        <f t="array" ref="F6">Svensson(betas_pre,tbl_Bonds[[#This Row],[DU]])</f>
        <v>0.13372890379553737</v>
      </c>
      <c r="G6" s="49">
        <f>IF(curve_type="Simulada",_xlfn.XLOOKUP(tbl_Bonds[[#This Row],[Coupon]],Simulador!$B$5:$B$147,Simulador!$H$5:$H$147),0)</f>
        <v>0</v>
      </c>
      <c r="H6" s="5" cm="1">
        <f t="array" ref="H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0.13372890379553737</v>
      </c>
      <c r="I6" s="5" cm="1">
        <f t="array" ref="I6">Interpola_FF(tbl_Bonds[[#This Row],[DU]],dus_svensson,svensson_implicita)</f>
        <v>5.0400974841755763E-2</v>
      </c>
      <c r="J6" s="49">
        <f>IF(curve_type="Simulada",_xlfn.XLOOKUP(tbl_Bonds[[#This Row],[Coupon]],Simulador!$B$5:$B$147,Simulador!$N$5:$N$147),0)</f>
        <v>0</v>
      </c>
      <c r="K6" s="5" cm="1">
        <f t="array" ref="K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5.0400974841755763E-2</v>
      </c>
      <c r="L6" s="5" cm="1">
        <f t="array" ref="L6">Interpola_FF(tbl_Bonds[[#This Row],[DU]],dus_svensson,svensson_real_spot)</f>
        <v>7.9302041272826251E-2</v>
      </c>
      <c r="M6" s="49">
        <f>IF(curve_type="Simulada",_xlfn.XLOOKUP(tbl_Bonds[[#This Row],[Coupon]],Simulador!$B$5:$B$147,Simulador!$K$5:$K$147),0)</f>
        <v>0</v>
      </c>
      <c r="N6" s="5" cm="1">
        <f t="array" ref="N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7.9302041272826251E-2</v>
      </c>
      <c r="O6" s="6">
        <f>IF(curve_type="Mercado",tbl_Bonds[[#This Row],[FC]]/(1+tbl_Bonds[[#This Row],[Real Mercado]])^(tbl_Bonds[[#This Row],[DU]]/252),tbl_Bonds[[#This Row],[FC]]/(1+tbl_Bonds[[#This Row],[Real Simulada]])^(tbl_Bonds[[#This Row],[DU]]/252))</f>
        <v>2.7640844460278355E-2</v>
      </c>
      <c r="P6" s="7">
        <f>tbl_Bonds[[#This Row],[Cotação]]*VNA</f>
        <v>109.32795095335507</v>
      </c>
      <c r="Q6" s="18">
        <f>tbl_Bonds[[#This Row],[Cotação]]%%*VNA</f>
        <v>1.0932795095335505E-2</v>
      </c>
      <c r="R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-8.9236112796952736E-3</v>
      </c>
      <c r="S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-8.4950246026016599E-3</v>
      </c>
      <c r="T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9.1689318280332253E-3</v>
      </c>
      <c r="U6" s="18">
        <f>IF(curve_type="Mercado",tbl_Bonds[[#This Row],[VP Cupom]]*LN(1+tbl_Bonds[[#This Row],[Real Mercado]])/252,tbl_Bonds[[#This Row],[VP Cupom]]*LN(1+tbl_Bonds[[#This Row],[Real Simulada]])/252)</f>
        <v>3.310839689950245E-2</v>
      </c>
      <c r="V6" s="18">
        <f>SUMIF(Dashboard!$B$28:$B$42,tbl_Bonds[[#This Row],[Bond]],Dashboard!$C$28:$C$42)</f>
        <v>1729</v>
      </c>
      <c r="W6" s="18">
        <f>tbl_Bonds[[#This Row],[Quantidade]]*tbl_Bonds[[#This Row],[𝛿P/𝛿VNA]]</f>
        <v>18.902802719835091</v>
      </c>
      <c r="X6" s="18">
        <f>+tbl_Bonds[[#This Row],[Quantidade]]*tbl_Bonds[[#This Row],[𝛿P/𝛿r_real]]</f>
        <v>-15.428923902593128</v>
      </c>
      <c r="Y6" s="18">
        <f>tbl_Bonds[[#This Row],[Quantidade]]*tbl_Bonds[[#This Row],[𝛿P/𝛿r_pre]]</f>
        <v>-14.687897537898269</v>
      </c>
      <c r="Z6" s="18">
        <f>tbl_Bonds[[#This Row],[Quantidade]]*tbl_Bonds[[#This Row],[𝛿P/𝛿r_implicita]]</f>
        <v>15.853083130669447</v>
      </c>
      <c r="AA6" s="18">
        <f>tbl_Bonds[[#This Row],[Quantidade]]*tbl_Bonds[[#This Row],[𝛿P/𝛿du]]</f>
        <v>57.244418239239735</v>
      </c>
    </row>
    <row r="7" spans="1:27">
      <c r="A7" s="2" t="s">
        <v>77</v>
      </c>
      <c r="B7" s="3">
        <v>45519</v>
      </c>
      <c r="C7" s="3">
        <v>45337</v>
      </c>
      <c r="D7" s="4">
        <f>NETWORKDAYS(Dashboard!$C$10,bonds!C7,feriados)-1</f>
        <v>346</v>
      </c>
      <c r="E7" s="2">
        <f>IF(tbl_Bonds[[#This Row],[Coupon]]&lt;tbl_Bonds[[#This Row],[Maturity]],SQRT(1.06)-1,SQRT(1.06))</f>
        <v>2.9563014098699991E-2</v>
      </c>
      <c r="F7" s="5" cm="1">
        <f t="array" ref="F7">Svensson(betas_pre,tbl_Bonds[[#This Row],[DU]])</f>
        <v>0.12747368770436204</v>
      </c>
      <c r="G7" s="49">
        <f>IF(curve_type="Simulada",_xlfn.XLOOKUP(tbl_Bonds[[#This Row],[Coupon]],Simulador!$B$5:$B$147,Simulador!$H$5:$H$147),0)</f>
        <v>0</v>
      </c>
      <c r="H7" s="5" cm="1">
        <f t="array" ref="H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0.12747368770436204</v>
      </c>
      <c r="I7" s="5" cm="1">
        <f t="array" ref="I7">Interpola_FF(tbl_Bonds[[#This Row],[DU]],dus_svensson,svensson_implicita)</f>
        <v>5.1308537686221012E-2</v>
      </c>
      <c r="J7" s="49">
        <f>IF(curve_type="Simulada",_xlfn.XLOOKUP(tbl_Bonds[[#This Row],[Coupon]],Simulador!$B$5:$B$147,Simulador!$N$5:$N$147),0)</f>
        <v>0</v>
      </c>
      <c r="K7" s="5" cm="1">
        <f t="array" ref="K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5.1308537686221012E-2</v>
      </c>
      <c r="L7" s="5" cm="1">
        <f t="array" ref="L7">Interpola_FF(tbl_Bonds[[#This Row],[DU]],dus_svensson,svensson_real_spot)</f>
        <v>7.2438747759168143E-2</v>
      </c>
      <c r="M7" s="49">
        <f>IF(curve_type="Simulada",_xlfn.XLOOKUP(tbl_Bonds[[#This Row],[Coupon]],Simulador!$B$5:$B$147,Simulador!$K$5:$K$147),0)</f>
        <v>0</v>
      </c>
      <c r="N7" s="5" cm="1">
        <f t="array" ref="N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7.2438747759168143E-2</v>
      </c>
      <c r="O7" s="6">
        <f>IF(curve_type="Mercado",tbl_Bonds[[#This Row],[FC]]/(1+tbl_Bonds[[#This Row],[Real Mercado]])^(tbl_Bonds[[#This Row],[DU]]/252),tbl_Bonds[[#This Row],[FC]]/(1+tbl_Bonds[[#This Row],[Real Simulada]])^(tbl_Bonds[[#This Row],[DU]]/252))</f>
        <v>2.6856337759066942E-2</v>
      </c>
      <c r="P7" s="7">
        <f>tbl_Bonds[[#This Row],[Cotação]]*VNA</f>
        <v>106.22498822456166</v>
      </c>
      <c r="Q7" s="18">
        <f>tbl_Bonds[[#This Row],[Cotação]]%%*VNA</f>
        <v>1.0622498822456167E-2</v>
      </c>
      <c r="R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-1.3599713293462592E-2</v>
      </c>
      <c r="S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-1.2935723286440097E-2</v>
      </c>
      <c r="T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1.3872889940554092E-2</v>
      </c>
      <c r="U7" s="18">
        <f>IF(curve_type="Mercado",tbl_Bonds[[#This Row],[VP Cupom]]*LN(1+tbl_Bonds[[#This Row],[Real Mercado]])/252,tbl_Bonds[[#This Row],[VP Cupom]]*LN(1+tbl_Bonds[[#This Row],[Real Simulada]])/252)</f>
        <v>2.947965085386333E-2</v>
      </c>
      <c r="V7" s="18">
        <f>SUMIF(Dashboard!$B$28:$B$42,tbl_Bonds[[#This Row],[Bond]],Dashboard!$C$28:$C$42)</f>
        <v>1729</v>
      </c>
      <c r="W7" s="18">
        <f>tbl_Bonds[[#This Row],[Quantidade]]*tbl_Bonds[[#This Row],[𝛿P/𝛿VNA]]</f>
        <v>18.366300464026711</v>
      </c>
      <c r="X7" s="18">
        <f>+tbl_Bonds[[#This Row],[Quantidade]]*tbl_Bonds[[#This Row],[𝛿P/𝛿r_real]]</f>
        <v>-23.513904284396823</v>
      </c>
      <c r="Y7" s="18">
        <f>tbl_Bonds[[#This Row],[Quantidade]]*tbl_Bonds[[#This Row],[𝛿P/𝛿r_pre]]</f>
        <v>-22.365865562254928</v>
      </c>
      <c r="Z7" s="18">
        <f>tbl_Bonds[[#This Row],[Quantidade]]*tbl_Bonds[[#This Row],[𝛿P/𝛿r_implicita]]</f>
        <v>23.986226707218027</v>
      </c>
      <c r="AA7" s="18">
        <f>tbl_Bonds[[#This Row],[Quantidade]]*tbl_Bonds[[#This Row],[𝛿P/𝛿du]]</f>
        <v>50.970316326329701</v>
      </c>
    </row>
    <row r="8" spans="1:27">
      <c r="A8" s="2" t="s">
        <v>77</v>
      </c>
      <c r="B8" s="3">
        <v>45519</v>
      </c>
      <c r="C8" s="3">
        <v>45519</v>
      </c>
      <c r="D8" s="4">
        <f>NETWORKDAYS(Dashboard!$C$10,bonds!C8,feriados)-1</f>
        <v>473</v>
      </c>
      <c r="E8" s="2">
        <f>IF(tbl_Bonds[[#This Row],[Coupon]]&lt;tbl_Bonds[[#This Row],[Maturity]],SQRT(1.06)-1,SQRT(1.06))</f>
        <v>1.0295630140987</v>
      </c>
      <c r="F8" s="5" cm="1">
        <f t="array" ref="F8">Svensson(betas_pre,tbl_Bonds[[#This Row],[DU]])</f>
        <v>0.12241457710811354</v>
      </c>
      <c r="G8" s="49">
        <f>IF(curve_type="Simulada",_xlfn.XLOOKUP(tbl_Bonds[[#This Row],[Coupon]],Simulador!$B$5:$B$147,Simulador!$H$5:$H$147),0)</f>
        <v>0</v>
      </c>
      <c r="H8" s="5" cm="1">
        <f t="array" ref="H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0.12241457710811354</v>
      </c>
      <c r="I8" s="5" cm="1">
        <f t="array" ref="I8">Interpola_FF(tbl_Bonds[[#This Row],[DU]],dus_svensson,svensson_implicita)</f>
        <v>5.1636418386285854E-2</v>
      </c>
      <c r="J8" s="49">
        <f>IF(curve_type="Simulada",_xlfn.XLOOKUP(tbl_Bonds[[#This Row],[Coupon]],Simulador!$B$5:$B$147,Simulador!$N$5:$N$147),0)</f>
        <v>0</v>
      </c>
      <c r="K8" s="5" cm="1">
        <f t="array" ref="K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5.1636418386285854E-2</v>
      </c>
      <c r="L8" s="5" cm="1">
        <f t="array" ref="L8">Interpola_FF(tbl_Bonds[[#This Row],[DU]],dus_svensson,svensson_real_spot)</f>
        <v>6.730173834988129E-2</v>
      </c>
      <c r="M8" s="49">
        <f>IF(curve_type="Simulada",_xlfn.XLOOKUP(tbl_Bonds[[#This Row],[Coupon]],Simulador!$B$5:$B$147,Simulador!$K$5:$K$147),0)</f>
        <v>0</v>
      </c>
      <c r="N8" s="5" cm="1">
        <f t="array" ref="N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6.730173834988129E-2</v>
      </c>
      <c r="O8" s="6">
        <f>IF(curve_type="Mercado",tbl_Bonds[[#This Row],[FC]]/(1+tbl_Bonds[[#This Row],[Real Mercado]])^(tbl_Bonds[[#This Row],[DU]]/252),tbl_Bonds[[#This Row],[FC]]/(1+tbl_Bonds[[#This Row],[Real Simulada]])^(tbl_Bonds[[#This Row],[DU]]/252))</f>
        <v>0.91108369770584374</v>
      </c>
      <c r="P8" s="7">
        <f>tbl_Bonds[[#This Row],[Cotação]]*VNA</f>
        <v>3603.6132673271727</v>
      </c>
      <c r="Q8" s="18">
        <f>tbl_Bonds[[#This Row],[Cotação]]%%*VNA</f>
        <v>0.36036132673271731</v>
      </c>
      <c r="R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-0.63374064329924018</v>
      </c>
      <c r="S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-0.60262147971823699</v>
      </c>
      <c r="T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0.64317964030964092</v>
      </c>
      <c r="U8" s="18">
        <f>IF(curve_type="Mercado",tbl_Bonds[[#This Row],[VP Cupom]]*LN(1+tbl_Bonds[[#This Row],[Real Mercado]])/252,tbl_Bonds[[#This Row],[VP Cupom]]*LN(1+tbl_Bonds[[#This Row],[Real Simulada]])/252)</f>
        <v>0.93141567768376921</v>
      </c>
      <c r="V8" s="18">
        <f>SUMIF(Dashboard!$B$28:$B$42,tbl_Bonds[[#This Row],[Bond]],Dashboard!$C$28:$C$42)</f>
        <v>1729</v>
      </c>
      <c r="W8" s="18">
        <f>tbl_Bonds[[#This Row],[Quantidade]]*tbl_Bonds[[#This Row],[𝛿P/𝛿VNA]]</f>
        <v>623.06473392086821</v>
      </c>
      <c r="X8" s="18">
        <f>+tbl_Bonds[[#This Row],[Quantidade]]*tbl_Bonds[[#This Row],[𝛿P/𝛿r_real]]</f>
        <v>-1095.7375722643862</v>
      </c>
      <c r="Y8" s="18">
        <f>tbl_Bonds[[#This Row],[Quantidade]]*tbl_Bonds[[#This Row],[𝛿P/𝛿r_pre]]</f>
        <v>-1041.9325384328317</v>
      </c>
      <c r="Z8" s="18">
        <f>tbl_Bonds[[#This Row],[Quantidade]]*tbl_Bonds[[#This Row],[𝛿P/𝛿r_implicita]]</f>
        <v>1112.0575980953693</v>
      </c>
      <c r="AA8" s="18">
        <f>tbl_Bonds[[#This Row],[Quantidade]]*tbl_Bonds[[#This Row],[𝛿P/𝛿du]]</f>
        <v>1610.417706715237</v>
      </c>
    </row>
    <row r="9" spans="1:27">
      <c r="A9" s="2" t="s">
        <v>78</v>
      </c>
      <c r="B9" s="3">
        <v>45792</v>
      </c>
      <c r="C9" s="3">
        <v>44881</v>
      </c>
      <c r="D9" s="4">
        <f>NETWORKDAYS(Dashboard!$C$10,bonds!C9,feriados)-1</f>
        <v>34</v>
      </c>
      <c r="E9" s="2">
        <f>IF(tbl_Bonds[[#This Row],[Coupon]]&lt;tbl_Bonds[[#This Row],[Maturity]],SQRT(1.06)-1,SQRT(1.06))</f>
        <v>2.9563014098699991E-2</v>
      </c>
      <c r="F9" s="5" cm="1">
        <f t="array" ref="F9">Svensson(betas_pre,tbl_Bonds[[#This Row],[DU]])</f>
        <v>0.13709542415198134</v>
      </c>
      <c r="G9" s="49">
        <f>IF(curve_type="Simulada",_xlfn.XLOOKUP(tbl_Bonds[[#This Row],[Coupon]],Simulador!$B$5:$B$147,Simulador!$H$5:$H$147),0)</f>
        <v>0</v>
      </c>
      <c r="H9" s="5" cm="1">
        <f t="array" ref="H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0.13709542415198134</v>
      </c>
      <c r="I9" s="5" cm="1">
        <f t="array" ref="I9">Interpola_FF(tbl_Bonds[[#This Row],[DU]],dus_svensson,svensson_implicita)</f>
        <v>3.9260043860060989E-2</v>
      </c>
      <c r="J9" s="49">
        <f>IF(curve_type="Simulada",_xlfn.XLOOKUP(tbl_Bonds[[#This Row],[Coupon]],Simulador!$B$5:$B$147,Simulador!$N$5:$N$147),0)</f>
        <v>0</v>
      </c>
      <c r="K9" s="5" cm="1">
        <f t="array" ref="K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3.9260043860060989E-2</v>
      </c>
      <c r="L9" s="5" cm="1">
        <f t="array" ref="L9">Interpola_FF(tbl_Bonds[[#This Row],[DU]],dus_svensson,svensson_real_spot)</f>
        <v>9.4238501847281109E-2</v>
      </c>
      <c r="M9" s="49">
        <f>IF(curve_type="Simulada",_xlfn.XLOOKUP(tbl_Bonds[[#This Row],[Coupon]],Simulador!$B$5:$B$147,Simulador!$K$5:$K$147),0)</f>
        <v>0</v>
      </c>
      <c r="N9" s="5" cm="1">
        <f t="array" ref="N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9.4238501847281109E-2</v>
      </c>
      <c r="O9" s="6">
        <f>IF(curve_type="Mercado",tbl_Bonds[[#This Row],[FC]]/(1+tbl_Bonds[[#This Row],[Real Mercado]])^(tbl_Bonds[[#This Row],[DU]]/252),tbl_Bonds[[#This Row],[FC]]/(1+tbl_Bonds[[#This Row],[Real Simulada]])^(tbl_Bonds[[#This Row],[DU]]/252))</f>
        <v>2.9205974099578352E-2</v>
      </c>
      <c r="P9" s="7">
        <f>tbl_Bonds[[#This Row],[Cotação]]*VNA</f>
        <v>115.51851494596143</v>
      </c>
      <c r="Q9" s="18">
        <f>tbl_Bonds[[#This Row],[Cotação]]%%*VNA</f>
        <v>1.1551851494596142E-2</v>
      </c>
      <c r="R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-1.4243541380865455E-3</v>
      </c>
      <c r="S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-1.3706872257140204E-3</v>
      </c>
      <c r="T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1.4997229822422155E-3</v>
      </c>
      <c r="U9" s="18">
        <f>IF(curve_type="Mercado",tbl_Bonds[[#This Row],[VP Cupom]]*LN(1+tbl_Bonds[[#This Row],[Real Mercado]])/252,tbl_Bonds[[#This Row],[VP Cupom]]*LN(1+tbl_Bonds[[#This Row],[Real Simulada]])/252)</f>
        <v>4.1283516027923767E-2</v>
      </c>
      <c r="V9" s="18">
        <f>SUMIF(Dashboard!$B$28:$B$42,tbl_Bonds[[#This Row],[Bond]],Dashboard!$C$28:$C$42)</f>
        <v>5156</v>
      </c>
      <c r="W9" s="18">
        <f>tbl_Bonds[[#This Row],[Quantidade]]*tbl_Bonds[[#This Row],[𝛿P/𝛿VNA]]</f>
        <v>59.561346306137708</v>
      </c>
      <c r="X9" s="18">
        <f>+tbl_Bonds[[#This Row],[Quantidade]]*tbl_Bonds[[#This Row],[𝛿P/𝛿r_real]]</f>
        <v>-7.3439699359742283</v>
      </c>
      <c r="Y9" s="18">
        <f>tbl_Bonds[[#This Row],[Quantidade]]*tbl_Bonds[[#This Row],[𝛿P/𝛿r_pre]]</f>
        <v>-7.0672633357814894</v>
      </c>
      <c r="Z9" s="18">
        <f>tbl_Bonds[[#This Row],[Quantidade]]*tbl_Bonds[[#This Row],[𝛿P/𝛿r_implicita]]</f>
        <v>7.7325716964408633</v>
      </c>
      <c r="AA9" s="18">
        <f>tbl_Bonds[[#This Row],[Quantidade]]*tbl_Bonds[[#This Row],[𝛿P/𝛿du]]</f>
        <v>212.85780863997493</v>
      </c>
    </row>
    <row r="10" spans="1:27">
      <c r="A10" s="2" t="s">
        <v>78</v>
      </c>
      <c r="B10" s="3">
        <v>45792</v>
      </c>
      <c r="C10" s="3">
        <v>45061</v>
      </c>
      <c r="D10" s="4">
        <f>NETWORKDAYS(Dashboard!$C$10,bonds!C10,feriados)-1</f>
        <v>157</v>
      </c>
      <c r="E10" s="2">
        <f>IF(tbl_Bonds[[#This Row],[Coupon]]&lt;tbl_Bonds[[#This Row],[Maturity]],SQRT(1.06)-1,SQRT(1.06))</f>
        <v>2.9563014098699991E-2</v>
      </c>
      <c r="F10" s="5" cm="1">
        <f t="array" ref="F10">Svensson(betas_pre,tbl_Bonds[[#This Row],[DU]])</f>
        <v>0.1367085106174083</v>
      </c>
      <c r="G10" s="49">
        <f>IF(curve_type="Simulada",_xlfn.XLOOKUP(tbl_Bonds[[#This Row],[Coupon]],Simulador!$B$5:$B$147,Simulador!$H$5:$H$147),0)</f>
        <v>0</v>
      </c>
      <c r="H10" s="5" cm="1">
        <f t="array" ref="H1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0.1367085106174083</v>
      </c>
      <c r="I10" s="5" cm="1">
        <f t="array" ref="I10">Interpola_FF(tbl_Bonds[[#This Row],[DU]],dus_svensson,svensson_implicita)</f>
        <v>4.8774403248048603E-2</v>
      </c>
      <c r="J10" s="49">
        <f>IF(curve_type="Simulada",_xlfn.XLOOKUP(tbl_Bonds[[#This Row],[Coupon]],Simulador!$B$5:$B$147,Simulador!$N$5:$N$147),0)</f>
        <v>0</v>
      </c>
      <c r="K10" s="5" cm="1">
        <f t="array" ref="K1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4.8774403248048603E-2</v>
      </c>
      <c r="L10" s="5" cm="1">
        <f t="array" ref="L10">Interpola_FF(tbl_Bonds[[#This Row],[DU]],dus_svensson,svensson_real_spot)</f>
        <v>8.3802406981866362E-2</v>
      </c>
      <c r="M10" s="49">
        <f>IF(curve_type="Simulada",_xlfn.XLOOKUP(tbl_Bonds[[#This Row],[Coupon]],Simulador!$B$5:$B$147,Simulador!$K$5:$K$147),0)</f>
        <v>0</v>
      </c>
      <c r="N10" s="5" cm="1">
        <f t="array" ref="N1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8.3802406981866362E-2</v>
      </c>
      <c r="O10" s="6">
        <f>IF(curve_type="Mercado",tbl_Bonds[[#This Row],[FC]]/(1+tbl_Bonds[[#This Row],[Real Mercado]])^(tbl_Bonds[[#This Row],[DU]]/252),tbl_Bonds[[#This Row],[FC]]/(1+tbl_Bonds[[#This Row],[Real Simulada]])^(tbl_Bonds[[#This Row],[DU]]/252))</f>
        <v>2.811734025699774E-2</v>
      </c>
      <c r="P10" s="7">
        <f>tbl_Bonds[[#This Row],[Cotação]]*VNA</f>
        <v>111.21263682711987</v>
      </c>
      <c r="Q10" s="18">
        <f>tbl_Bonds[[#This Row],[Cotação]]%%*VNA</f>
        <v>1.1121263682711989E-2</v>
      </c>
      <c r="R1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-6.3929769464337967E-3</v>
      </c>
      <c r="S1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-6.0952790892216937E-3</v>
      </c>
      <c r="T1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6.6063355416083073E-3</v>
      </c>
      <c r="U10" s="18">
        <f>IF(curve_type="Mercado",tbl_Bonds[[#This Row],[VP Cupom]]*LN(1+tbl_Bonds[[#This Row],[Real Mercado]])/252,tbl_Bonds[[#This Row],[VP Cupom]]*LN(1+tbl_Bonds[[#This Row],[Real Simulada]])/252)</f>
        <v>3.5515492994237334E-2</v>
      </c>
      <c r="V10" s="18">
        <f>SUMIF(Dashboard!$B$28:$B$42,tbl_Bonds[[#This Row],[Bond]],Dashboard!$C$28:$C$42)</f>
        <v>5156</v>
      </c>
      <c r="W10" s="18">
        <f>tbl_Bonds[[#This Row],[Quantidade]]*tbl_Bonds[[#This Row],[𝛿P/𝛿VNA]]</f>
        <v>57.341235548063011</v>
      </c>
      <c r="X10" s="18">
        <f>+tbl_Bonds[[#This Row],[Quantidade]]*tbl_Bonds[[#This Row],[𝛿P/𝛿r_real]]</f>
        <v>-32.962189135812658</v>
      </c>
      <c r="Y10" s="18">
        <f>tbl_Bonds[[#This Row],[Quantidade]]*tbl_Bonds[[#This Row],[𝛿P/𝛿r_pre]]</f>
        <v>-31.427258984027052</v>
      </c>
      <c r="Z10" s="18">
        <f>tbl_Bonds[[#This Row],[Quantidade]]*tbl_Bonds[[#This Row],[𝛿P/𝛿r_implicita]]</f>
        <v>34.062266052532429</v>
      </c>
      <c r="AA10" s="18">
        <f>tbl_Bonds[[#This Row],[Quantidade]]*tbl_Bonds[[#This Row],[𝛿P/𝛿du]]</f>
        <v>183.1178818782877</v>
      </c>
    </row>
    <row r="11" spans="1:27">
      <c r="A11" s="2" t="s">
        <v>78</v>
      </c>
      <c r="B11" s="3">
        <v>45792</v>
      </c>
      <c r="C11" s="3">
        <v>45246</v>
      </c>
      <c r="D11" s="4">
        <f>NETWORKDAYS(Dashboard!$C$10,bonds!C11,feriados)-1</f>
        <v>285</v>
      </c>
      <c r="E11" s="2">
        <f>IF(tbl_Bonds[[#This Row],[Coupon]]&lt;tbl_Bonds[[#This Row],[Maturity]],SQRT(1.06)-1,SQRT(1.06))</f>
        <v>2.9563014098699991E-2</v>
      </c>
      <c r="F11" s="5" cm="1">
        <f t="array" ref="F11">Svensson(betas_pre,tbl_Bonds[[#This Row],[DU]])</f>
        <v>0.13048300825828854</v>
      </c>
      <c r="G11" s="49">
        <f>IF(curve_type="Simulada",_xlfn.XLOOKUP(tbl_Bonds[[#This Row],[Coupon]],Simulador!$B$5:$B$147,Simulador!$H$5:$H$147),0)</f>
        <v>0</v>
      </c>
      <c r="H11" s="5" cm="1">
        <f t="array" ref="H1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0.13048300825828854</v>
      </c>
      <c r="I11" s="5" cm="1">
        <f t="array" ref="I11">Interpola_FF(tbl_Bonds[[#This Row],[DU]],dus_svensson,svensson_implicita)</f>
        <v>5.1052336771006734E-2</v>
      </c>
      <c r="J11" s="49">
        <f>IF(curve_type="Simulada",_xlfn.XLOOKUP(tbl_Bonds[[#This Row],[Coupon]],Simulador!$B$5:$B$147,Simulador!$N$5:$N$147),0)</f>
        <v>0</v>
      </c>
      <c r="K11" s="5" cm="1">
        <f t="array" ref="K1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5.1052336771006734E-2</v>
      </c>
      <c r="L11" s="5" cm="1">
        <f t="array" ref="L11">Interpola_FF(tbl_Bonds[[#This Row],[DU]],dus_svensson,svensson_real_spot)</f>
        <v>7.5555946570935895E-2</v>
      </c>
      <c r="M11" s="49">
        <f>IF(curve_type="Simulada",_xlfn.XLOOKUP(tbl_Bonds[[#This Row],[Coupon]],Simulador!$B$5:$B$147,Simulador!$K$5:$K$147),0)</f>
        <v>0</v>
      </c>
      <c r="N11" s="5" cm="1">
        <f t="array" ref="N1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7.5555946570935895E-2</v>
      </c>
      <c r="O11" s="6">
        <f>IF(curve_type="Mercado",tbl_Bonds[[#This Row],[FC]]/(1+tbl_Bonds[[#This Row],[Real Mercado]])^(tbl_Bonds[[#This Row],[DU]]/252),tbl_Bonds[[#This Row],[FC]]/(1+tbl_Bonds[[#This Row],[Real Simulada]])^(tbl_Bonds[[#This Row],[DU]]/252))</f>
        <v>2.7225338447297978E-2</v>
      </c>
      <c r="P11" s="7">
        <f>tbl_Bonds[[#This Row],[Cotação]]*VNA</f>
        <v>107.68449823347802</v>
      </c>
      <c r="Q11" s="18">
        <f>tbl_Bonds[[#This Row],[Cotação]]%%*VNA</f>
        <v>1.0768449823347803E-2</v>
      </c>
      <c r="R1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-1.1323078084137794E-2</v>
      </c>
      <c r="S1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-1.0772733134262443E-2</v>
      </c>
      <c r="T1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1.1586855701399822E-2</v>
      </c>
      <c r="U11" s="18">
        <f>IF(curve_type="Mercado",tbl_Bonds[[#This Row],[VP Cupom]]*LN(1+tbl_Bonds[[#This Row],[Real Mercado]])/252,tbl_Bonds[[#This Row],[VP Cupom]]*LN(1+tbl_Bonds[[#This Row],[Real Simulada]])/252)</f>
        <v>3.1124959646336391E-2</v>
      </c>
      <c r="V11" s="18">
        <f>SUMIF(Dashboard!$B$28:$B$42,tbl_Bonds[[#This Row],[Bond]],Dashboard!$C$28:$C$42)</f>
        <v>5156</v>
      </c>
      <c r="W11" s="18">
        <f>tbl_Bonds[[#This Row],[Quantidade]]*tbl_Bonds[[#This Row],[𝛿P/𝛿VNA]]</f>
        <v>55.52212728918127</v>
      </c>
      <c r="X11" s="18">
        <f>+tbl_Bonds[[#This Row],[Quantidade]]*tbl_Bonds[[#This Row],[𝛿P/𝛿r_real]]</f>
        <v>-58.381790601814465</v>
      </c>
      <c r="Y11" s="18">
        <f>tbl_Bonds[[#This Row],[Quantidade]]*tbl_Bonds[[#This Row],[𝛿P/𝛿r_pre]]</f>
        <v>-55.544212040257158</v>
      </c>
      <c r="Z11" s="18">
        <f>tbl_Bonds[[#This Row],[Quantidade]]*tbl_Bonds[[#This Row],[𝛿P/𝛿r_implicita]]</f>
        <v>59.741827996417484</v>
      </c>
      <c r="AA11" s="18">
        <f>tbl_Bonds[[#This Row],[Quantidade]]*tbl_Bonds[[#This Row],[𝛿P/𝛿du]]</f>
        <v>160.48029193651044</v>
      </c>
    </row>
    <row r="12" spans="1:27">
      <c r="A12" s="2" t="s">
        <v>78</v>
      </c>
      <c r="B12" s="3">
        <v>45792</v>
      </c>
      <c r="C12" s="3">
        <v>45427</v>
      </c>
      <c r="D12" s="4">
        <f>NETWORKDAYS(Dashboard!$C$10,bonds!C12,feriados)-1</f>
        <v>408</v>
      </c>
      <c r="E12" s="2">
        <f>IF(tbl_Bonds[[#This Row],[Coupon]]&lt;tbl_Bonds[[#This Row],[Maturity]],SQRT(1.06)-1,SQRT(1.06))</f>
        <v>2.9563014098699991E-2</v>
      </c>
      <c r="F12" s="5" cm="1">
        <f t="array" ref="F12">Svensson(betas_pre,tbl_Bonds[[#This Row],[DU]])</f>
        <v>0.12477200252598092</v>
      </c>
      <c r="G12" s="49">
        <f>IF(curve_type="Simulada",_xlfn.XLOOKUP(tbl_Bonds[[#This Row],[Coupon]],Simulador!$B$5:$B$147,Simulador!$H$5:$H$147),0)</f>
        <v>0</v>
      </c>
      <c r="H12" s="5" cm="1">
        <f t="array" ref="H1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0.12477200252598092</v>
      </c>
      <c r="I12" s="5" cm="1">
        <f t="array" ref="I12">Interpola_FF(tbl_Bonds[[#This Row],[DU]],dus_svensson,svensson_implicita)</f>
        <v>5.145750573058927E-2</v>
      </c>
      <c r="J12" s="49">
        <f>IF(curve_type="Simulada",_xlfn.XLOOKUP(tbl_Bonds[[#This Row],[Coupon]],Simulador!$B$5:$B$147,Simulador!$N$5:$N$147),0)</f>
        <v>0</v>
      </c>
      <c r="K12" s="5" cm="1">
        <f t="array" ref="K1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5.145750573058927E-2</v>
      </c>
      <c r="L12" s="5" cm="1">
        <f t="array" ref="L12">Interpola_FF(tbl_Bonds[[#This Row],[DU]],dus_svensson,svensson_real_spot)</f>
        <v>6.9722414488002649E-2</v>
      </c>
      <c r="M12" s="49">
        <f>IF(curve_type="Simulada",_xlfn.XLOOKUP(tbl_Bonds[[#This Row],[Coupon]],Simulador!$B$5:$B$147,Simulador!$K$5:$K$147),0)</f>
        <v>0</v>
      </c>
      <c r="N12" s="5" cm="1">
        <f t="array" ref="N1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6.9722414488002649E-2</v>
      </c>
      <c r="O12" s="6">
        <f>IF(curve_type="Mercado",tbl_Bonds[[#This Row],[FC]]/(1+tbl_Bonds[[#This Row],[Real Mercado]])^(tbl_Bonds[[#This Row],[DU]]/252),tbl_Bonds[[#This Row],[FC]]/(1+tbl_Bonds[[#This Row],[Real Simulada]])^(tbl_Bonds[[#This Row],[DU]]/252))</f>
        <v>2.6506806781420551E-2</v>
      </c>
      <c r="P12" s="7">
        <f>tbl_Bonds[[#This Row],[Cotação]]*VNA</f>
        <v>104.84248684564328</v>
      </c>
      <c r="Q12" s="18">
        <f>tbl_Bonds[[#This Row],[Cotação]]%%*VNA</f>
        <v>1.0484248684564327E-2</v>
      </c>
      <c r="R1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-1.5868133302947989E-2</v>
      </c>
      <c r="S1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-1.5091406765664775E-2</v>
      </c>
      <c r="T1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1.6143678385705663E-2</v>
      </c>
      <c r="U12" s="18">
        <f>IF(curve_type="Mercado",tbl_Bonds[[#This Row],[VP Cupom]]*LN(1+tbl_Bonds[[#This Row],[Real Mercado]])/252,tbl_Bonds[[#This Row],[VP Cupom]]*LN(1+tbl_Bonds[[#This Row],[Real Simulada]])/252)</f>
        <v>2.804086744899854E-2</v>
      </c>
      <c r="V12" s="18">
        <f>SUMIF(Dashboard!$B$28:$B$42,tbl_Bonds[[#This Row],[Bond]],Dashboard!$C$28:$C$42)</f>
        <v>5156</v>
      </c>
      <c r="W12" s="18">
        <f>tbl_Bonds[[#This Row],[Quantidade]]*tbl_Bonds[[#This Row],[𝛿P/𝛿VNA]]</f>
        <v>54.05678621761367</v>
      </c>
      <c r="X12" s="18">
        <f>+tbl_Bonds[[#This Row],[Quantidade]]*tbl_Bonds[[#This Row],[𝛿P/𝛿r_real]]</f>
        <v>-81.816095309999838</v>
      </c>
      <c r="Y12" s="18">
        <f>tbl_Bonds[[#This Row],[Quantidade]]*tbl_Bonds[[#This Row],[𝛿P/𝛿r_pre]]</f>
        <v>-77.811293283767583</v>
      </c>
      <c r="Z12" s="18">
        <f>tbl_Bonds[[#This Row],[Quantidade]]*tbl_Bonds[[#This Row],[𝛿P/𝛿r_implicita]]</f>
        <v>83.236805756698402</v>
      </c>
      <c r="AA12" s="18">
        <f>tbl_Bonds[[#This Row],[Quantidade]]*tbl_Bonds[[#This Row],[𝛿P/𝛿du]]</f>
        <v>144.57871256703646</v>
      </c>
    </row>
    <row r="13" spans="1:27">
      <c r="A13" s="2" t="s">
        <v>78</v>
      </c>
      <c r="B13" s="3">
        <v>45792</v>
      </c>
      <c r="C13" s="3">
        <v>45614</v>
      </c>
      <c r="D13" s="4">
        <f>NETWORKDAYS(Dashboard!$C$10,bonds!C13,feriados)-1</f>
        <v>539</v>
      </c>
      <c r="E13" s="2">
        <f>IF(tbl_Bonds[[#This Row],[Coupon]]&lt;tbl_Bonds[[#This Row],[Maturity]],SQRT(1.06)-1,SQRT(1.06))</f>
        <v>2.9563014098699991E-2</v>
      </c>
      <c r="F13" s="5" cm="1">
        <f t="array" ref="F13">Svensson(betas_pre,tbl_Bonds[[#This Row],[DU]])</f>
        <v>0.1205205679154658</v>
      </c>
      <c r="G13" s="49">
        <f>IF(curve_type="Simulada",_xlfn.XLOOKUP(tbl_Bonds[[#This Row],[Coupon]],Simulador!$B$5:$B$147,Simulador!$H$5:$H$147),0)</f>
        <v>0</v>
      </c>
      <c r="H13" s="5" cm="1">
        <f t="array" ref="H1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0.1205205679154658</v>
      </c>
      <c r="I13" s="5" cm="1">
        <f t="array" ref="I13">Interpola_FF(tbl_Bonds[[#This Row],[DU]],dus_svensson,svensson_implicita)</f>
        <v>5.1902571978476253E-2</v>
      </c>
      <c r="J13" s="49">
        <f>IF(curve_type="Simulada",_xlfn.XLOOKUP(tbl_Bonds[[#This Row],[Coupon]],Simulador!$B$5:$B$147,Simulador!$N$5:$N$147),0)</f>
        <v>0</v>
      </c>
      <c r="K13" s="5" cm="1">
        <f t="array" ref="K1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5.1902571978476253E-2</v>
      </c>
      <c r="L13" s="5" cm="1">
        <f t="array" ref="L13">Interpola_FF(tbl_Bonds[[#This Row],[DU]],dus_svensson,svensson_real_spot)</f>
        <v>6.5232770467420487E-2</v>
      </c>
      <c r="M13" s="49">
        <f>IF(curve_type="Simulada",_xlfn.XLOOKUP(tbl_Bonds[[#This Row],[Coupon]],Simulador!$B$5:$B$147,Simulador!$K$5:$K$147),0)</f>
        <v>0</v>
      </c>
      <c r="N13" s="5" cm="1">
        <f t="array" ref="N1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6.5232770467420487E-2</v>
      </c>
      <c r="O13" s="6">
        <f>IF(curve_type="Mercado",tbl_Bonds[[#This Row],[FC]]/(1+tbl_Bonds[[#This Row],[Real Mercado]])^(tbl_Bonds[[#This Row],[DU]]/252),tbl_Bonds[[#This Row],[FC]]/(1+tbl_Bonds[[#This Row],[Real Simulada]])^(tbl_Bonds[[#This Row],[DU]]/252))</f>
        <v>2.582545221198981E-2</v>
      </c>
      <c r="P13" s="7">
        <f>tbl_Bonds[[#This Row],[Cotação]]*VNA</f>
        <v>102.147522187251</v>
      </c>
      <c r="Q13" s="18">
        <f>tbl_Bonds[[#This Row],[Cotação]]%%*VNA</f>
        <v>1.0214752218725099E-2</v>
      </c>
      <c r="R1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-2.0510277780693243E-2</v>
      </c>
      <c r="S1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-1.9498296117425307E-2</v>
      </c>
      <c r="T1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2.0770214296356313E-2</v>
      </c>
      <c r="U13" s="18">
        <f>IF(curve_type="Mercado",tbl_Bonds[[#This Row],[VP Cupom]]*LN(1+tbl_Bonds[[#This Row],[Real Mercado]])/252,tbl_Bonds[[#This Row],[VP Cupom]]*LN(1+tbl_Bonds[[#This Row],[Real Simulada]])/252)</f>
        <v>2.5615250030549975E-2</v>
      </c>
      <c r="V13" s="18">
        <f>SUMIF(Dashboard!$B$28:$B$42,tbl_Bonds[[#This Row],[Bond]],Dashboard!$C$28:$C$42)</f>
        <v>5156</v>
      </c>
      <c r="W13" s="18">
        <f>tbl_Bonds[[#This Row],[Quantidade]]*tbl_Bonds[[#This Row],[𝛿P/𝛿VNA]]</f>
        <v>52.667262439746615</v>
      </c>
      <c r="X13" s="18">
        <f>+tbl_Bonds[[#This Row],[Quantidade]]*tbl_Bonds[[#This Row],[𝛿P/𝛿r_real]]</f>
        <v>-105.75099223725437</v>
      </c>
      <c r="Y13" s="18">
        <f>tbl_Bonds[[#This Row],[Quantidade]]*tbl_Bonds[[#This Row],[𝛿P/𝛿r_pre]]</f>
        <v>-100.53321478144488</v>
      </c>
      <c r="Z13" s="18">
        <f>tbl_Bonds[[#This Row],[Quantidade]]*tbl_Bonds[[#This Row],[𝛿P/𝛿r_implicita]]</f>
        <v>107.09122491201315</v>
      </c>
      <c r="AA13" s="18">
        <f>tbl_Bonds[[#This Row],[Quantidade]]*tbl_Bonds[[#This Row],[𝛿P/𝛿du]]</f>
        <v>132.07222915751566</v>
      </c>
    </row>
    <row r="14" spans="1:27">
      <c r="A14" s="2" t="s">
        <v>78</v>
      </c>
      <c r="B14" s="3">
        <v>45792</v>
      </c>
      <c r="C14" s="3">
        <v>45792</v>
      </c>
      <c r="D14" s="4">
        <f>NETWORKDAYS(Dashboard!$C$10,bonds!C14,feriados)-1</f>
        <v>660</v>
      </c>
      <c r="E14" s="2">
        <f>IF(tbl_Bonds[[#This Row],[Coupon]]&lt;tbl_Bonds[[#This Row],[Maturity]],SQRT(1.06)-1,SQRT(1.06))</f>
        <v>1.0295630140987</v>
      </c>
      <c r="F14" s="5" cm="1">
        <f t="array" ref="F14">Svensson(betas_pre,tbl_Bonds[[#This Row],[DU]])</f>
        <v>0.11818582291207119</v>
      </c>
      <c r="G14" s="49">
        <f>IF(curve_type="Simulada",_xlfn.XLOOKUP(tbl_Bonds[[#This Row],[Coupon]],Simulador!$B$5:$B$147,Simulador!$H$5:$H$147),0)</f>
        <v>0</v>
      </c>
      <c r="H14" s="5" cm="1">
        <f t="array" ref="H1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0.11818582291207119</v>
      </c>
      <c r="I14" s="5" cm="1">
        <f t="array" ref="I14">Interpola_FF(tbl_Bonds[[#This Row],[DU]],dus_svensson,svensson_implicita)</f>
        <v>5.2626601395276529E-2</v>
      </c>
      <c r="J14" s="49">
        <f>IF(curve_type="Simulada",_xlfn.XLOOKUP(tbl_Bonds[[#This Row],[Coupon]],Simulador!$B$5:$B$147,Simulador!$N$5:$N$147),0)</f>
        <v>0</v>
      </c>
      <c r="K14" s="5" cm="1">
        <f t="array" ref="K1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5.2626601395276529E-2</v>
      </c>
      <c r="L14" s="5" cm="1">
        <f t="array" ref="L14">Interpola_FF(tbl_Bonds[[#This Row],[DU]],dus_svensson,svensson_real_spot)</f>
        <v>6.2283233879442124E-2</v>
      </c>
      <c r="M14" s="49">
        <f>IF(curve_type="Simulada",_xlfn.XLOOKUP(tbl_Bonds[[#This Row],[Coupon]],Simulador!$B$5:$B$147,Simulador!$K$5:$K$147),0)</f>
        <v>0</v>
      </c>
      <c r="N14" s="5" cm="1">
        <f t="array" ref="N1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6.2283233879442124E-2</v>
      </c>
      <c r="O14" s="6">
        <f>IF(curve_type="Mercado",tbl_Bonds[[#This Row],[FC]]/(1+tbl_Bonds[[#This Row],[Real Mercado]])^(tbl_Bonds[[#This Row],[DU]]/252),tbl_Bonds[[#This Row],[FC]]/(1+tbl_Bonds[[#This Row],[Real Simulada]])^(tbl_Bonds[[#This Row],[DU]]/252))</f>
        <v>0.8788773387463521</v>
      </c>
      <c r="P14" s="7">
        <f>tbl_Bonds[[#This Row],[Cotação]]*VNA</f>
        <v>3476.2273172427085</v>
      </c>
      <c r="Q14" s="18">
        <f>tbl_Bonds[[#This Row],[Cotação]]%%*VNA</f>
        <v>0.34762273172427083</v>
      </c>
      <c r="R1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-0.8570600182819097</v>
      </c>
      <c r="S1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-0.8142155247056142</v>
      </c>
      <c r="T1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0.86492613364883619</v>
      </c>
      <c r="U14" s="18">
        <f>IF(curve_type="Mercado",tbl_Bonds[[#This Row],[VP Cupom]]*LN(1+tbl_Bonds[[#This Row],[Real Mercado]])/252,tbl_Bonds[[#This Row],[VP Cupom]]*LN(1+tbl_Bonds[[#This Row],[Real Simulada]])/252)</f>
        <v>0.83347496423339096</v>
      </c>
      <c r="V14" s="18">
        <f>SUMIF(Dashboard!$B$28:$B$42,tbl_Bonds[[#This Row],[Bond]],Dashboard!$C$28:$C$42)</f>
        <v>5156</v>
      </c>
      <c r="W14" s="18">
        <f>tbl_Bonds[[#This Row],[Quantidade]]*tbl_Bonds[[#This Row],[𝛿P/𝛿VNA]]</f>
        <v>1792.3428047703403</v>
      </c>
      <c r="X14" s="18">
        <f>+tbl_Bonds[[#This Row],[Quantidade]]*tbl_Bonds[[#This Row],[𝛿P/𝛿r_real]]</f>
        <v>-4419.0014542615263</v>
      </c>
      <c r="Y14" s="18">
        <f>tbl_Bonds[[#This Row],[Quantidade]]*tbl_Bonds[[#This Row],[𝛿P/𝛿r_pre]]</f>
        <v>-4198.0952453821465</v>
      </c>
      <c r="Z14" s="18">
        <f>tbl_Bonds[[#This Row],[Quantidade]]*tbl_Bonds[[#This Row],[𝛿P/𝛿r_implicita]]</f>
        <v>4459.5591450933998</v>
      </c>
      <c r="AA14" s="18">
        <f>tbl_Bonds[[#This Row],[Quantidade]]*tbl_Bonds[[#This Row],[𝛿P/𝛿du]]</f>
        <v>4297.3969155873638</v>
      </c>
    </row>
    <row r="15" spans="1:27">
      <c r="A15" s="2" t="s">
        <v>79</v>
      </c>
      <c r="B15" s="3">
        <v>46251</v>
      </c>
      <c r="C15" s="3">
        <v>44972</v>
      </c>
      <c r="D15" s="4">
        <f>NETWORKDAYS(Dashboard!$C$10,bonds!C15,feriados)-1</f>
        <v>99</v>
      </c>
      <c r="E15" s="2">
        <f>IF(tbl_Bonds[[#This Row],[Coupon]]&lt;tbl_Bonds[[#This Row],[Maturity]],SQRT(1.06)-1,SQRT(1.06))</f>
        <v>2.9563014098699991E-2</v>
      </c>
      <c r="F15" s="5" cm="1">
        <f t="array" ref="F15">Svensson(betas_pre,tbl_Bonds[[#This Row],[DU]])</f>
        <v>0.13824476901041258</v>
      </c>
      <c r="G15" s="49">
        <f>IF(curve_type="Simulada",_xlfn.XLOOKUP(tbl_Bonds[[#This Row],[Coupon]],Simulador!$B$5:$B$147,Simulador!$H$5:$H$147),0)</f>
        <v>0</v>
      </c>
      <c r="H15" s="5" cm="1">
        <f t="array" ref="H1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0.13824476901041258</v>
      </c>
      <c r="I15" s="5" cm="1">
        <f t="array" ref="I15">Interpola_FF(tbl_Bonds[[#This Row],[DU]],dus_svensson,svensson_implicita)</f>
        <v>4.5724704287595008E-2</v>
      </c>
      <c r="J15" s="49">
        <f>IF(curve_type="Simulada",_xlfn.XLOOKUP(tbl_Bonds[[#This Row],[Coupon]],Simulador!$B$5:$B$147,Simulador!$N$5:$N$147),0)</f>
        <v>0</v>
      </c>
      <c r="K15" s="5" cm="1">
        <f t="array" ref="K1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4.5724704287595008E-2</v>
      </c>
      <c r="L15" s="5" cm="1">
        <f t="array" ref="L15">Interpola_FF(tbl_Bonds[[#This Row],[DU]],dus_svensson,svensson_real_spot)</f>
        <v>8.8437815039086765E-2</v>
      </c>
      <c r="M15" s="49">
        <f>IF(curve_type="Simulada",_xlfn.XLOOKUP(tbl_Bonds[[#This Row],[Coupon]],Simulador!$B$5:$B$147,Simulador!$K$5:$K$147),0)</f>
        <v>0</v>
      </c>
      <c r="N15" s="5" cm="1">
        <f t="array" ref="N1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8.8437815039086765E-2</v>
      </c>
      <c r="O15" s="6">
        <f>IF(curve_type="Mercado",tbl_Bonds[[#This Row],[FC]]/(1+tbl_Bonds[[#This Row],[Real Mercado]])^(tbl_Bonds[[#This Row],[DU]]/252),tbl_Bonds[[#This Row],[FC]]/(1+tbl_Bonds[[#This Row],[Real Simulada]])^(tbl_Bonds[[#This Row],[DU]]/252))</f>
        <v>2.8595002889922921E-2</v>
      </c>
      <c r="P15" s="7">
        <f>tbl_Bonds[[#This Row],[Cotação]]*VNA</f>
        <v>113.10193789314702</v>
      </c>
      <c r="Q15" s="18">
        <f>tbl_Bonds[[#This Row],[Cotação]]%%*VNA</f>
        <v>1.1310193789314704E-2</v>
      </c>
      <c r="R1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-4.0822639160797754E-3</v>
      </c>
      <c r="S1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-3.9035816912818782E-3</v>
      </c>
      <c r="T1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4.248949481913014E-3</v>
      </c>
      <c r="U15" s="18">
        <f>IF(curve_type="Mercado",tbl_Bonds[[#This Row],[VP Cupom]]*LN(1+tbl_Bonds[[#This Row],[Real Mercado]])/252,tbl_Bonds[[#This Row],[VP Cupom]]*LN(1+tbl_Bonds[[#This Row],[Real Simulada]])/252)</f>
        <v>3.8034328556047631E-2</v>
      </c>
      <c r="V15" s="18">
        <f>SUMIF(Dashboard!$B$28:$B$42,tbl_Bonds[[#This Row],[Bond]],Dashboard!$C$28:$C$42)</f>
        <v>8983</v>
      </c>
      <c r="W15" s="18">
        <f>tbl_Bonds[[#This Row],[Quantidade]]*tbl_Bonds[[#This Row],[𝛿P/𝛿VNA]]</f>
        <v>101.59947080941399</v>
      </c>
      <c r="X15" s="18">
        <f>+tbl_Bonds[[#This Row],[Quantidade]]*tbl_Bonds[[#This Row],[𝛿P/𝛿r_real]]</f>
        <v>-36.670976758144626</v>
      </c>
      <c r="Y15" s="18">
        <f>tbl_Bonds[[#This Row],[Quantidade]]*tbl_Bonds[[#This Row],[𝛿P/𝛿r_pre]]</f>
        <v>-35.065874332785114</v>
      </c>
      <c r="Z15" s="18">
        <f>tbl_Bonds[[#This Row],[Quantidade]]*tbl_Bonds[[#This Row],[𝛿P/𝛿r_implicita]]</f>
        <v>38.168313196024606</v>
      </c>
      <c r="AA15" s="18">
        <f>tbl_Bonds[[#This Row],[Quantidade]]*tbl_Bonds[[#This Row],[𝛿P/𝛿du]]</f>
        <v>341.66237341897585</v>
      </c>
    </row>
    <row r="16" spans="1:27">
      <c r="A16" s="2" t="s">
        <v>79</v>
      </c>
      <c r="B16" s="3">
        <v>46251</v>
      </c>
      <c r="C16" s="3">
        <v>45153</v>
      </c>
      <c r="D16" s="4">
        <f>NETWORKDAYS(Dashboard!$C$10,bonds!C16,feriados)-1</f>
        <v>222</v>
      </c>
      <c r="E16" s="2">
        <f>IF(tbl_Bonds[[#This Row],[Coupon]]&lt;tbl_Bonds[[#This Row],[Maturity]],SQRT(1.06)-1,SQRT(1.06))</f>
        <v>2.9563014098699991E-2</v>
      </c>
      <c r="F16" s="5" cm="1">
        <f t="array" ref="F16">Svensson(betas_pre,tbl_Bonds[[#This Row],[DU]])</f>
        <v>0.13372890379553737</v>
      </c>
      <c r="G16" s="49">
        <f>IF(curve_type="Simulada",_xlfn.XLOOKUP(tbl_Bonds[[#This Row],[Coupon]],Simulador!$B$5:$B$147,Simulador!$H$5:$H$147),0)</f>
        <v>0</v>
      </c>
      <c r="H16" s="5" cm="1">
        <f t="array" ref="H1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0.13372890379553737</v>
      </c>
      <c r="I16" s="5" cm="1">
        <f t="array" ref="I16">Interpola_FF(tbl_Bonds[[#This Row],[DU]],dus_svensson,svensson_implicita)</f>
        <v>5.0400974841755763E-2</v>
      </c>
      <c r="J16" s="49">
        <f>IF(curve_type="Simulada",_xlfn.XLOOKUP(tbl_Bonds[[#This Row],[Coupon]],Simulador!$B$5:$B$147,Simulador!$N$5:$N$147),0)</f>
        <v>0</v>
      </c>
      <c r="K16" s="5" cm="1">
        <f t="array" ref="K1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5.0400974841755763E-2</v>
      </c>
      <c r="L16" s="5" cm="1">
        <f t="array" ref="L16">Interpola_FF(tbl_Bonds[[#This Row],[DU]],dus_svensson,svensson_real_spot)</f>
        <v>7.9302041272826251E-2</v>
      </c>
      <c r="M16" s="49">
        <f>IF(curve_type="Simulada",_xlfn.XLOOKUP(tbl_Bonds[[#This Row],[Coupon]],Simulador!$B$5:$B$147,Simulador!$K$5:$K$147),0)</f>
        <v>0</v>
      </c>
      <c r="N16" s="5" cm="1">
        <f t="array" ref="N1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7.9302041272826251E-2</v>
      </c>
      <c r="O16" s="6">
        <f>IF(curve_type="Mercado",tbl_Bonds[[#This Row],[FC]]/(1+tbl_Bonds[[#This Row],[Real Mercado]])^(tbl_Bonds[[#This Row],[DU]]/252),tbl_Bonds[[#This Row],[FC]]/(1+tbl_Bonds[[#This Row],[Real Simulada]])^(tbl_Bonds[[#This Row],[DU]]/252))</f>
        <v>2.7640844460278355E-2</v>
      </c>
      <c r="P16" s="7">
        <f>tbl_Bonds[[#This Row],[Cotação]]*VNA</f>
        <v>109.32795095335507</v>
      </c>
      <c r="Q16" s="18">
        <f>tbl_Bonds[[#This Row],[Cotação]]%%*VNA</f>
        <v>1.0932795095335505E-2</v>
      </c>
      <c r="R1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-8.9236112796952736E-3</v>
      </c>
      <c r="S1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-8.4950246026016599E-3</v>
      </c>
      <c r="T1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9.1689318280332253E-3</v>
      </c>
      <c r="U16" s="18">
        <f>IF(curve_type="Mercado",tbl_Bonds[[#This Row],[VP Cupom]]*LN(1+tbl_Bonds[[#This Row],[Real Mercado]])/252,tbl_Bonds[[#This Row],[VP Cupom]]*LN(1+tbl_Bonds[[#This Row],[Real Simulada]])/252)</f>
        <v>3.310839689950245E-2</v>
      </c>
      <c r="V16" s="18">
        <f>SUMIF(Dashboard!$B$28:$B$42,tbl_Bonds[[#This Row],[Bond]],Dashboard!$C$28:$C$42)</f>
        <v>8983</v>
      </c>
      <c r="W16" s="18">
        <f>tbl_Bonds[[#This Row],[Quantidade]]*tbl_Bonds[[#This Row],[𝛿P/𝛿VNA]]</f>
        <v>98.209298341398849</v>
      </c>
      <c r="X16" s="18">
        <f>+tbl_Bonds[[#This Row],[Quantidade]]*tbl_Bonds[[#This Row],[𝛿P/𝛿r_real]]</f>
        <v>-80.160800125502647</v>
      </c>
      <c r="Y16" s="18">
        <f>tbl_Bonds[[#This Row],[Quantidade]]*tbl_Bonds[[#This Row],[𝛿P/𝛿r_pre]]</f>
        <v>-76.310806005170704</v>
      </c>
      <c r="Z16" s="18">
        <f>tbl_Bonds[[#This Row],[Quantidade]]*tbl_Bonds[[#This Row],[𝛿P/𝛿r_implicita]]</f>
        <v>82.364514611222461</v>
      </c>
      <c r="AA16" s="18">
        <f>tbl_Bonds[[#This Row],[Quantidade]]*tbl_Bonds[[#This Row],[𝛿P/𝛿du]]</f>
        <v>297.41272934823053</v>
      </c>
    </row>
    <row r="17" spans="1:27">
      <c r="A17" s="2" t="s">
        <v>79</v>
      </c>
      <c r="B17" s="3">
        <v>46251</v>
      </c>
      <c r="C17" s="3">
        <v>45337</v>
      </c>
      <c r="D17" s="4">
        <f>NETWORKDAYS(Dashboard!$C$10,bonds!C17,feriados)-1</f>
        <v>346</v>
      </c>
      <c r="E17" s="2">
        <f>IF(tbl_Bonds[[#This Row],[Coupon]]&lt;tbl_Bonds[[#This Row],[Maturity]],SQRT(1.06)-1,SQRT(1.06))</f>
        <v>2.9563014098699991E-2</v>
      </c>
      <c r="F17" s="5" cm="1">
        <f t="array" ref="F17">Svensson(betas_pre,tbl_Bonds[[#This Row],[DU]])</f>
        <v>0.12747368770436204</v>
      </c>
      <c r="G17" s="49">
        <f>IF(curve_type="Simulada",_xlfn.XLOOKUP(tbl_Bonds[[#This Row],[Coupon]],Simulador!$B$5:$B$147,Simulador!$H$5:$H$147),0)</f>
        <v>0</v>
      </c>
      <c r="H17" s="5" cm="1">
        <f t="array" ref="H1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0.12747368770436204</v>
      </c>
      <c r="I17" s="5" cm="1">
        <f t="array" ref="I17">Interpola_FF(tbl_Bonds[[#This Row],[DU]],dus_svensson,svensson_implicita)</f>
        <v>5.1308537686221012E-2</v>
      </c>
      <c r="J17" s="49">
        <f>IF(curve_type="Simulada",_xlfn.XLOOKUP(tbl_Bonds[[#This Row],[Coupon]],Simulador!$B$5:$B$147,Simulador!$N$5:$N$147),0)</f>
        <v>0</v>
      </c>
      <c r="K17" s="5" cm="1">
        <f t="array" ref="K1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5.1308537686221012E-2</v>
      </c>
      <c r="L17" s="5" cm="1">
        <f t="array" ref="L17">Interpola_FF(tbl_Bonds[[#This Row],[DU]],dus_svensson,svensson_real_spot)</f>
        <v>7.2438747759168143E-2</v>
      </c>
      <c r="M17" s="49">
        <f>IF(curve_type="Simulada",_xlfn.XLOOKUP(tbl_Bonds[[#This Row],[Coupon]],Simulador!$B$5:$B$147,Simulador!$K$5:$K$147),0)</f>
        <v>0</v>
      </c>
      <c r="N17" s="5" cm="1">
        <f t="array" ref="N1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7.2438747759168143E-2</v>
      </c>
      <c r="O17" s="6">
        <f>IF(curve_type="Mercado",tbl_Bonds[[#This Row],[FC]]/(1+tbl_Bonds[[#This Row],[Real Mercado]])^(tbl_Bonds[[#This Row],[DU]]/252),tbl_Bonds[[#This Row],[FC]]/(1+tbl_Bonds[[#This Row],[Real Simulada]])^(tbl_Bonds[[#This Row],[DU]]/252))</f>
        <v>2.6856337759066942E-2</v>
      </c>
      <c r="P17" s="7">
        <f>tbl_Bonds[[#This Row],[Cotação]]*VNA</f>
        <v>106.22498822456166</v>
      </c>
      <c r="Q17" s="18">
        <f>tbl_Bonds[[#This Row],[Cotação]]%%*VNA</f>
        <v>1.0622498822456167E-2</v>
      </c>
      <c r="R1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-1.3599713293462592E-2</v>
      </c>
      <c r="S1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-1.2935723286440097E-2</v>
      </c>
      <c r="T1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1.3872889940554092E-2</v>
      </c>
      <c r="U17" s="18">
        <f>IF(curve_type="Mercado",tbl_Bonds[[#This Row],[VP Cupom]]*LN(1+tbl_Bonds[[#This Row],[Real Mercado]])/252,tbl_Bonds[[#This Row],[VP Cupom]]*LN(1+tbl_Bonds[[#This Row],[Real Simulada]])/252)</f>
        <v>2.947965085386333E-2</v>
      </c>
      <c r="V17" s="18">
        <f>SUMIF(Dashboard!$B$28:$B$42,tbl_Bonds[[#This Row],[Bond]],Dashboard!$C$28:$C$42)</f>
        <v>8983</v>
      </c>
      <c r="W17" s="18">
        <f>tbl_Bonds[[#This Row],[Quantidade]]*tbl_Bonds[[#This Row],[𝛿P/𝛿VNA]]</f>
        <v>95.421906922123739</v>
      </c>
      <c r="X17" s="18">
        <f>+tbl_Bonds[[#This Row],[Quantidade]]*tbl_Bonds[[#This Row],[𝛿P/𝛿r_real]]</f>
        <v>-122.16622451517446</v>
      </c>
      <c r="Y17" s="18">
        <f>tbl_Bonds[[#This Row],[Quantidade]]*tbl_Bonds[[#This Row],[𝛿P/𝛿r_pre]]</f>
        <v>-116.20160228209139</v>
      </c>
      <c r="Z17" s="18">
        <f>tbl_Bonds[[#This Row],[Quantidade]]*tbl_Bonds[[#This Row],[𝛿P/𝛿r_implicita]]</f>
        <v>124.62017033599741</v>
      </c>
      <c r="AA17" s="18">
        <f>tbl_Bonds[[#This Row],[Quantidade]]*tbl_Bonds[[#This Row],[𝛿P/𝛿du]]</f>
        <v>264.81570362025428</v>
      </c>
    </row>
    <row r="18" spans="1:27">
      <c r="A18" s="2" t="s">
        <v>79</v>
      </c>
      <c r="B18" s="3">
        <v>46251</v>
      </c>
      <c r="C18" s="3">
        <v>45519</v>
      </c>
      <c r="D18" s="4">
        <f>NETWORKDAYS(Dashboard!$C$10,bonds!C18,feriados)-1</f>
        <v>473</v>
      </c>
      <c r="E18" s="2">
        <f>IF(tbl_Bonds[[#This Row],[Coupon]]&lt;tbl_Bonds[[#This Row],[Maturity]],SQRT(1.06)-1,SQRT(1.06))</f>
        <v>2.9563014098699991E-2</v>
      </c>
      <c r="F18" s="5" cm="1">
        <f t="array" ref="F18">Svensson(betas_pre,tbl_Bonds[[#This Row],[DU]])</f>
        <v>0.12241457710811354</v>
      </c>
      <c r="G18" s="49">
        <f>IF(curve_type="Simulada",_xlfn.XLOOKUP(tbl_Bonds[[#This Row],[Coupon]],Simulador!$B$5:$B$147,Simulador!$H$5:$H$147),0)</f>
        <v>0</v>
      </c>
      <c r="H18" s="5" cm="1">
        <f t="array" ref="H1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0.12241457710811354</v>
      </c>
      <c r="I18" s="5" cm="1">
        <f t="array" ref="I18">Interpola_FF(tbl_Bonds[[#This Row],[DU]],dus_svensson,svensson_implicita)</f>
        <v>5.1636418386285854E-2</v>
      </c>
      <c r="J18" s="49">
        <f>IF(curve_type="Simulada",_xlfn.XLOOKUP(tbl_Bonds[[#This Row],[Coupon]],Simulador!$B$5:$B$147,Simulador!$N$5:$N$147),0)</f>
        <v>0</v>
      </c>
      <c r="K18" s="5" cm="1">
        <f t="array" ref="K1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5.1636418386285854E-2</v>
      </c>
      <c r="L18" s="5" cm="1">
        <f t="array" ref="L18">Interpola_FF(tbl_Bonds[[#This Row],[DU]],dus_svensson,svensson_real_spot)</f>
        <v>6.730173834988129E-2</v>
      </c>
      <c r="M18" s="49">
        <f>IF(curve_type="Simulada",_xlfn.XLOOKUP(tbl_Bonds[[#This Row],[Coupon]],Simulador!$B$5:$B$147,Simulador!$K$5:$K$147),0)</f>
        <v>0</v>
      </c>
      <c r="N18" s="5" cm="1">
        <f t="array" ref="N1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6.730173834988129E-2</v>
      </c>
      <c r="O18" s="6">
        <f>IF(curve_type="Mercado",tbl_Bonds[[#This Row],[FC]]/(1+tbl_Bonds[[#This Row],[Real Mercado]])^(tbl_Bonds[[#This Row],[DU]]/252),tbl_Bonds[[#This Row],[FC]]/(1+tbl_Bonds[[#This Row],[Real Simulada]])^(tbl_Bonds[[#This Row],[DU]]/252))</f>
        <v>2.6160982699978276E-2</v>
      </c>
      <c r="P18" s="7">
        <f>tbl_Bonds[[#This Row],[Cotação]]*VNA</f>
        <v>103.47464736922124</v>
      </c>
      <c r="Q18" s="18">
        <f>tbl_Bonds[[#This Row],[Cotação]]%%*VNA</f>
        <v>1.0347464736922126E-2</v>
      </c>
      <c r="R1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-1.8197316061490301E-2</v>
      </c>
      <c r="S1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-1.7303756115098563E-2</v>
      </c>
      <c r="T1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1.8468348720856322E-2</v>
      </c>
      <c r="U18" s="18">
        <f>IF(curve_type="Mercado",tbl_Bonds[[#This Row],[VP Cupom]]*LN(1+tbl_Bonds[[#This Row],[Real Mercado]])/252,tbl_Bonds[[#This Row],[VP Cupom]]*LN(1+tbl_Bonds[[#This Row],[Real Simulada]])/252)</f>
        <v>2.6744797971613773E-2</v>
      </c>
      <c r="V18" s="18">
        <f>SUMIF(Dashboard!$B$28:$B$42,tbl_Bonds[[#This Row],[Bond]],Dashboard!$C$28:$C$42)</f>
        <v>8983</v>
      </c>
      <c r="W18" s="18">
        <f>tbl_Bonds[[#This Row],[Quantidade]]*tbl_Bonds[[#This Row],[𝛿P/𝛿VNA]]</f>
        <v>92.95127573177146</v>
      </c>
      <c r="X18" s="18">
        <f>+tbl_Bonds[[#This Row],[Quantidade]]*tbl_Bonds[[#This Row],[𝛿P/𝛿r_real]]</f>
        <v>-163.46649018036737</v>
      </c>
      <c r="Y18" s="18">
        <f>tbl_Bonds[[#This Row],[Quantidade]]*tbl_Bonds[[#This Row],[𝛿P/𝛿r_pre]]</f>
        <v>-155.4396411819304</v>
      </c>
      <c r="Z18" s="18">
        <f>tbl_Bonds[[#This Row],[Quantidade]]*tbl_Bonds[[#This Row],[𝛿P/𝛿r_implicita]]</f>
        <v>165.90117655945232</v>
      </c>
      <c r="AA18" s="18">
        <f>tbl_Bonds[[#This Row],[Quantidade]]*tbl_Bonds[[#This Row],[𝛿P/𝛿du]]</f>
        <v>240.24852017900653</v>
      </c>
    </row>
    <row r="19" spans="1:27">
      <c r="A19" s="2" t="s">
        <v>79</v>
      </c>
      <c r="B19" s="3">
        <v>46251</v>
      </c>
      <c r="C19" s="3">
        <v>45705</v>
      </c>
      <c r="D19" s="4">
        <f>NETWORKDAYS(Dashboard!$C$10,bonds!C19,feriados)-1</f>
        <v>602</v>
      </c>
      <c r="E19" s="2">
        <f>IF(tbl_Bonds[[#This Row],[Coupon]]&lt;tbl_Bonds[[#This Row],[Maturity]],SQRT(1.06)-1,SQRT(1.06))</f>
        <v>2.9563014098699991E-2</v>
      </c>
      <c r="F19" s="5" cm="1">
        <f t="array" ref="F19">Svensson(betas_pre,tbl_Bonds[[#This Row],[DU]])</f>
        <v>0.11913959507080539</v>
      </c>
      <c r="G19" s="49">
        <f>IF(curve_type="Simulada",_xlfn.XLOOKUP(tbl_Bonds[[#This Row],[Coupon]],Simulador!$B$5:$B$147,Simulador!$H$5:$H$147),0)</f>
        <v>0</v>
      </c>
      <c r="H19" s="5" cm="1">
        <f t="array" ref="H1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0.11913959507080539</v>
      </c>
      <c r="I19" s="5" cm="1">
        <f t="array" ref="I19">Interpola_FF(tbl_Bonds[[#This Row],[DU]],dus_svensson,svensson_implicita)</f>
        <v>5.2245707571055622E-2</v>
      </c>
      <c r="J19" s="49">
        <f>IF(curve_type="Simulada",_xlfn.XLOOKUP(tbl_Bonds[[#This Row],[Coupon]],Simulador!$B$5:$B$147,Simulador!$N$5:$N$147),0)</f>
        <v>0</v>
      </c>
      <c r="K19" s="5" cm="1">
        <f t="array" ref="K1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5.2245707571055622E-2</v>
      </c>
      <c r="L19" s="5" cm="1">
        <f t="array" ref="L19">Interpola_FF(tbl_Bonds[[#This Row],[DU]],dus_svensson,svensson_real_spot)</f>
        <v>6.3573730880697621E-2</v>
      </c>
      <c r="M19" s="49">
        <f>IF(curve_type="Simulada",_xlfn.XLOOKUP(tbl_Bonds[[#This Row],[Coupon]],Simulador!$B$5:$B$147,Simulador!$K$5:$K$147),0)</f>
        <v>0</v>
      </c>
      <c r="N19" s="5" cm="1">
        <f t="array" ref="N1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6.3573730880697621E-2</v>
      </c>
      <c r="O19" s="6">
        <f>IF(curve_type="Mercado",tbl_Bonds[[#This Row],[FC]]/(1+tbl_Bonds[[#This Row],[Real Mercado]])^(tbl_Bonds[[#This Row],[DU]]/252),tbl_Bonds[[#This Row],[FC]]/(1+tbl_Bonds[[#This Row],[Real Simulada]])^(tbl_Bonds[[#This Row],[DU]]/252))</f>
        <v>2.5515488243228496E-2</v>
      </c>
      <c r="P19" s="7">
        <f>tbl_Bonds[[#This Row],[Cotação]]*VNA</f>
        <v>100.92152036871961</v>
      </c>
      <c r="Q19" s="18">
        <f>tbl_Bonds[[#This Row],[Cotação]]%%*VNA</f>
        <v>1.0092152036871962E-2</v>
      </c>
      <c r="R1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-2.2667944088744268E-2</v>
      </c>
      <c r="S1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-2.1542528534510597E-2</v>
      </c>
      <c r="T1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2.2912040873576508E-2</v>
      </c>
      <c r="U19" s="18">
        <f>IF(curve_type="Mercado",tbl_Bonds[[#This Row],[VP Cupom]]*LN(1+tbl_Bonds[[#This Row],[Real Mercado]])/252,tbl_Bonds[[#This Row],[VP Cupom]]*LN(1+tbl_Bonds[[#This Row],[Real Simulada]])/252)</f>
        <v>2.4683594413289961E-2</v>
      </c>
      <c r="V19" s="18">
        <f>SUMIF(Dashboard!$B$28:$B$42,tbl_Bonds[[#This Row],[Bond]],Dashboard!$C$28:$C$42)</f>
        <v>8983</v>
      </c>
      <c r="W19" s="18">
        <f>tbl_Bonds[[#This Row],[Quantidade]]*tbl_Bonds[[#This Row],[𝛿P/𝛿VNA]]</f>
        <v>90.65780174722083</v>
      </c>
      <c r="X19" s="18">
        <f>+tbl_Bonds[[#This Row],[Quantidade]]*tbl_Bonds[[#This Row],[𝛿P/𝛿r_real]]</f>
        <v>-203.62614174918977</v>
      </c>
      <c r="Y19" s="18">
        <f>tbl_Bonds[[#This Row],[Quantidade]]*tbl_Bonds[[#This Row],[𝛿P/𝛿r_pre]]</f>
        <v>-193.5165338255087</v>
      </c>
      <c r="Z19" s="18">
        <f>tbl_Bonds[[#This Row],[Quantidade]]*tbl_Bonds[[#This Row],[𝛿P/𝛿r_implicita]]</f>
        <v>205.81886316733778</v>
      </c>
      <c r="AA19" s="18">
        <f>tbl_Bonds[[#This Row],[Quantidade]]*tbl_Bonds[[#This Row],[𝛿P/𝛿du]]</f>
        <v>221.73272861458372</v>
      </c>
    </row>
    <row r="20" spans="1:27">
      <c r="A20" s="2" t="s">
        <v>79</v>
      </c>
      <c r="B20" s="3">
        <v>46251</v>
      </c>
      <c r="C20" s="3">
        <v>45884</v>
      </c>
      <c r="D20" s="4">
        <f>NETWORKDAYS(Dashboard!$C$10,bonds!C20,feriados)-1</f>
        <v>725</v>
      </c>
      <c r="E20" s="2">
        <f>IF(tbl_Bonds[[#This Row],[Coupon]]&lt;tbl_Bonds[[#This Row],[Maturity]],SQRT(1.06)-1,SQRT(1.06))</f>
        <v>2.9563014098699991E-2</v>
      </c>
      <c r="F20" s="5" cm="1">
        <f t="array" ref="F20">Svensson(betas_pre,tbl_Bonds[[#This Row],[DU]])</f>
        <v>0.11741710508794967</v>
      </c>
      <c r="G20" s="49">
        <f>IF(curve_type="Simulada",_xlfn.XLOOKUP(tbl_Bonds[[#This Row],[Coupon]],Simulador!$B$5:$B$147,Simulador!$H$5:$H$147),0)</f>
        <v>0</v>
      </c>
      <c r="H20" s="5" cm="1">
        <f t="array" ref="H2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0.11741710508794967</v>
      </c>
      <c r="I20" s="5" cm="1">
        <f t="array" ref="I20">Interpola_FF(tbl_Bonds[[#This Row],[DU]],dus_svensson,svensson_implicita)</f>
        <v>5.3104968591759505E-2</v>
      </c>
      <c r="J20" s="49">
        <f>IF(curve_type="Simulada",_xlfn.XLOOKUP(tbl_Bonds[[#This Row],[Coupon]],Simulador!$B$5:$B$147,Simulador!$N$5:$N$147),0)</f>
        <v>0</v>
      </c>
      <c r="K20" s="5" cm="1">
        <f t="array" ref="K2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5.3104968591759505E-2</v>
      </c>
      <c r="L20" s="5" cm="1">
        <f t="array" ref="L20">Interpola_FF(tbl_Bonds[[#This Row],[DU]],dus_svensson,svensson_real_spot)</f>
        <v>6.1070807198248644E-2</v>
      </c>
      <c r="M20" s="49">
        <f>IF(curve_type="Simulada",_xlfn.XLOOKUP(tbl_Bonds[[#This Row],[Coupon]],Simulador!$B$5:$B$147,Simulador!$K$5:$K$147),0)</f>
        <v>0</v>
      </c>
      <c r="N20" s="5" cm="1">
        <f t="array" ref="N2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6.1070807198248644E-2</v>
      </c>
      <c r="O20" s="6">
        <f>IF(curve_type="Mercado",tbl_Bonds[[#This Row],[FC]]/(1+tbl_Bonds[[#This Row],[Real Mercado]])^(tbl_Bonds[[#This Row],[DU]]/252),tbl_Bonds[[#This Row],[FC]]/(1+tbl_Bonds[[#This Row],[Real Simulada]])^(tbl_Bonds[[#This Row],[DU]]/252))</f>
        <v>2.4927721145174282E-2</v>
      </c>
      <c r="P20" s="7">
        <f>tbl_Bonds[[#This Row],[Cotação]]*VNA</f>
        <v>98.596722638302523</v>
      </c>
      <c r="Q20" s="18">
        <f>tbl_Bonds[[#This Row],[Cotação]]%%*VNA</f>
        <v>9.8596722638302527E-3</v>
      </c>
      <c r="R2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-2.6733485086830221E-2</v>
      </c>
      <c r="S2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-2.5385556042411363E-2</v>
      </c>
      <c r="T2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2.6935828231720655E-2</v>
      </c>
      <c r="U20" s="18">
        <f>IF(curve_type="Mercado",tbl_Bonds[[#This Row],[VP Cupom]]*LN(1+tbl_Bonds[[#This Row],[Real Mercado]])/252,tbl_Bonds[[#This Row],[VP Cupom]]*LN(1+tbl_Bonds[[#This Row],[Real Simulada]])/252)</f>
        <v>2.3193155001732964E-2</v>
      </c>
      <c r="V20" s="18">
        <f>SUMIF(Dashboard!$B$28:$B$42,tbl_Bonds[[#This Row],[Bond]],Dashboard!$C$28:$C$42)</f>
        <v>8983</v>
      </c>
      <c r="W20" s="18">
        <f>tbl_Bonds[[#This Row],[Quantidade]]*tbl_Bonds[[#This Row],[𝛿P/𝛿VNA]]</f>
        <v>88.569435945987166</v>
      </c>
      <c r="X20" s="18">
        <f>+tbl_Bonds[[#This Row],[Quantidade]]*tbl_Bonds[[#This Row],[𝛿P/𝛿r_real]]</f>
        <v>-240.14689653499588</v>
      </c>
      <c r="Y20" s="18">
        <f>tbl_Bonds[[#This Row],[Quantidade]]*tbl_Bonds[[#This Row],[𝛿P/𝛿r_pre]]</f>
        <v>-228.03844992898127</v>
      </c>
      <c r="Z20" s="18">
        <f>tbl_Bonds[[#This Row],[Quantidade]]*tbl_Bonds[[#This Row],[𝛿P/𝛿r_implicita]]</f>
        <v>241.96454500554665</v>
      </c>
      <c r="AA20" s="18">
        <f>tbl_Bonds[[#This Row],[Quantidade]]*tbl_Bonds[[#This Row],[𝛿P/𝛿du]]</f>
        <v>208.34411138056723</v>
      </c>
    </row>
    <row r="21" spans="1:27">
      <c r="A21" s="2" t="s">
        <v>79</v>
      </c>
      <c r="B21" s="3">
        <v>46251</v>
      </c>
      <c r="C21" s="3">
        <v>46071</v>
      </c>
      <c r="D21" s="4">
        <f>NETWORKDAYS(Dashboard!$C$10,bonds!C21,feriados)-1</f>
        <v>854</v>
      </c>
      <c r="E21" s="2">
        <f>IF(tbl_Bonds[[#This Row],[Coupon]]&lt;tbl_Bonds[[#This Row],[Maturity]],SQRT(1.06)-1,SQRT(1.06))</f>
        <v>2.9563014098699991E-2</v>
      </c>
      <c r="F21" s="5" cm="1">
        <f t="array" ref="F21">Svensson(betas_pre,tbl_Bonds[[#This Row],[DU]])</f>
        <v>0.11659182503244317</v>
      </c>
      <c r="G21" s="49">
        <f>IF(curve_type="Simulada",_xlfn.XLOOKUP(tbl_Bonds[[#This Row],[Coupon]],Simulador!$B$5:$B$147,Simulador!$H$5:$H$147),0)</f>
        <v>0</v>
      </c>
      <c r="H21" s="5" cm="1">
        <f t="array" ref="H2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0.11659182503244317</v>
      </c>
      <c r="I21" s="5" cm="1">
        <f t="array" ref="I21">Interpola_FF(tbl_Bonds[[#This Row],[DU]],dus_svensson,svensson_implicita)</f>
        <v>5.4141996542348858E-2</v>
      </c>
      <c r="J21" s="49">
        <f>IF(curve_type="Simulada",_xlfn.XLOOKUP(tbl_Bonds[[#This Row],[Coupon]],Simulador!$B$5:$B$147,Simulador!$N$5:$N$147),0)</f>
        <v>0</v>
      </c>
      <c r="K21" s="5" cm="1">
        <f t="array" ref="K2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5.4141996542348858E-2</v>
      </c>
      <c r="L21" s="5" cm="1">
        <f t="array" ref="L21">Interpola_FF(tbl_Bonds[[#This Row],[DU]],dus_svensson,svensson_real_spot)</f>
        <v>5.927838770503624E-2</v>
      </c>
      <c r="M21" s="49">
        <f>IF(curve_type="Simulada",_xlfn.XLOOKUP(tbl_Bonds[[#This Row],[Coupon]],Simulador!$B$5:$B$147,Simulador!$K$5:$K$147),0)</f>
        <v>0</v>
      </c>
      <c r="N21" s="5" cm="1">
        <f t="array" ref="N2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5.927838770503624E-2</v>
      </c>
      <c r="O21" s="6">
        <f>IF(curve_type="Mercado",tbl_Bonds[[#This Row],[FC]]/(1+tbl_Bonds[[#This Row],[Real Mercado]])^(tbl_Bonds[[#This Row],[DU]]/252),tbl_Bonds[[#This Row],[FC]]/(1+tbl_Bonds[[#This Row],[Real Simulada]])^(tbl_Bonds[[#This Row],[DU]]/252))</f>
        <v>2.4321604466759829E-2</v>
      </c>
      <c r="P21" s="7">
        <f>tbl_Bonds[[#This Row],[Cotação]]*VNA</f>
        <v>96.199346733780743</v>
      </c>
      <c r="Q21" s="18">
        <f>tbl_Bonds[[#This Row],[Cotação]]%%*VNA</f>
        <v>9.6199346733780756E-3</v>
      </c>
      <c r="R2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-3.0776507955646001E-2</v>
      </c>
      <c r="S2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-2.9200151732275033E-2</v>
      </c>
      <c r="T2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3.0930036770103562E-2</v>
      </c>
      <c r="U21" s="18">
        <f>IF(curve_type="Mercado",tbl_Bonds[[#This Row],[VP Cupom]]*LN(1+tbl_Bonds[[#This Row],[Real Mercado]])/252,tbl_Bonds[[#This Row],[VP Cupom]]*LN(1+tbl_Bonds[[#This Row],[Real Simulada]])/252)</f>
        <v>2.1983806825281928E-2</v>
      </c>
      <c r="V21" s="18">
        <f>SUMIF(Dashboard!$B$28:$B$42,tbl_Bonds[[#This Row],[Bond]],Dashboard!$C$28:$C$42)</f>
        <v>8983</v>
      </c>
      <c r="W21" s="18">
        <f>tbl_Bonds[[#This Row],[Quantidade]]*tbl_Bonds[[#This Row],[𝛿P/𝛿VNA]]</f>
        <v>86.415873170955251</v>
      </c>
      <c r="X21" s="18">
        <f>+tbl_Bonds[[#This Row],[Quantidade]]*tbl_Bonds[[#This Row],[𝛿P/𝛿r_real]]</f>
        <v>-276.46537096556801</v>
      </c>
      <c r="Y21" s="18">
        <f>tbl_Bonds[[#This Row],[Quantidade]]*tbl_Bonds[[#This Row],[𝛿P/𝛿r_pre]]</f>
        <v>-262.30496301102664</v>
      </c>
      <c r="Z21" s="18">
        <f>tbl_Bonds[[#This Row],[Quantidade]]*tbl_Bonds[[#This Row],[𝛿P/𝛿r_implicita]]</f>
        <v>277.84452030584032</v>
      </c>
      <c r="AA21" s="18">
        <f>tbl_Bonds[[#This Row],[Quantidade]]*tbl_Bonds[[#This Row],[𝛿P/𝛿du]]</f>
        <v>197.48053671150757</v>
      </c>
    </row>
    <row r="22" spans="1:27">
      <c r="A22" s="2" t="s">
        <v>79</v>
      </c>
      <c r="B22" s="3">
        <v>46251</v>
      </c>
      <c r="C22" s="3">
        <v>46251</v>
      </c>
      <c r="D22" s="4">
        <f>NETWORKDAYS(Dashboard!$C$10,bonds!C22,feriados)-1</f>
        <v>978</v>
      </c>
      <c r="E22" s="2">
        <f>IF(tbl_Bonds[[#This Row],[Coupon]]&lt;tbl_Bonds[[#This Row],[Maturity]],SQRT(1.06)-1,SQRT(1.06))</f>
        <v>1.0295630140987</v>
      </c>
      <c r="F22" s="5" cm="1">
        <f t="array" ref="F22">Svensson(betas_pre,tbl_Bonds[[#This Row],[DU]])</f>
        <v>0.11637191467183143</v>
      </c>
      <c r="G22" s="49">
        <f>IF(curve_type="Simulada",_xlfn.XLOOKUP(tbl_Bonds[[#This Row],[Coupon]],Simulador!$B$5:$B$147,Simulador!$H$5:$H$147),0)</f>
        <v>0</v>
      </c>
      <c r="H22" s="5" cm="1">
        <f t="array" ref="H2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0.11637191467183143</v>
      </c>
      <c r="I22" s="5" cm="1">
        <f t="array" ref="I22">Interpola_FF(tbl_Bonds[[#This Row],[DU]],dus_svensson,svensson_implicita)</f>
        <v>5.5066564562549658E-2</v>
      </c>
      <c r="J22" s="49">
        <f>IF(curve_type="Simulada",_xlfn.XLOOKUP(tbl_Bonds[[#This Row],[Coupon]],Simulador!$B$5:$B$147,Simulador!$N$5:$N$147),0)</f>
        <v>0</v>
      </c>
      <c r="K22" s="5" cm="1">
        <f t="array" ref="K2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5.5066564562549658E-2</v>
      </c>
      <c r="L22" s="5" cm="1">
        <f t="array" ref="L22">Interpola_FF(tbl_Bonds[[#This Row],[DU]],dus_svensson,svensson_real_spot)</f>
        <v>5.8133069907817969E-2</v>
      </c>
      <c r="M22" s="49">
        <f>IF(curve_type="Simulada",_xlfn.XLOOKUP(tbl_Bonds[[#This Row],[Coupon]],Simulador!$B$5:$B$147,Simulador!$K$5:$K$147),0)</f>
        <v>0</v>
      </c>
      <c r="N22" s="5" cm="1">
        <f t="array" ref="N2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5.8133069907817969E-2</v>
      </c>
      <c r="O22" s="6">
        <f>IF(curve_type="Mercado",tbl_Bonds[[#This Row],[FC]]/(1+tbl_Bonds[[#This Row],[Real Mercado]])^(tbl_Bonds[[#This Row],[DU]]/252),tbl_Bonds[[#This Row],[FC]]/(1+tbl_Bonds[[#This Row],[Real Simulada]])^(tbl_Bonds[[#This Row],[DU]]/252))</f>
        <v>0.82682432482395185</v>
      </c>
      <c r="P22" s="7">
        <f>tbl_Bonds[[#This Row],[Cotação]]*VNA</f>
        <v>3270.3418074399747</v>
      </c>
      <c r="Q22" s="18">
        <f>tbl_Bonds[[#This Row],[Cotação]]%%*VNA</f>
        <v>0.32703418074399748</v>
      </c>
      <c r="R2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-1.1994749228674975</v>
      </c>
      <c r="S2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-1.1370150226084943</v>
      </c>
      <c r="T2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1.2030820428153455</v>
      </c>
      <c r="U22" s="18">
        <f>IF(curve_type="Mercado",tbl_Bonds[[#This Row],[VP Cupom]]*LN(1+tbl_Bonds[[#This Row],[Real Mercado]])/252,tbl_Bonds[[#This Row],[VP Cupom]]*LN(1+tbl_Bonds[[#This Row],[Real Simulada]])/252)</f>
        <v>0.73331056666188721</v>
      </c>
      <c r="V22" s="18">
        <f>SUMIF(Dashboard!$B$28:$B$42,tbl_Bonds[[#This Row],[Bond]],Dashboard!$C$28:$C$42)</f>
        <v>8983</v>
      </c>
      <c r="W22" s="18">
        <f>tbl_Bonds[[#This Row],[Quantidade]]*tbl_Bonds[[#This Row],[𝛿P/𝛿VNA]]</f>
        <v>2937.7480456233293</v>
      </c>
      <c r="X22" s="18">
        <f>+tbl_Bonds[[#This Row],[Quantidade]]*tbl_Bonds[[#This Row],[𝛿P/𝛿r_real]]</f>
        <v>-10774.883232118729</v>
      </c>
      <c r="Y22" s="18">
        <f>tbl_Bonds[[#This Row],[Quantidade]]*tbl_Bonds[[#This Row],[𝛿P/𝛿r_pre]]</f>
        <v>-10213.805948092104</v>
      </c>
      <c r="Z22" s="18">
        <f>tbl_Bonds[[#This Row],[Quantidade]]*tbl_Bonds[[#This Row],[𝛿P/𝛿r_implicita]]</f>
        <v>10807.285990610248</v>
      </c>
      <c r="AA22" s="18">
        <f>tbl_Bonds[[#This Row],[Quantidade]]*tbl_Bonds[[#This Row],[𝛿P/𝛿du]]</f>
        <v>6587.3288203237325</v>
      </c>
    </row>
    <row r="23" spans="1:27">
      <c r="A23" s="2" t="s">
        <v>80</v>
      </c>
      <c r="B23" s="3">
        <v>46524</v>
      </c>
      <c r="C23" s="3">
        <v>44881</v>
      </c>
      <c r="D23" s="4">
        <f>NETWORKDAYS(Dashboard!$C$10,bonds!C23,feriados)-1</f>
        <v>34</v>
      </c>
      <c r="E23" s="2">
        <f>IF(tbl_Bonds[[#This Row],[Coupon]]&lt;tbl_Bonds[[#This Row],[Maturity]],SQRT(1.06)-1,SQRT(1.06))</f>
        <v>2.9563014098699991E-2</v>
      </c>
      <c r="F23" s="5" cm="1">
        <f t="array" ref="F23">Svensson(betas_pre,tbl_Bonds[[#This Row],[DU]])</f>
        <v>0.13709542415198134</v>
      </c>
      <c r="G23" s="49">
        <f>IF(curve_type="Simulada",_xlfn.XLOOKUP(tbl_Bonds[[#This Row],[Coupon]],Simulador!$B$5:$B$147,Simulador!$H$5:$H$147),0)</f>
        <v>0</v>
      </c>
      <c r="H23" s="5" cm="1">
        <f t="array" ref="H2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0.13709542415198134</v>
      </c>
      <c r="I23" s="5" cm="1">
        <f t="array" ref="I23">Interpola_FF(tbl_Bonds[[#This Row],[DU]],dus_svensson,svensson_implicita)</f>
        <v>3.9260043860060989E-2</v>
      </c>
      <c r="J23" s="49">
        <f>IF(curve_type="Simulada",_xlfn.XLOOKUP(tbl_Bonds[[#This Row],[Coupon]],Simulador!$B$5:$B$147,Simulador!$N$5:$N$147),0)</f>
        <v>0</v>
      </c>
      <c r="K23" s="5" cm="1">
        <f t="array" ref="K2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3.9260043860060989E-2</v>
      </c>
      <c r="L23" s="5" cm="1">
        <f t="array" ref="L23">Interpola_FF(tbl_Bonds[[#This Row],[DU]],dus_svensson,svensson_real_spot)</f>
        <v>9.4238501847281109E-2</v>
      </c>
      <c r="M23" s="49">
        <f>IF(curve_type="Simulada",_xlfn.XLOOKUP(tbl_Bonds[[#This Row],[Coupon]],Simulador!$B$5:$B$147,Simulador!$K$5:$K$147),0)</f>
        <v>0</v>
      </c>
      <c r="N23" s="5" cm="1">
        <f t="array" ref="N2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9.4238501847281109E-2</v>
      </c>
      <c r="O23" s="6">
        <f>IF(curve_type="Mercado",tbl_Bonds[[#This Row],[FC]]/(1+tbl_Bonds[[#This Row],[Real Mercado]])^(tbl_Bonds[[#This Row],[DU]]/252),tbl_Bonds[[#This Row],[FC]]/(1+tbl_Bonds[[#This Row],[Real Simulada]])^(tbl_Bonds[[#This Row],[DU]]/252))</f>
        <v>2.9205974099578352E-2</v>
      </c>
      <c r="P23" s="7">
        <f>tbl_Bonds[[#This Row],[Cotação]]*VNA</f>
        <v>115.51851494596143</v>
      </c>
      <c r="Q23" s="18">
        <f>tbl_Bonds[[#This Row],[Cotação]]%%*VNA</f>
        <v>1.1551851494596142E-2</v>
      </c>
      <c r="R2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-1.4243541380865455E-3</v>
      </c>
      <c r="S2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-1.3706872257140204E-3</v>
      </c>
      <c r="T2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1.4997229822422155E-3</v>
      </c>
      <c r="U23" s="18">
        <f>IF(curve_type="Mercado",tbl_Bonds[[#This Row],[VP Cupom]]*LN(1+tbl_Bonds[[#This Row],[Real Mercado]])/252,tbl_Bonds[[#This Row],[VP Cupom]]*LN(1+tbl_Bonds[[#This Row],[Real Simulada]])/252)</f>
        <v>4.1283516027923767E-2</v>
      </c>
      <c r="V23" s="18">
        <f>SUMIF(Dashboard!$B$28:$B$42,tbl_Bonds[[#This Row],[Bond]],Dashboard!$C$28:$C$42)</f>
        <v>13532</v>
      </c>
      <c r="W23" s="18">
        <f>tbl_Bonds[[#This Row],[Quantidade]]*tbl_Bonds[[#This Row],[𝛿P/𝛿VNA]]</f>
        <v>156.31965442487498</v>
      </c>
      <c r="X23" s="18">
        <f>+tbl_Bonds[[#This Row],[Quantidade]]*tbl_Bonds[[#This Row],[𝛿P/𝛿r_real]]</f>
        <v>-19.274360196587136</v>
      </c>
      <c r="Y23" s="18">
        <f>tbl_Bonds[[#This Row],[Quantidade]]*tbl_Bonds[[#This Row],[𝛿P/𝛿r_pre]]</f>
        <v>-18.548139538362125</v>
      </c>
      <c r="Z23" s="18">
        <f>tbl_Bonds[[#This Row],[Quantidade]]*tbl_Bonds[[#This Row],[𝛿P/𝛿r_implicita]]</f>
        <v>20.294251395701661</v>
      </c>
      <c r="AA23" s="18">
        <f>tbl_Bonds[[#This Row],[Quantidade]]*tbl_Bonds[[#This Row],[𝛿P/𝛿du]]</f>
        <v>558.64853888986443</v>
      </c>
    </row>
    <row r="24" spans="1:27">
      <c r="A24" s="2" t="s">
        <v>80</v>
      </c>
      <c r="B24" s="3">
        <v>46524</v>
      </c>
      <c r="C24" s="3">
        <v>45061</v>
      </c>
      <c r="D24" s="4">
        <f>NETWORKDAYS(Dashboard!$C$10,bonds!C24,feriados)-1</f>
        <v>157</v>
      </c>
      <c r="E24" s="2">
        <f>IF(tbl_Bonds[[#This Row],[Coupon]]&lt;tbl_Bonds[[#This Row],[Maturity]],SQRT(1.06)-1,SQRT(1.06))</f>
        <v>2.9563014098699991E-2</v>
      </c>
      <c r="F24" s="5" cm="1">
        <f t="array" ref="F24">Svensson(betas_pre,tbl_Bonds[[#This Row],[DU]])</f>
        <v>0.1367085106174083</v>
      </c>
      <c r="G24" s="49">
        <f>IF(curve_type="Simulada",_xlfn.XLOOKUP(tbl_Bonds[[#This Row],[Coupon]],Simulador!$B$5:$B$147,Simulador!$H$5:$H$147),0)</f>
        <v>0</v>
      </c>
      <c r="H24" s="5" cm="1">
        <f t="array" ref="H2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0.1367085106174083</v>
      </c>
      <c r="I24" s="5" cm="1">
        <f t="array" ref="I24">Interpola_FF(tbl_Bonds[[#This Row],[DU]],dus_svensson,svensson_implicita)</f>
        <v>4.8774403248048603E-2</v>
      </c>
      <c r="J24" s="49">
        <f>IF(curve_type="Simulada",_xlfn.XLOOKUP(tbl_Bonds[[#This Row],[Coupon]],Simulador!$B$5:$B$147,Simulador!$N$5:$N$147),0)</f>
        <v>0</v>
      </c>
      <c r="K24" s="5" cm="1">
        <f t="array" ref="K2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4.8774403248048603E-2</v>
      </c>
      <c r="L24" s="5" cm="1">
        <f t="array" ref="L24">Interpola_FF(tbl_Bonds[[#This Row],[DU]],dus_svensson,svensson_real_spot)</f>
        <v>8.3802406981866362E-2</v>
      </c>
      <c r="M24" s="49">
        <f>IF(curve_type="Simulada",_xlfn.XLOOKUP(tbl_Bonds[[#This Row],[Coupon]],Simulador!$B$5:$B$147,Simulador!$K$5:$K$147),0)</f>
        <v>0</v>
      </c>
      <c r="N24" s="5" cm="1">
        <f t="array" ref="N2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8.3802406981866362E-2</v>
      </c>
      <c r="O24" s="6">
        <f>IF(curve_type="Mercado",tbl_Bonds[[#This Row],[FC]]/(1+tbl_Bonds[[#This Row],[Real Mercado]])^(tbl_Bonds[[#This Row],[DU]]/252),tbl_Bonds[[#This Row],[FC]]/(1+tbl_Bonds[[#This Row],[Real Simulada]])^(tbl_Bonds[[#This Row],[DU]]/252))</f>
        <v>2.811734025699774E-2</v>
      </c>
      <c r="P24" s="7">
        <f>tbl_Bonds[[#This Row],[Cotação]]*VNA</f>
        <v>111.21263682711987</v>
      </c>
      <c r="Q24" s="18">
        <f>tbl_Bonds[[#This Row],[Cotação]]%%*VNA</f>
        <v>1.1121263682711989E-2</v>
      </c>
      <c r="R2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-6.3929769464337967E-3</v>
      </c>
      <c r="S2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-6.0952790892216937E-3</v>
      </c>
      <c r="T2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6.6063355416083073E-3</v>
      </c>
      <c r="U24" s="18">
        <f>IF(curve_type="Mercado",tbl_Bonds[[#This Row],[VP Cupom]]*LN(1+tbl_Bonds[[#This Row],[Real Mercado]])/252,tbl_Bonds[[#This Row],[VP Cupom]]*LN(1+tbl_Bonds[[#This Row],[Real Simulada]])/252)</f>
        <v>3.5515492994237334E-2</v>
      </c>
      <c r="V24" s="18">
        <f>SUMIF(Dashboard!$B$28:$B$42,tbl_Bonds[[#This Row],[Bond]],Dashboard!$C$28:$C$42)</f>
        <v>13532</v>
      </c>
      <c r="W24" s="18">
        <f>tbl_Bonds[[#This Row],[Quantidade]]*tbl_Bonds[[#This Row],[𝛿P/𝛿VNA]]</f>
        <v>150.49294015445864</v>
      </c>
      <c r="X24" s="18">
        <f>+tbl_Bonds[[#This Row],[Quantidade]]*tbl_Bonds[[#This Row],[𝛿P/𝛿r_real]]</f>
        <v>-86.509764039142141</v>
      </c>
      <c r="Y24" s="18">
        <f>tbl_Bonds[[#This Row],[Quantidade]]*tbl_Bonds[[#This Row],[𝛿P/𝛿r_pre]]</f>
        <v>-82.481316635347966</v>
      </c>
      <c r="Z24" s="18">
        <f>tbl_Bonds[[#This Row],[Quantidade]]*tbl_Bonds[[#This Row],[𝛿P/𝛿r_implicita]]</f>
        <v>89.396932549043612</v>
      </c>
      <c r="AA24" s="18">
        <f>tbl_Bonds[[#This Row],[Quantidade]]*tbl_Bonds[[#This Row],[𝛿P/𝛿du]]</f>
        <v>480.5956511980196</v>
      </c>
    </row>
    <row r="25" spans="1:27">
      <c r="A25" s="2" t="s">
        <v>80</v>
      </c>
      <c r="B25" s="3">
        <v>46524</v>
      </c>
      <c r="C25" s="3">
        <v>45246</v>
      </c>
      <c r="D25" s="4">
        <f>NETWORKDAYS(Dashboard!$C$10,bonds!C25,feriados)-1</f>
        <v>285</v>
      </c>
      <c r="E25" s="2">
        <f>IF(tbl_Bonds[[#This Row],[Coupon]]&lt;tbl_Bonds[[#This Row],[Maturity]],SQRT(1.06)-1,SQRT(1.06))</f>
        <v>2.9563014098699991E-2</v>
      </c>
      <c r="F25" s="5" cm="1">
        <f t="array" ref="F25">Svensson(betas_pre,tbl_Bonds[[#This Row],[DU]])</f>
        <v>0.13048300825828854</v>
      </c>
      <c r="G25" s="49">
        <f>IF(curve_type="Simulada",_xlfn.XLOOKUP(tbl_Bonds[[#This Row],[Coupon]],Simulador!$B$5:$B$147,Simulador!$H$5:$H$147),0)</f>
        <v>0</v>
      </c>
      <c r="H25" s="5" cm="1">
        <f t="array" ref="H2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0.13048300825828854</v>
      </c>
      <c r="I25" s="5" cm="1">
        <f t="array" ref="I25">Interpola_FF(tbl_Bonds[[#This Row],[DU]],dus_svensson,svensson_implicita)</f>
        <v>5.1052336771006734E-2</v>
      </c>
      <c r="J25" s="49">
        <f>IF(curve_type="Simulada",_xlfn.XLOOKUP(tbl_Bonds[[#This Row],[Coupon]],Simulador!$B$5:$B$147,Simulador!$N$5:$N$147),0)</f>
        <v>0</v>
      </c>
      <c r="K25" s="5" cm="1">
        <f t="array" ref="K2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5.1052336771006734E-2</v>
      </c>
      <c r="L25" s="5" cm="1">
        <f t="array" ref="L25">Interpola_FF(tbl_Bonds[[#This Row],[DU]],dus_svensson,svensson_real_spot)</f>
        <v>7.5555946570935895E-2</v>
      </c>
      <c r="M25" s="49">
        <f>IF(curve_type="Simulada",_xlfn.XLOOKUP(tbl_Bonds[[#This Row],[Coupon]],Simulador!$B$5:$B$147,Simulador!$K$5:$K$147),0)</f>
        <v>0</v>
      </c>
      <c r="N25" s="5" cm="1">
        <f t="array" ref="N2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7.5555946570935895E-2</v>
      </c>
      <c r="O25" s="6">
        <f>IF(curve_type="Mercado",tbl_Bonds[[#This Row],[FC]]/(1+tbl_Bonds[[#This Row],[Real Mercado]])^(tbl_Bonds[[#This Row],[DU]]/252),tbl_Bonds[[#This Row],[FC]]/(1+tbl_Bonds[[#This Row],[Real Simulada]])^(tbl_Bonds[[#This Row],[DU]]/252))</f>
        <v>2.7225338447297978E-2</v>
      </c>
      <c r="P25" s="7">
        <f>tbl_Bonds[[#This Row],[Cotação]]*VNA</f>
        <v>107.68449823347802</v>
      </c>
      <c r="Q25" s="18">
        <f>tbl_Bonds[[#This Row],[Cotação]]%%*VNA</f>
        <v>1.0768449823347803E-2</v>
      </c>
      <c r="R2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-1.1323078084137794E-2</v>
      </c>
      <c r="S2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-1.0772733134262443E-2</v>
      </c>
      <c r="T2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1.1586855701399822E-2</v>
      </c>
      <c r="U25" s="18">
        <f>IF(curve_type="Mercado",tbl_Bonds[[#This Row],[VP Cupom]]*LN(1+tbl_Bonds[[#This Row],[Real Mercado]])/252,tbl_Bonds[[#This Row],[VP Cupom]]*LN(1+tbl_Bonds[[#This Row],[Real Simulada]])/252)</f>
        <v>3.1124959646336391E-2</v>
      </c>
      <c r="V25" s="18">
        <f>SUMIF(Dashboard!$B$28:$B$42,tbl_Bonds[[#This Row],[Bond]],Dashboard!$C$28:$C$42)</f>
        <v>13532</v>
      </c>
      <c r="W25" s="18">
        <f>tbl_Bonds[[#This Row],[Quantidade]]*tbl_Bonds[[#This Row],[𝛿P/𝛿VNA]]</f>
        <v>145.71866300954247</v>
      </c>
      <c r="X25" s="18">
        <f>+tbl_Bonds[[#This Row],[Quantidade]]*tbl_Bonds[[#This Row],[𝛿P/𝛿r_real]]</f>
        <v>-153.22389263455264</v>
      </c>
      <c r="Y25" s="18">
        <f>tbl_Bonds[[#This Row],[Quantidade]]*tbl_Bonds[[#This Row],[𝛿P/𝛿r_pre]]</f>
        <v>-145.77662477283937</v>
      </c>
      <c r="Z25" s="18">
        <f>tbl_Bonds[[#This Row],[Quantidade]]*tbl_Bonds[[#This Row],[𝛿P/𝛿r_implicita]]</f>
        <v>156.7933313513424</v>
      </c>
      <c r="AA25" s="18">
        <f>tbl_Bonds[[#This Row],[Quantidade]]*tbl_Bonds[[#This Row],[𝛿P/𝛿du]]</f>
        <v>421.18295393422403</v>
      </c>
    </row>
    <row r="26" spans="1:27">
      <c r="A26" s="2" t="s">
        <v>80</v>
      </c>
      <c r="B26" s="3">
        <v>46524</v>
      </c>
      <c r="C26" s="3">
        <v>45427</v>
      </c>
      <c r="D26" s="4">
        <f>NETWORKDAYS(Dashboard!$C$10,bonds!C26,feriados)-1</f>
        <v>408</v>
      </c>
      <c r="E26" s="2">
        <f>IF(tbl_Bonds[[#This Row],[Coupon]]&lt;tbl_Bonds[[#This Row],[Maturity]],SQRT(1.06)-1,SQRT(1.06))</f>
        <v>2.9563014098699991E-2</v>
      </c>
      <c r="F26" s="5" cm="1">
        <f t="array" ref="F26">Svensson(betas_pre,tbl_Bonds[[#This Row],[DU]])</f>
        <v>0.12477200252598092</v>
      </c>
      <c r="G26" s="49">
        <f>IF(curve_type="Simulada",_xlfn.XLOOKUP(tbl_Bonds[[#This Row],[Coupon]],Simulador!$B$5:$B$147,Simulador!$H$5:$H$147),0)</f>
        <v>0</v>
      </c>
      <c r="H26" s="5" cm="1">
        <f t="array" ref="H2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0.12477200252598092</v>
      </c>
      <c r="I26" s="5" cm="1">
        <f t="array" ref="I26">Interpola_FF(tbl_Bonds[[#This Row],[DU]],dus_svensson,svensson_implicita)</f>
        <v>5.145750573058927E-2</v>
      </c>
      <c r="J26" s="49">
        <f>IF(curve_type="Simulada",_xlfn.XLOOKUP(tbl_Bonds[[#This Row],[Coupon]],Simulador!$B$5:$B$147,Simulador!$N$5:$N$147),0)</f>
        <v>0</v>
      </c>
      <c r="K26" s="5" cm="1">
        <f t="array" ref="K2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5.145750573058927E-2</v>
      </c>
      <c r="L26" s="5" cm="1">
        <f t="array" ref="L26">Interpola_FF(tbl_Bonds[[#This Row],[DU]],dus_svensson,svensson_real_spot)</f>
        <v>6.9722414488002649E-2</v>
      </c>
      <c r="M26" s="49">
        <f>IF(curve_type="Simulada",_xlfn.XLOOKUP(tbl_Bonds[[#This Row],[Coupon]],Simulador!$B$5:$B$147,Simulador!$K$5:$K$147),0)</f>
        <v>0</v>
      </c>
      <c r="N26" s="5" cm="1">
        <f t="array" ref="N2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6.9722414488002649E-2</v>
      </c>
      <c r="O26" s="6">
        <f>IF(curve_type="Mercado",tbl_Bonds[[#This Row],[FC]]/(1+tbl_Bonds[[#This Row],[Real Mercado]])^(tbl_Bonds[[#This Row],[DU]]/252),tbl_Bonds[[#This Row],[FC]]/(1+tbl_Bonds[[#This Row],[Real Simulada]])^(tbl_Bonds[[#This Row],[DU]]/252))</f>
        <v>2.6506806781420551E-2</v>
      </c>
      <c r="P26" s="7">
        <f>tbl_Bonds[[#This Row],[Cotação]]*VNA</f>
        <v>104.84248684564328</v>
      </c>
      <c r="Q26" s="18">
        <f>tbl_Bonds[[#This Row],[Cotação]]%%*VNA</f>
        <v>1.0484248684564327E-2</v>
      </c>
      <c r="R2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-1.5868133302947989E-2</v>
      </c>
      <c r="S2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-1.5091406765664775E-2</v>
      </c>
      <c r="T2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1.6143678385705663E-2</v>
      </c>
      <c r="U26" s="18">
        <f>IF(curve_type="Mercado",tbl_Bonds[[#This Row],[VP Cupom]]*LN(1+tbl_Bonds[[#This Row],[Real Mercado]])/252,tbl_Bonds[[#This Row],[VP Cupom]]*LN(1+tbl_Bonds[[#This Row],[Real Simulada]])/252)</f>
        <v>2.804086744899854E-2</v>
      </c>
      <c r="V26" s="18">
        <f>SUMIF(Dashboard!$B$28:$B$42,tbl_Bonds[[#This Row],[Bond]],Dashboard!$C$28:$C$42)</f>
        <v>13532</v>
      </c>
      <c r="W26" s="18">
        <f>tbl_Bonds[[#This Row],[Quantidade]]*tbl_Bonds[[#This Row],[𝛿P/𝛿VNA]]</f>
        <v>141.87285319952449</v>
      </c>
      <c r="X26" s="18">
        <f>+tbl_Bonds[[#This Row],[Quantidade]]*tbl_Bonds[[#This Row],[𝛿P/𝛿r_real]]</f>
        <v>-214.72757985549219</v>
      </c>
      <c r="Y26" s="18">
        <f>tbl_Bonds[[#This Row],[Quantidade]]*tbl_Bonds[[#This Row],[𝛿P/𝛿r_pre]]</f>
        <v>-204.21691635297572</v>
      </c>
      <c r="Z26" s="18">
        <f>tbl_Bonds[[#This Row],[Quantidade]]*tbl_Bonds[[#This Row],[𝛿P/𝛿r_implicita]]</f>
        <v>218.45625591536904</v>
      </c>
      <c r="AA26" s="18">
        <f>tbl_Bonds[[#This Row],[Quantidade]]*tbl_Bonds[[#This Row],[𝛿P/𝛿du]]</f>
        <v>379.44901831984822</v>
      </c>
    </row>
    <row r="27" spans="1:27">
      <c r="A27" s="2" t="s">
        <v>80</v>
      </c>
      <c r="B27" s="3">
        <v>46524</v>
      </c>
      <c r="C27" s="3">
        <v>45614</v>
      </c>
      <c r="D27" s="4">
        <f>NETWORKDAYS(Dashboard!$C$10,bonds!C27,feriados)-1</f>
        <v>539</v>
      </c>
      <c r="E27" s="2">
        <f>IF(tbl_Bonds[[#This Row],[Coupon]]&lt;tbl_Bonds[[#This Row],[Maturity]],SQRT(1.06)-1,SQRT(1.06))</f>
        <v>2.9563014098699991E-2</v>
      </c>
      <c r="F27" s="5" cm="1">
        <f t="array" ref="F27">Svensson(betas_pre,tbl_Bonds[[#This Row],[DU]])</f>
        <v>0.1205205679154658</v>
      </c>
      <c r="G27" s="49">
        <f>IF(curve_type="Simulada",_xlfn.XLOOKUP(tbl_Bonds[[#This Row],[Coupon]],Simulador!$B$5:$B$147,Simulador!$H$5:$H$147),0)</f>
        <v>0</v>
      </c>
      <c r="H27" s="5" cm="1">
        <f t="array" ref="H2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0.1205205679154658</v>
      </c>
      <c r="I27" s="5" cm="1">
        <f t="array" ref="I27">Interpola_FF(tbl_Bonds[[#This Row],[DU]],dus_svensson,svensson_implicita)</f>
        <v>5.1902571978476253E-2</v>
      </c>
      <c r="J27" s="49">
        <f>IF(curve_type="Simulada",_xlfn.XLOOKUP(tbl_Bonds[[#This Row],[Coupon]],Simulador!$B$5:$B$147,Simulador!$N$5:$N$147),0)</f>
        <v>0</v>
      </c>
      <c r="K27" s="5" cm="1">
        <f t="array" ref="K2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5.1902571978476253E-2</v>
      </c>
      <c r="L27" s="5" cm="1">
        <f t="array" ref="L27">Interpola_FF(tbl_Bonds[[#This Row],[DU]],dus_svensson,svensson_real_spot)</f>
        <v>6.5232770467420487E-2</v>
      </c>
      <c r="M27" s="49">
        <f>IF(curve_type="Simulada",_xlfn.XLOOKUP(tbl_Bonds[[#This Row],[Coupon]],Simulador!$B$5:$B$147,Simulador!$K$5:$K$147),0)</f>
        <v>0</v>
      </c>
      <c r="N27" s="5" cm="1">
        <f t="array" ref="N2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6.5232770467420487E-2</v>
      </c>
      <c r="O27" s="6">
        <f>IF(curve_type="Mercado",tbl_Bonds[[#This Row],[FC]]/(1+tbl_Bonds[[#This Row],[Real Mercado]])^(tbl_Bonds[[#This Row],[DU]]/252),tbl_Bonds[[#This Row],[FC]]/(1+tbl_Bonds[[#This Row],[Real Simulada]])^(tbl_Bonds[[#This Row],[DU]]/252))</f>
        <v>2.582545221198981E-2</v>
      </c>
      <c r="P27" s="7">
        <f>tbl_Bonds[[#This Row],[Cotação]]*VNA</f>
        <v>102.147522187251</v>
      </c>
      <c r="Q27" s="18">
        <f>tbl_Bonds[[#This Row],[Cotação]]%%*VNA</f>
        <v>1.0214752218725099E-2</v>
      </c>
      <c r="R2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-2.0510277780693243E-2</v>
      </c>
      <c r="S2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-1.9498296117425307E-2</v>
      </c>
      <c r="T2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2.0770214296356313E-2</v>
      </c>
      <c r="U27" s="18">
        <f>IF(curve_type="Mercado",tbl_Bonds[[#This Row],[VP Cupom]]*LN(1+tbl_Bonds[[#This Row],[Real Mercado]])/252,tbl_Bonds[[#This Row],[VP Cupom]]*LN(1+tbl_Bonds[[#This Row],[Real Simulada]])/252)</f>
        <v>2.5615250030549975E-2</v>
      </c>
      <c r="V27" s="18">
        <f>SUMIF(Dashboard!$B$28:$B$42,tbl_Bonds[[#This Row],[Bond]],Dashboard!$C$28:$C$42)</f>
        <v>13532</v>
      </c>
      <c r="W27" s="18">
        <f>tbl_Bonds[[#This Row],[Quantidade]]*tbl_Bonds[[#This Row],[𝛿P/𝛿VNA]]</f>
        <v>138.22602702378805</v>
      </c>
      <c r="X27" s="18">
        <f>+tbl_Bonds[[#This Row],[Quantidade]]*tbl_Bonds[[#This Row],[𝛿P/𝛿r_real]]</f>
        <v>-277.54507892834096</v>
      </c>
      <c r="Y27" s="18">
        <f>tbl_Bonds[[#This Row],[Quantidade]]*tbl_Bonds[[#This Row],[𝛿P/𝛿r_pre]]</f>
        <v>-263.85094306099927</v>
      </c>
      <c r="Z27" s="18">
        <f>tbl_Bonds[[#This Row],[Quantidade]]*tbl_Bonds[[#This Row],[𝛿P/𝛿r_implicita]]</f>
        <v>281.06253985829363</v>
      </c>
      <c r="AA27" s="18">
        <f>tbl_Bonds[[#This Row],[Quantidade]]*tbl_Bonds[[#This Row],[𝛿P/𝛿du]]</f>
        <v>346.62556341340223</v>
      </c>
    </row>
    <row r="28" spans="1:27">
      <c r="A28" s="2" t="s">
        <v>80</v>
      </c>
      <c r="B28" s="3">
        <v>46524</v>
      </c>
      <c r="C28" s="3">
        <v>45792</v>
      </c>
      <c r="D28" s="4">
        <f>NETWORKDAYS(Dashboard!$C$10,bonds!C28,feriados)-1</f>
        <v>660</v>
      </c>
      <c r="E28" s="2">
        <f>IF(tbl_Bonds[[#This Row],[Coupon]]&lt;tbl_Bonds[[#This Row],[Maturity]],SQRT(1.06)-1,SQRT(1.06))</f>
        <v>2.9563014098699991E-2</v>
      </c>
      <c r="F28" s="5" cm="1">
        <f t="array" ref="F28">Svensson(betas_pre,tbl_Bonds[[#This Row],[DU]])</f>
        <v>0.11818582291207119</v>
      </c>
      <c r="G28" s="49">
        <f>IF(curve_type="Simulada",_xlfn.XLOOKUP(tbl_Bonds[[#This Row],[Coupon]],Simulador!$B$5:$B$147,Simulador!$H$5:$H$147),0)</f>
        <v>0</v>
      </c>
      <c r="H28" s="5" cm="1">
        <f t="array" ref="H2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0.11818582291207119</v>
      </c>
      <c r="I28" s="5" cm="1">
        <f t="array" ref="I28">Interpola_FF(tbl_Bonds[[#This Row],[DU]],dus_svensson,svensson_implicita)</f>
        <v>5.2626601395276529E-2</v>
      </c>
      <c r="J28" s="49">
        <f>IF(curve_type="Simulada",_xlfn.XLOOKUP(tbl_Bonds[[#This Row],[Coupon]],Simulador!$B$5:$B$147,Simulador!$N$5:$N$147),0)</f>
        <v>0</v>
      </c>
      <c r="K28" s="5" cm="1">
        <f t="array" ref="K2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5.2626601395276529E-2</v>
      </c>
      <c r="L28" s="5" cm="1">
        <f t="array" ref="L28">Interpola_FF(tbl_Bonds[[#This Row],[DU]],dus_svensson,svensson_real_spot)</f>
        <v>6.2283233879442124E-2</v>
      </c>
      <c r="M28" s="49">
        <f>IF(curve_type="Simulada",_xlfn.XLOOKUP(tbl_Bonds[[#This Row],[Coupon]],Simulador!$B$5:$B$147,Simulador!$K$5:$K$147),0)</f>
        <v>0</v>
      </c>
      <c r="N28" s="5" cm="1">
        <f t="array" ref="N2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6.2283233879442124E-2</v>
      </c>
      <c r="O28" s="6">
        <f>IF(curve_type="Mercado",tbl_Bonds[[#This Row],[FC]]/(1+tbl_Bonds[[#This Row],[Real Mercado]])^(tbl_Bonds[[#This Row],[DU]]/252),tbl_Bonds[[#This Row],[FC]]/(1+tbl_Bonds[[#This Row],[Real Simulada]])^(tbl_Bonds[[#This Row],[DU]]/252))</f>
        <v>2.5236204875844076E-2</v>
      </c>
      <c r="P28" s="7">
        <f>tbl_Bonds[[#This Row],[Cotação]]*VNA</f>
        <v>99.816869664745283</v>
      </c>
      <c r="Q28" s="18">
        <f>tbl_Bonds[[#This Row],[Cotação]]%%*VNA</f>
        <v>9.9816869664745272E-3</v>
      </c>
      <c r="R2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-2.4609739333032402E-2</v>
      </c>
      <c r="S2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-2.3379496647249337E-2</v>
      </c>
      <c r="T2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2.4835608052391964E-2</v>
      </c>
      <c r="U28" s="18">
        <f>IF(curve_type="Mercado",tbl_Bonds[[#This Row],[VP Cupom]]*LN(1+tbl_Bonds[[#This Row],[Real Mercado]])/252,tbl_Bonds[[#This Row],[VP Cupom]]*LN(1+tbl_Bonds[[#This Row],[Real Simulada]])/252)</f>
        <v>2.3932514844771872E-2</v>
      </c>
      <c r="V28" s="18">
        <f>SUMIF(Dashboard!$B$28:$B$42,tbl_Bonds[[#This Row],[Bond]],Dashboard!$C$28:$C$42)</f>
        <v>13532</v>
      </c>
      <c r="W28" s="18">
        <f>tbl_Bonds[[#This Row],[Quantidade]]*tbl_Bonds[[#This Row],[𝛿P/𝛿VNA]]</f>
        <v>135.07218803033331</v>
      </c>
      <c r="X28" s="18">
        <f>+tbl_Bonds[[#This Row],[Quantidade]]*tbl_Bonds[[#This Row],[𝛿P/𝛿r_real]]</f>
        <v>-333.01899265459446</v>
      </c>
      <c r="Y28" s="18">
        <f>tbl_Bonds[[#This Row],[Quantidade]]*tbl_Bonds[[#This Row],[𝛿P/𝛿r_pre]]</f>
        <v>-316.37134863057804</v>
      </c>
      <c r="Z28" s="18">
        <f>tbl_Bonds[[#This Row],[Quantidade]]*tbl_Bonds[[#This Row],[𝛿P/𝛿r_implicita]]</f>
        <v>336.07544816496807</v>
      </c>
      <c r="AA28" s="18">
        <f>tbl_Bonds[[#This Row],[Quantidade]]*tbl_Bonds[[#This Row],[𝛿P/𝛿du]]</f>
        <v>323.85479087945299</v>
      </c>
    </row>
    <row r="29" spans="1:27">
      <c r="A29" s="2" t="s">
        <v>80</v>
      </c>
      <c r="B29" s="3">
        <v>46524</v>
      </c>
      <c r="C29" s="3">
        <v>45978</v>
      </c>
      <c r="D29" s="4">
        <f>NETWORKDAYS(Dashboard!$C$10,bonds!C29,feriados)-1</f>
        <v>791</v>
      </c>
      <c r="E29" s="2">
        <f>IF(tbl_Bonds[[#This Row],[Coupon]]&lt;tbl_Bonds[[#This Row],[Maturity]],SQRT(1.06)-1,SQRT(1.06))</f>
        <v>2.9563014098699991E-2</v>
      </c>
      <c r="F29" s="5" cm="1">
        <f t="array" ref="F29">Svensson(betas_pre,tbl_Bonds[[#This Row],[DU]])</f>
        <v>0.11689729255746713</v>
      </c>
      <c r="G29" s="49">
        <f>IF(curve_type="Simulada",_xlfn.XLOOKUP(tbl_Bonds[[#This Row],[Coupon]],Simulador!$B$5:$B$147,Simulador!$H$5:$H$147),0)</f>
        <v>0</v>
      </c>
      <c r="H29" s="5" cm="1">
        <f t="array" ref="H2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0.11689729255746713</v>
      </c>
      <c r="I29" s="5" cm="1">
        <f t="array" ref="I29">Interpola_FF(tbl_Bonds[[#This Row],[DU]],dus_svensson,svensson_implicita)</f>
        <v>5.3651431773697356E-2</v>
      </c>
      <c r="J29" s="49">
        <f>IF(curve_type="Simulada",_xlfn.XLOOKUP(tbl_Bonds[[#This Row],[Coupon]],Simulador!$B$5:$B$147,Simulador!$N$5:$N$147),0)</f>
        <v>0</v>
      </c>
      <c r="K29" s="5" cm="1">
        <f t="array" ref="K2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5.3651431773697356E-2</v>
      </c>
      <c r="L29" s="5" cm="1">
        <f t="array" ref="L29">Interpola_FF(tbl_Bonds[[#This Row],[DU]],dus_svensson,svensson_real_spot)</f>
        <v>6.0071388550429816E-2</v>
      </c>
      <c r="M29" s="49">
        <f>IF(curve_type="Simulada",_xlfn.XLOOKUP(tbl_Bonds[[#This Row],[Coupon]],Simulador!$B$5:$B$147,Simulador!$K$5:$K$147),0)</f>
        <v>0</v>
      </c>
      <c r="N29" s="5" cm="1">
        <f t="array" ref="N2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6.0071388550429816E-2</v>
      </c>
      <c r="O29" s="6">
        <f>IF(curve_type="Mercado",tbl_Bonds[[#This Row],[FC]]/(1+tbl_Bonds[[#This Row],[Real Mercado]])^(tbl_Bonds[[#This Row],[DU]]/252),tbl_Bonds[[#This Row],[FC]]/(1+tbl_Bonds[[#This Row],[Real Simulada]])^(tbl_Bonds[[#This Row],[DU]]/252))</f>
        <v>2.4616403711601106E-2</v>
      </c>
      <c r="P29" s="7">
        <f>tbl_Bonds[[#This Row],[Cotação]]*VNA</f>
        <v>97.365367454580706</v>
      </c>
      <c r="Q29" s="18">
        <f>tbl_Bonds[[#This Row],[Cotação]]%%*VNA</f>
        <v>9.7365367454580708E-3</v>
      </c>
      <c r="R2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-2.883004610507213E-2</v>
      </c>
      <c r="S2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-2.7366946131968849E-2</v>
      </c>
      <c r="T2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2.9009658335401964E-2</v>
      </c>
      <c r="U29" s="18">
        <f>IF(curve_type="Mercado",tbl_Bonds[[#This Row],[VP Cupom]]*LN(1+tbl_Bonds[[#This Row],[Real Mercado]])/252,tbl_Bonds[[#This Row],[VP Cupom]]*LN(1+tbl_Bonds[[#This Row],[Real Simulada]])/252)</f>
        <v>2.2539407787152282E-2</v>
      </c>
      <c r="V29" s="18">
        <f>SUMIF(Dashboard!$B$28:$B$42,tbl_Bonds[[#This Row],[Bond]],Dashboard!$C$28:$C$42)</f>
        <v>13532</v>
      </c>
      <c r="W29" s="18">
        <f>tbl_Bonds[[#This Row],[Quantidade]]*tbl_Bonds[[#This Row],[𝛿P/𝛿VNA]]</f>
        <v>131.7548152395386</v>
      </c>
      <c r="X29" s="18">
        <f>+tbl_Bonds[[#This Row],[Quantidade]]*tbl_Bonds[[#This Row],[𝛿P/𝛿r_real]]</f>
        <v>-390.12818389383608</v>
      </c>
      <c r="Y29" s="18">
        <f>tbl_Bonds[[#This Row],[Quantidade]]*tbl_Bonds[[#This Row],[𝛿P/𝛿r_pre]]</f>
        <v>-370.32951505780244</v>
      </c>
      <c r="Z29" s="18">
        <f>tbl_Bonds[[#This Row],[Quantidade]]*tbl_Bonds[[#This Row],[𝛿P/𝛿r_implicita]]</f>
        <v>392.55869659465935</v>
      </c>
      <c r="AA29" s="18">
        <f>tbl_Bonds[[#This Row],[Quantidade]]*tbl_Bonds[[#This Row],[𝛿P/𝛿du]]</f>
        <v>305.00326617574467</v>
      </c>
    </row>
    <row r="30" spans="1:27">
      <c r="A30" s="2" t="s">
        <v>80</v>
      </c>
      <c r="B30" s="3">
        <v>46524</v>
      </c>
      <c r="C30" s="3">
        <v>46157</v>
      </c>
      <c r="D30" s="4">
        <f>NETWORKDAYS(Dashboard!$C$10,bonds!C30,feriados)-1</f>
        <v>913</v>
      </c>
      <c r="E30" s="2">
        <f>IF(tbl_Bonds[[#This Row],[Coupon]]&lt;tbl_Bonds[[#This Row],[Maturity]],SQRT(1.06)-1,SQRT(1.06))</f>
        <v>2.9563014098699991E-2</v>
      </c>
      <c r="F30" s="5" cm="1">
        <f t="array" ref="F30">Svensson(betas_pre,tbl_Bonds[[#This Row],[DU]])</f>
        <v>0.11643527123250733</v>
      </c>
      <c r="G30" s="49">
        <f>IF(curve_type="Simulada",_xlfn.XLOOKUP(tbl_Bonds[[#This Row],[Coupon]],Simulador!$B$5:$B$147,Simulador!$H$5:$H$147),0)</f>
        <v>0</v>
      </c>
      <c r="H30" s="5" cm="1">
        <f t="array" ref="H3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0.11643527123250733</v>
      </c>
      <c r="I30" s="5" cm="1">
        <f t="array" ref="I30">Interpola_FF(tbl_Bonds[[#This Row],[DU]],dus_svensson,svensson_implicita)</f>
        <v>5.4589692520684352E-2</v>
      </c>
      <c r="J30" s="49">
        <f>IF(curve_type="Simulada",_xlfn.XLOOKUP(tbl_Bonds[[#This Row],[Coupon]],Simulador!$B$5:$B$147,Simulador!$N$5:$N$147),0)</f>
        <v>0</v>
      </c>
      <c r="K30" s="5" cm="1">
        <f t="array" ref="K3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5.4589692520684352E-2</v>
      </c>
      <c r="L30" s="5" cm="1">
        <f t="array" ref="L30">Interpola_FF(tbl_Bonds[[#This Row],[DU]],dus_svensson,svensson_real_spot)</f>
        <v>5.8675502773394728E-2</v>
      </c>
      <c r="M30" s="49">
        <f>IF(curve_type="Simulada",_xlfn.XLOOKUP(tbl_Bonds[[#This Row],[Coupon]],Simulador!$B$5:$B$147,Simulador!$K$5:$K$147),0)</f>
        <v>0</v>
      </c>
      <c r="N30" s="5" cm="1">
        <f t="array" ref="N3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5.8675502773394728E-2</v>
      </c>
      <c r="O30" s="6">
        <f>IF(curve_type="Mercado",tbl_Bonds[[#This Row],[FC]]/(1+tbl_Bonds[[#This Row],[Real Mercado]])^(tbl_Bonds[[#This Row],[DU]]/252),tbl_Bonds[[#This Row],[FC]]/(1+tbl_Bonds[[#This Row],[Real Simulada]])^(tbl_Bonds[[#This Row],[DU]]/252))</f>
        <v>2.4045425231161977E-2</v>
      </c>
      <c r="P30" s="7">
        <f>tbl_Bonds[[#This Row],[Cotação]]*VNA</f>
        <v>95.106973815610033</v>
      </c>
      <c r="Q30" s="18">
        <f>tbl_Bonds[[#This Row],[Cotação]]%%*VNA</f>
        <v>9.5106973815610035E-3</v>
      </c>
      <c r="R3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-3.2547657413984278E-2</v>
      </c>
      <c r="S3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-3.0867081019489678E-2</v>
      </c>
      <c r="T3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3.2677256580974812E-2</v>
      </c>
      <c r="U30" s="18">
        <f>IF(curve_type="Mercado",tbl_Bonds[[#This Row],[VP Cupom]]*LN(1+tbl_Bonds[[#This Row],[Real Mercado]])/252,tbl_Bonds[[#This Row],[VP Cupom]]*LN(1+tbl_Bonds[[#This Row],[Real Simulada]])/252)</f>
        <v>2.1519311923447255E-2</v>
      </c>
      <c r="V30" s="18">
        <f>SUMIF(Dashboard!$B$28:$B$42,tbl_Bonds[[#This Row],[Bond]],Dashboard!$C$28:$C$42)</f>
        <v>13532</v>
      </c>
      <c r="W30" s="18">
        <f>tbl_Bonds[[#This Row],[Quantidade]]*tbl_Bonds[[#This Row],[𝛿P/𝛿VNA]]</f>
        <v>128.69875696728349</v>
      </c>
      <c r="X30" s="18">
        <f>+tbl_Bonds[[#This Row],[Quantidade]]*tbl_Bonds[[#This Row],[𝛿P/𝛿r_real]]</f>
        <v>-440.43490012603525</v>
      </c>
      <c r="Y30" s="18">
        <f>tbl_Bonds[[#This Row],[Quantidade]]*tbl_Bonds[[#This Row],[𝛿P/𝛿r_pre]]</f>
        <v>-417.69334035573434</v>
      </c>
      <c r="Z30" s="18">
        <f>tbl_Bonds[[#This Row],[Quantidade]]*tbl_Bonds[[#This Row],[𝛿P/𝛿r_implicita]]</f>
        <v>442.18863605375117</v>
      </c>
      <c r="AA30" s="18">
        <f>tbl_Bonds[[#This Row],[Quantidade]]*tbl_Bonds[[#This Row],[𝛿P/𝛿du]]</f>
        <v>291.19932894808824</v>
      </c>
    </row>
    <row r="31" spans="1:27">
      <c r="A31" s="2" t="s">
        <v>80</v>
      </c>
      <c r="B31" s="3">
        <v>46524</v>
      </c>
      <c r="C31" s="3">
        <v>46342</v>
      </c>
      <c r="D31" s="4">
        <f>NETWORKDAYS(Dashboard!$C$10,bonds!C31,feriados)-1</f>
        <v>1040</v>
      </c>
      <c r="E31" s="2">
        <f>IF(tbl_Bonds[[#This Row],[Coupon]]&lt;tbl_Bonds[[#This Row],[Maturity]],SQRT(1.06)-1,SQRT(1.06))</f>
        <v>2.9563014098699991E-2</v>
      </c>
      <c r="F31" s="5" cm="1">
        <f t="array" ref="F31">Svensson(betas_pre,tbl_Bonds[[#This Row],[DU]])</f>
        <v>0.11639008955215797</v>
      </c>
      <c r="G31" s="49">
        <f>IF(curve_type="Simulada",_xlfn.XLOOKUP(tbl_Bonds[[#This Row],[Coupon]],Simulador!$B$5:$B$147,Simulador!$H$5:$H$147),0)</f>
        <v>0</v>
      </c>
      <c r="H31" s="5" cm="1">
        <f t="array" ref="H3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0.11639008955215797</v>
      </c>
      <c r="I31" s="5" cm="1">
        <f t="array" ref="I31">Interpola_FF(tbl_Bonds[[#This Row],[DU]],dus_svensson,svensson_implicita)</f>
        <v>5.5484848781022444E-2</v>
      </c>
      <c r="J31" s="49">
        <f>IF(curve_type="Simulada",_xlfn.XLOOKUP(tbl_Bonds[[#This Row],[Coupon]],Simulador!$B$5:$B$147,Simulador!$N$5:$N$147),0)</f>
        <v>0</v>
      </c>
      <c r="K31" s="5" cm="1">
        <f t="array" ref="K3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5.5484848781022444E-2</v>
      </c>
      <c r="L31" s="5" cm="1">
        <f t="array" ref="L31">Interpola_FF(tbl_Bonds[[#This Row],[DU]],dus_svensson,svensson_real_spot)</f>
        <v>5.7724810900317891E-2</v>
      </c>
      <c r="M31" s="49">
        <f>IF(curve_type="Simulada",_xlfn.XLOOKUP(tbl_Bonds[[#This Row],[Coupon]],Simulador!$B$5:$B$147,Simulador!$K$5:$K$147),0)</f>
        <v>0</v>
      </c>
      <c r="N31" s="5" cm="1">
        <f t="array" ref="N3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5.7724810900317891E-2</v>
      </c>
      <c r="O31" s="6">
        <f>IF(curve_type="Mercado",tbl_Bonds[[#This Row],[FC]]/(1+tbl_Bonds[[#This Row],[Real Mercado]])^(tbl_Bonds[[#This Row],[DU]]/252),tbl_Bonds[[#This Row],[FC]]/(1+tbl_Bonds[[#This Row],[Real Simulada]])^(tbl_Bonds[[#This Row],[DU]]/252))</f>
        <v>2.3451088136767103E-2</v>
      </c>
      <c r="P31" s="7">
        <f>tbl_Bonds[[#This Row],[Cotação]]*VNA</f>
        <v>92.756189750414791</v>
      </c>
      <c r="Q31" s="18">
        <f>tbl_Bonds[[#This Row],[Cotação]]%%*VNA</f>
        <v>9.2756189750414809E-3</v>
      </c>
      <c r="R3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-3.6191201986994492E-2</v>
      </c>
      <c r="S3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-3.429222973932803E-2</v>
      </c>
      <c r="T3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3.6271013718335375E-2</v>
      </c>
      <c r="U31" s="18">
        <f>IF(curve_type="Mercado",tbl_Bonds[[#This Row],[VP Cupom]]*LN(1+tbl_Bonds[[#This Row],[Real Mercado]])/252,tbl_Bonds[[#This Row],[VP Cupom]]*LN(1+tbl_Bonds[[#This Row],[Real Simulada]])/252)</f>
        <v>2.0656728547456874E-2</v>
      </c>
      <c r="V31" s="18">
        <f>SUMIF(Dashboard!$B$28:$B$42,tbl_Bonds[[#This Row],[Bond]],Dashboard!$C$28:$C$42)</f>
        <v>13532</v>
      </c>
      <c r="W31" s="18">
        <f>tbl_Bonds[[#This Row],[Quantidade]]*tbl_Bonds[[#This Row],[𝛿P/𝛿VNA]]</f>
        <v>125.51767597026132</v>
      </c>
      <c r="X31" s="18">
        <f>+tbl_Bonds[[#This Row],[Quantidade]]*tbl_Bonds[[#This Row],[𝛿P/𝛿r_real]]</f>
        <v>-489.73934528800947</v>
      </c>
      <c r="Y31" s="18">
        <f>tbl_Bonds[[#This Row],[Quantidade]]*tbl_Bonds[[#This Row],[𝛿P/𝛿r_pre]]</f>
        <v>-464.04245283258689</v>
      </c>
      <c r="Z31" s="18">
        <f>tbl_Bonds[[#This Row],[Quantidade]]*tbl_Bonds[[#This Row],[𝛿P/𝛿r_implicita]]</f>
        <v>490.81935763651427</v>
      </c>
      <c r="AA31" s="18">
        <f>tbl_Bonds[[#This Row],[Quantidade]]*tbl_Bonds[[#This Row],[𝛿P/𝛿du]]</f>
        <v>279.52685070418642</v>
      </c>
    </row>
    <row r="32" spans="1:27">
      <c r="A32" s="2" t="s">
        <v>80</v>
      </c>
      <c r="B32" s="3">
        <v>46524</v>
      </c>
      <c r="C32" s="3">
        <v>46524</v>
      </c>
      <c r="D32" s="4">
        <f>NETWORKDAYS(Dashboard!$C$10,bonds!C32,feriados)-1</f>
        <v>1164</v>
      </c>
      <c r="E32" s="2">
        <f>IF(tbl_Bonds[[#This Row],[Coupon]]&lt;tbl_Bonds[[#This Row],[Maturity]],SQRT(1.06)-1,SQRT(1.06))</f>
        <v>1.0295630140987</v>
      </c>
      <c r="F32" s="5" cm="1">
        <f t="array" ref="F32">Svensson(betas_pre,tbl_Bonds[[#This Row],[DU]])</f>
        <v>0.11657438368857059</v>
      </c>
      <c r="G32" s="49">
        <f>IF(curve_type="Simulada",_xlfn.XLOOKUP(tbl_Bonds[[#This Row],[Coupon]],Simulador!$B$5:$B$147,Simulador!$H$5:$H$147),0)</f>
        <v>0</v>
      </c>
      <c r="H32" s="5" cm="1">
        <f t="array" ref="H3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0.11657438368857059</v>
      </c>
      <c r="I32" s="5" cm="1">
        <f t="array" ref="I32">Interpola_FF(tbl_Bonds[[#This Row],[DU]],dus_svensson,svensson_implicita)</f>
        <v>5.6218908932760714E-2</v>
      </c>
      <c r="J32" s="49">
        <f>IF(curve_type="Simulada",_xlfn.XLOOKUP(tbl_Bonds[[#This Row],[Coupon]],Simulador!$B$5:$B$147,Simulador!$N$5:$N$147),0)</f>
        <v>0</v>
      </c>
      <c r="K32" s="5" cm="1">
        <f t="array" ref="K3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5.6218908932760714E-2</v>
      </c>
      <c r="L32" s="5" cm="1">
        <f t="array" ref="L32">Interpola_FF(tbl_Bonds[[#This Row],[DU]],dus_svensson,svensson_real_spot)</f>
        <v>5.715583461245699E-2</v>
      </c>
      <c r="M32" s="49">
        <f>IF(curve_type="Simulada",_xlfn.XLOOKUP(tbl_Bonds[[#This Row],[Coupon]],Simulador!$B$5:$B$147,Simulador!$K$5:$K$147),0)</f>
        <v>0</v>
      </c>
      <c r="N32" s="5" cm="1">
        <f t="array" ref="N3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5.715583461245699E-2</v>
      </c>
      <c r="O32" s="6">
        <f>IF(curve_type="Mercado",tbl_Bonds[[#This Row],[FC]]/(1+tbl_Bonds[[#This Row],[Real Mercado]])^(tbl_Bonds[[#This Row],[DU]]/252),tbl_Bonds[[#This Row],[FC]]/(1+tbl_Bonds[[#This Row],[Real Simulada]])^(tbl_Bonds[[#This Row],[DU]]/252))</f>
        <v>0.79644115039526286</v>
      </c>
      <c r="P32" s="7">
        <f>tbl_Bonds[[#This Row],[Cotação]]*VNA</f>
        <v>3150.1671069701506</v>
      </c>
      <c r="Q32" s="18">
        <f>tbl_Bonds[[#This Row],[Cotação]]%%*VNA</f>
        <v>0.31501671069701509</v>
      </c>
      <c r="R3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-1.3764074698019115</v>
      </c>
      <c r="S3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-1.3032352031654211</v>
      </c>
      <c r="T3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1.3777059201165227</v>
      </c>
      <c r="U32" s="18">
        <f>IF(curve_type="Mercado",tbl_Bonds[[#This Row],[VP Cupom]]*LN(1+tbl_Bonds[[#This Row],[Real Mercado]])/252,tbl_Bonds[[#This Row],[VP Cupom]]*LN(1+tbl_Bonds[[#This Row],[Real Simulada]])/252)</f>
        <v>0.69481344608386986</v>
      </c>
      <c r="V32" s="18">
        <f>SUMIF(Dashboard!$B$28:$B$42,tbl_Bonds[[#This Row],[Bond]],Dashboard!$C$28:$C$42)</f>
        <v>13532</v>
      </c>
      <c r="W32" s="18">
        <f>tbl_Bonds[[#This Row],[Quantidade]]*tbl_Bonds[[#This Row],[𝛿P/𝛿VNA]]</f>
        <v>4262.806129152008</v>
      </c>
      <c r="X32" s="18">
        <f>+tbl_Bonds[[#This Row],[Quantidade]]*tbl_Bonds[[#This Row],[𝛿P/𝛿r_real]]</f>
        <v>-18625.545881359467</v>
      </c>
      <c r="Y32" s="18">
        <f>tbl_Bonds[[#This Row],[Quantidade]]*tbl_Bonds[[#This Row],[𝛿P/𝛿r_pre]]</f>
        <v>-17635.378769234478</v>
      </c>
      <c r="Z32" s="18">
        <f>tbl_Bonds[[#This Row],[Quantidade]]*tbl_Bonds[[#This Row],[𝛿P/𝛿r_implicita]]</f>
        <v>18643.116511016786</v>
      </c>
      <c r="AA32" s="18">
        <f>tbl_Bonds[[#This Row],[Quantidade]]*tbl_Bonds[[#This Row],[𝛿P/𝛿du]]</f>
        <v>9402.2155524069276</v>
      </c>
    </row>
    <row r="33" spans="1:27">
      <c r="A33" s="2" t="s">
        <v>81</v>
      </c>
      <c r="B33" s="3">
        <v>46980</v>
      </c>
      <c r="C33" s="3">
        <v>44972</v>
      </c>
      <c r="D33" s="4">
        <f>NETWORKDAYS(Dashboard!$C$10,bonds!C33,feriados)-1</f>
        <v>99</v>
      </c>
      <c r="E33" s="2">
        <f>IF(tbl_Bonds[[#This Row],[Coupon]]&lt;tbl_Bonds[[#This Row],[Maturity]],SQRT(1.06)-1,SQRT(1.06))</f>
        <v>2.9563014098699991E-2</v>
      </c>
      <c r="F33" s="5" cm="1">
        <f t="array" ref="F33">Svensson(betas_pre,tbl_Bonds[[#This Row],[DU]])</f>
        <v>0.13824476901041258</v>
      </c>
      <c r="G33" s="49">
        <f>IF(curve_type="Simulada",_xlfn.XLOOKUP(tbl_Bonds[[#This Row],[Coupon]],Simulador!$B$5:$B$147,Simulador!$H$5:$H$147),0)</f>
        <v>0</v>
      </c>
      <c r="H33" s="5" cm="1">
        <f t="array" ref="H3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0.13824476901041258</v>
      </c>
      <c r="I33" s="5" cm="1">
        <f t="array" ref="I33">Interpola_FF(tbl_Bonds[[#This Row],[DU]],dus_svensson,svensson_implicita)</f>
        <v>4.5724704287595008E-2</v>
      </c>
      <c r="J33" s="49">
        <f>IF(curve_type="Simulada",_xlfn.XLOOKUP(tbl_Bonds[[#This Row],[Coupon]],Simulador!$B$5:$B$147,Simulador!$N$5:$N$147),0)</f>
        <v>0</v>
      </c>
      <c r="K33" s="5" cm="1">
        <f t="array" ref="K3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4.5724704287595008E-2</v>
      </c>
      <c r="L33" s="5" cm="1">
        <f t="array" ref="L33">Interpola_FF(tbl_Bonds[[#This Row],[DU]],dus_svensson,svensson_real_spot)</f>
        <v>8.8437815039086765E-2</v>
      </c>
      <c r="M33" s="49">
        <f>IF(curve_type="Simulada",_xlfn.XLOOKUP(tbl_Bonds[[#This Row],[Coupon]],Simulador!$B$5:$B$147,Simulador!$K$5:$K$147),0)</f>
        <v>0</v>
      </c>
      <c r="N33" s="5" cm="1">
        <f t="array" ref="N3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8.8437815039086765E-2</v>
      </c>
      <c r="O33" s="6">
        <f>IF(curve_type="Mercado",tbl_Bonds[[#This Row],[FC]]/(1+tbl_Bonds[[#This Row],[Real Mercado]])^(tbl_Bonds[[#This Row],[DU]]/252),tbl_Bonds[[#This Row],[FC]]/(1+tbl_Bonds[[#This Row],[Real Simulada]])^(tbl_Bonds[[#This Row],[DU]]/252))</f>
        <v>2.8595002889922921E-2</v>
      </c>
      <c r="P33" s="7">
        <f>tbl_Bonds[[#This Row],[Cotação]]*VNA</f>
        <v>113.10193789314702</v>
      </c>
      <c r="Q33" s="18">
        <f>tbl_Bonds[[#This Row],[Cotação]]%%*VNA</f>
        <v>1.1310193789314704E-2</v>
      </c>
      <c r="R3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-4.0822639160797754E-3</v>
      </c>
      <c r="S3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-3.9035816912818782E-3</v>
      </c>
      <c r="T3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4.248949481913014E-3</v>
      </c>
      <c r="U33" s="18">
        <f>IF(curve_type="Mercado",tbl_Bonds[[#This Row],[VP Cupom]]*LN(1+tbl_Bonds[[#This Row],[Real Mercado]])/252,tbl_Bonds[[#This Row],[VP Cupom]]*LN(1+tbl_Bonds[[#This Row],[Real Simulada]])/252)</f>
        <v>3.8034328556047631E-2</v>
      </c>
      <c r="V33" s="18">
        <f>SUMIF(Dashboard!$B$28:$B$42,tbl_Bonds[[#This Row],[Bond]],Dashboard!$C$28:$C$42)</f>
        <v>7940</v>
      </c>
      <c r="W33" s="18">
        <f>tbl_Bonds[[#This Row],[Quantidade]]*tbl_Bonds[[#This Row],[𝛿P/𝛿VNA]]</f>
        <v>89.802938687158743</v>
      </c>
      <c r="X33" s="18">
        <f>+tbl_Bonds[[#This Row],[Quantidade]]*tbl_Bonds[[#This Row],[𝛿P/𝛿r_real]]</f>
        <v>-32.413175493673414</v>
      </c>
      <c r="Y33" s="18">
        <f>tbl_Bonds[[#This Row],[Quantidade]]*tbl_Bonds[[#This Row],[𝛿P/𝛿r_pre]]</f>
        <v>-30.994438628778113</v>
      </c>
      <c r="Z33" s="18">
        <f>tbl_Bonds[[#This Row],[Quantidade]]*tbl_Bonds[[#This Row],[𝛿P/𝛿r_implicita]]</f>
        <v>33.736658886389328</v>
      </c>
      <c r="AA33" s="18">
        <f>tbl_Bonds[[#This Row],[Quantidade]]*tbl_Bonds[[#This Row],[𝛿P/𝛿du]]</f>
        <v>301.99256873501821</v>
      </c>
    </row>
    <row r="34" spans="1:27">
      <c r="A34" s="2" t="s">
        <v>81</v>
      </c>
      <c r="B34" s="3">
        <v>46980</v>
      </c>
      <c r="C34" s="3">
        <v>45153</v>
      </c>
      <c r="D34" s="4">
        <f>NETWORKDAYS(Dashboard!$C$10,bonds!C34,feriados)-1</f>
        <v>222</v>
      </c>
      <c r="E34" s="2">
        <f>IF(tbl_Bonds[[#This Row],[Coupon]]&lt;tbl_Bonds[[#This Row],[Maturity]],SQRT(1.06)-1,SQRT(1.06))</f>
        <v>2.9563014098699991E-2</v>
      </c>
      <c r="F34" s="5" cm="1">
        <f t="array" ref="F34">Svensson(betas_pre,tbl_Bonds[[#This Row],[DU]])</f>
        <v>0.13372890379553737</v>
      </c>
      <c r="G34" s="49">
        <f>IF(curve_type="Simulada",_xlfn.XLOOKUP(tbl_Bonds[[#This Row],[Coupon]],Simulador!$B$5:$B$147,Simulador!$H$5:$H$147),0)</f>
        <v>0</v>
      </c>
      <c r="H34" s="5" cm="1">
        <f t="array" ref="H3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0.13372890379553737</v>
      </c>
      <c r="I34" s="5" cm="1">
        <f t="array" ref="I34">Interpola_FF(tbl_Bonds[[#This Row],[DU]],dus_svensson,svensson_implicita)</f>
        <v>5.0400974841755763E-2</v>
      </c>
      <c r="J34" s="49">
        <f>IF(curve_type="Simulada",_xlfn.XLOOKUP(tbl_Bonds[[#This Row],[Coupon]],Simulador!$B$5:$B$147,Simulador!$N$5:$N$147),0)</f>
        <v>0</v>
      </c>
      <c r="K34" s="5" cm="1">
        <f t="array" ref="K3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5.0400974841755763E-2</v>
      </c>
      <c r="L34" s="5" cm="1">
        <f t="array" ref="L34">Interpola_FF(tbl_Bonds[[#This Row],[DU]],dus_svensson,svensson_real_spot)</f>
        <v>7.9302041272826251E-2</v>
      </c>
      <c r="M34" s="49">
        <f>IF(curve_type="Simulada",_xlfn.XLOOKUP(tbl_Bonds[[#This Row],[Coupon]],Simulador!$B$5:$B$147,Simulador!$K$5:$K$147),0)</f>
        <v>0</v>
      </c>
      <c r="N34" s="5" cm="1">
        <f t="array" ref="N3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7.9302041272826251E-2</v>
      </c>
      <c r="O34" s="6">
        <f>IF(curve_type="Mercado",tbl_Bonds[[#This Row],[FC]]/(1+tbl_Bonds[[#This Row],[Real Mercado]])^(tbl_Bonds[[#This Row],[DU]]/252),tbl_Bonds[[#This Row],[FC]]/(1+tbl_Bonds[[#This Row],[Real Simulada]])^(tbl_Bonds[[#This Row],[DU]]/252))</f>
        <v>2.7640844460278355E-2</v>
      </c>
      <c r="P34" s="7">
        <f>tbl_Bonds[[#This Row],[Cotação]]*VNA</f>
        <v>109.32795095335507</v>
      </c>
      <c r="Q34" s="18">
        <f>tbl_Bonds[[#This Row],[Cotação]]%%*VNA</f>
        <v>1.0932795095335505E-2</v>
      </c>
      <c r="R3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-8.9236112796952736E-3</v>
      </c>
      <c r="S3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-8.4950246026016599E-3</v>
      </c>
      <c r="T3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9.1689318280332253E-3</v>
      </c>
      <c r="U34" s="18">
        <f>IF(curve_type="Mercado",tbl_Bonds[[#This Row],[VP Cupom]]*LN(1+tbl_Bonds[[#This Row],[Real Mercado]])/252,tbl_Bonds[[#This Row],[VP Cupom]]*LN(1+tbl_Bonds[[#This Row],[Real Simulada]])/252)</f>
        <v>3.310839689950245E-2</v>
      </c>
      <c r="V34" s="18">
        <f>SUMIF(Dashboard!$B$28:$B$42,tbl_Bonds[[#This Row],[Bond]],Dashboard!$C$28:$C$42)</f>
        <v>7940</v>
      </c>
      <c r="W34" s="18">
        <f>tbl_Bonds[[#This Row],[Quantidade]]*tbl_Bonds[[#This Row],[𝛿P/𝛿VNA]]</f>
        <v>86.806393056963913</v>
      </c>
      <c r="X34" s="18">
        <f>+tbl_Bonds[[#This Row],[Quantidade]]*tbl_Bonds[[#This Row],[𝛿P/𝛿r_real]]</f>
        <v>-70.853473560780472</v>
      </c>
      <c r="Y34" s="18">
        <f>tbl_Bonds[[#This Row],[Quantidade]]*tbl_Bonds[[#This Row],[𝛿P/𝛿r_pre]]</f>
        <v>-67.450495344657185</v>
      </c>
      <c r="Z34" s="18">
        <f>tbl_Bonds[[#This Row],[Quantidade]]*tbl_Bonds[[#This Row],[𝛿P/𝛿r_implicita]]</f>
        <v>72.801318714583815</v>
      </c>
      <c r="AA34" s="18">
        <f>tbl_Bonds[[#This Row],[Quantidade]]*tbl_Bonds[[#This Row],[𝛿P/𝛿du]]</f>
        <v>262.88067138204946</v>
      </c>
    </row>
    <row r="35" spans="1:27">
      <c r="A35" s="2" t="s">
        <v>81</v>
      </c>
      <c r="B35" s="3">
        <v>46980</v>
      </c>
      <c r="C35" s="3">
        <v>45337</v>
      </c>
      <c r="D35" s="4">
        <f>NETWORKDAYS(Dashboard!$C$10,bonds!C35,feriados)-1</f>
        <v>346</v>
      </c>
      <c r="E35" s="2">
        <f>IF(tbl_Bonds[[#This Row],[Coupon]]&lt;tbl_Bonds[[#This Row],[Maturity]],SQRT(1.06)-1,SQRT(1.06))</f>
        <v>2.9563014098699991E-2</v>
      </c>
      <c r="F35" s="5" cm="1">
        <f t="array" ref="F35">Svensson(betas_pre,tbl_Bonds[[#This Row],[DU]])</f>
        <v>0.12747368770436204</v>
      </c>
      <c r="G35" s="49">
        <f>IF(curve_type="Simulada",_xlfn.XLOOKUP(tbl_Bonds[[#This Row],[Coupon]],Simulador!$B$5:$B$147,Simulador!$H$5:$H$147),0)</f>
        <v>0</v>
      </c>
      <c r="H35" s="5" cm="1">
        <f t="array" ref="H3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0.12747368770436204</v>
      </c>
      <c r="I35" s="5" cm="1">
        <f t="array" ref="I35">Interpola_FF(tbl_Bonds[[#This Row],[DU]],dus_svensson,svensson_implicita)</f>
        <v>5.1308537686221012E-2</v>
      </c>
      <c r="J35" s="49">
        <f>IF(curve_type="Simulada",_xlfn.XLOOKUP(tbl_Bonds[[#This Row],[Coupon]],Simulador!$B$5:$B$147,Simulador!$N$5:$N$147),0)</f>
        <v>0</v>
      </c>
      <c r="K35" s="5" cm="1">
        <f t="array" ref="K3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5.1308537686221012E-2</v>
      </c>
      <c r="L35" s="5" cm="1">
        <f t="array" ref="L35">Interpola_FF(tbl_Bonds[[#This Row],[DU]],dus_svensson,svensson_real_spot)</f>
        <v>7.2438747759168143E-2</v>
      </c>
      <c r="M35" s="49">
        <f>IF(curve_type="Simulada",_xlfn.XLOOKUP(tbl_Bonds[[#This Row],[Coupon]],Simulador!$B$5:$B$147,Simulador!$K$5:$K$147),0)</f>
        <v>0</v>
      </c>
      <c r="N35" s="5" cm="1">
        <f t="array" ref="N3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7.2438747759168143E-2</v>
      </c>
      <c r="O35" s="6">
        <f>IF(curve_type="Mercado",tbl_Bonds[[#This Row],[FC]]/(1+tbl_Bonds[[#This Row],[Real Mercado]])^(tbl_Bonds[[#This Row],[DU]]/252),tbl_Bonds[[#This Row],[FC]]/(1+tbl_Bonds[[#This Row],[Real Simulada]])^(tbl_Bonds[[#This Row],[DU]]/252))</f>
        <v>2.6856337759066942E-2</v>
      </c>
      <c r="P35" s="7">
        <f>tbl_Bonds[[#This Row],[Cotação]]*VNA</f>
        <v>106.22498822456166</v>
      </c>
      <c r="Q35" s="18">
        <f>tbl_Bonds[[#This Row],[Cotação]]%%*VNA</f>
        <v>1.0622498822456167E-2</v>
      </c>
      <c r="R3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-1.3599713293462592E-2</v>
      </c>
      <c r="S3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-1.2935723286440097E-2</v>
      </c>
      <c r="T3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1.3872889940554092E-2</v>
      </c>
      <c r="U35" s="18">
        <f>IF(curve_type="Mercado",tbl_Bonds[[#This Row],[VP Cupom]]*LN(1+tbl_Bonds[[#This Row],[Real Mercado]])/252,tbl_Bonds[[#This Row],[VP Cupom]]*LN(1+tbl_Bonds[[#This Row],[Real Simulada]])/252)</f>
        <v>2.947965085386333E-2</v>
      </c>
      <c r="V35" s="18">
        <f>SUMIF(Dashboard!$B$28:$B$42,tbl_Bonds[[#This Row],[Bond]],Dashboard!$C$28:$C$42)</f>
        <v>7940</v>
      </c>
      <c r="W35" s="18">
        <f>tbl_Bonds[[#This Row],[Quantidade]]*tbl_Bonds[[#This Row],[𝛿P/𝛿VNA]]</f>
        <v>84.342640650301959</v>
      </c>
      <c r="X35" s="18">
        <f>+tbl_Bonds[[#This Row],[Quantidade]]*tbl_Bonds[[#This Row],[𝛿P/𝛿r_real]]</f>
        <v>-107.98172355009298</v>
      </c>
      <c r="Y35" s="18">
        <f>tbl_Bonds[[#This Row],[Quantidade]]*tbl_Bonds[[#This Row],[𝛿P/𝛿r_pre]]</f>
        <v>-102.70964289433437</v>
      </c>
      <c r="Z35" s="18">
        <f>tbl_Bonds[[#This Row],[Quantidade]]*tbl_Bonds[[#This Row],[𝛿P/𝛿r_implicita]]</f>
        <v>110.1507461279995</v>
      </c>
      <c r="AA35" s="18">
        <f>tbl_Bonds[[#This Row],[Quantidade]]*tbl_Bonds[[#This Row],[𝛿P/𝛿du]]</f>
        <v>234.06842777967483</v>
      </c>
    </row>
    <row r="36" spans="1:27">
      <c r="A36" s="2" t="s">
        <v>81</v>
      </c>
      <c r="B36" s="3">
        <v>46980</v>
      </c>
      <c r="C36" s="3">
        <v>45519</v>
      </c>
      <c r="D36" s="4">
        <f>NETWORKDAYS(Dashboard!$C$10,bonds!C36,feriados)-1</f>
        <v>473</v>
      </c>
      <c r="E36" s="2">
        <f>IF(tbl_Bonds[[#This Row],[Coupon]]&lt;tbl_Bonds[[#This Row],[Maturity]],SQRT(1.06)-1,SQRT(1.06))</f>
        <v>2.9563014098699991E-2</v>
      </c>
      <c r="F36" s="5" cm="1">
        <f t="array" ref="F36">Svensson(betas_pre,tbl_Bonds[[#This Row],[DU]])</f>
        <v>0.12241457710811354</v>
      </c>
      <c r="G36" s="49">
        <f>IF(curve_type="Simulada",_xlfn.XLOOKUP(tbl_Bonds[[#This Row],[Coupon]],Simulador!$B$5:$B$147,Simulador!$H$5:$H$147),0)</f>
        <v>0</v>
      </c>
      <c r="H36" s="5" cm="1">
        <f t="array" ref="H3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0.12241457710811354</v>
      </c>
      <c r="I36" s="5" cm="1">
        <f t="array" ref="I36">Interpola_FF(tbl_Bonds[[#This Row],[DU]],dus_svensson,svensson_implicita)</f>
        <v>5.1636418386285854E-2</v>
      </c>
      <c r="J36" s="49">
        <f>IF(curve_type="Simulada",_xlfn.XLOOKUP(tbl_Bonds[[#This Row],[Coupon]],Simulador!$B$5:$B$147,Simulador!$N$5:$N$147),0)</f>
        <v>0</v>
      </c>
      <c r="K36" s="5" cm="1">
        <f t="array" ref="K3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5.1636418386285854E-2</v>
      </c>
      <c r="L36" s="5" cm="1">
        <f t="array" ref="L36">Interpola_FF(tbl_Bonds[[#This Row],[DU]],dus_svensson,svensson_real_spot)</f>
        <v>6.730173834988129E-2</v>
      </c>
      <c r="M36" s="49">
        <f>IF(curve_type="Simulada",_xlfn.XLOOKUP(tbl_Bonds[[#This Row],[Coupon]],Simulador!$B$5:$B$147,Simulador!$K$5:$K$147),0)</f>
        <v>0</v>
      </c>
      <c r="N36" s="5" cm="1">
        <f t="array" ref="N3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6.730173834988129E-2</v>
      </c>
      <c r="O36" s="6">
        <f>IF(curve_type="Mercado",tbl_Bonds[[#This Row],[FC]]/(1+tbl_Bonds[[#This Row],[Real Mercado]])^(tbl_Bonds[[#This Row],[DU]]/252),tbl_Bonds[[#This Row],[FC]]/(1+tbl_Bonds[[#This Row],[Real Simulada]])^(tbl_Bonds[[#This Row],[DU]]/252))</f>
        <v>2.6160982699978276E-2</v>
      </c>
      <c r="P36" s="7">
        <f>tbl_Bonds[[#This Row],[Cotação]]*VNA</f>
        <v>103.47464736922124</v>
      </c>
      <c r="Q36" s="18">
        <f>tbl_Bonds[[#This Row],[Cotação]]%%*VNA</f>
        <v>1.0347464736922126E-2</v>
      </c>
      <c r="R3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-1.8197316061490301E-2</v>
      </c>
      <c r="S3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-1.7303756115098563E-2</v>
      </c>
      <c r="T3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1.8468348720856322E-2</v>
      </c>
      <c r="U36" s="18">
        <f>IF(curve_type="Mercado",tbl_Bonds[[#This Row],[VP Cupom]]*LN(1+tbl_Bonds[[#This Row],[Real Mercado]])/252,tbl_Bonds[[#This Row],[VP Cupom]]*LN(1+tbl_Bonds[[#This Row],[Real Simulada]])/252)</f>
        <v>2.6744797971613773E-2</v>
      </c>
      <c r="V36" s="18">
        <f>SUMIF(Dashboard!$B$28:$B$42,tbl_Bonds[[#This Row],[Bond]],Dashboard!$C$28:$C$42)</f>
        <v>7940</v>
      </c>
      <c r="W36" s="18">
        <f>tbl_Bonds[[#This Row],[Quantidade]]*tbl_Bonds[[#This Row],[𝛿P/𝛿VNA]]</f>
        <v>82.158870011161682</v>
      </c>
      <c r="X36" s="18">
        <f>+tbl_Bonds[[#This Row],[Quantidade]]*tbl_Bonds[[#This Row],[𝛿P/𝛿r_real]]</f>
        <v>-144.48668952823297</v>
      </c>
      <c r="Y36" s="18">
        <f>tbl_Bonds[[#This Row],[Quantidade]]*tbl_Bonds[[#This Row],[𝛿P/𝛿r_pre]]</f>
        <v>-137.39182355388257</v>
      </c>
      <c r="Z36" s="18">
        <f>tbl_Bonds[[#This Row],[Quantidade]]*tbl_Bonds[[#This Row],[𝛿P/𝛿r_implicita]]</f>
        <v>146.6386888435992</v>
      </c>
      <c r="AA36" s="18">
        <f>tbl_Bonds[[#This Row],[Quantidade]]*tbl_Bonds[[#This Row],[𝛿P/𝛿du]]</f>
        <v>212.35369589461337</v>
      </c>
    </row>
    <row r="37" spans="1:27">
      <c r="A37" s="2" t="s">
        <v>81</v>
      </c>
      <c r="B37" s="3">
        <v>46980</v>
      </c>
      <c r="C37" s="3">
        <v>45705</v>
      </c>
      <c r="D37" s="4">
        <f>NETWORKDAYS(Dashboard!$C$10,bonds!C37,feriados)-1</f>
        <v>602</v>
      </c>
      <c r="E37" s="2">
        <f>IF(tbl_Bonds[[#This Row],[Coupon]]&lt;tbl_Bonds[[#This Row],[Maturity]],SQRT(1.06)-1,SQRT(1.06))</f>
        <v>2.9563014098699991E-2</v>
      </c>
      <c r="F37" s="5" cm="1">
        <f t="array" ref="F37">Svensson(betas_pre,tbl_Bonds[[#This Row],[DU]])</f>
        <v>0.11913959507080539</v>
      </c>
      <c r="G37" s="49">
        <f>IF(curve_type="Simulada",_xlfn.XLOOKUP(tbl_Bonds[[#This Row],[Coupon]],Simulador!$B$5:$B$147,Simulador!$H$5:$H$147),0)</f>
        <v>0</v>
      </c>
      <c r="H37" s="5" cm="1">
        <f t="array" ref="H3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0.11913959507080539</v>
      </c>
      <c r="I37" s="5" cm="1">
        <f t="array" ref="I37">Interpola_FF(tbl_Bonds[[#This Row],[DU]],dus_svensson,svensson_implicita)</f>
        <v>5.2245707571055622E-2</v>
      </c>
      <c r="J37" s="49">
        <f>IF(curve_type="Simulada",_xlfn.XLOOKUP(tbl_Bonds[[#This Row],[Coupon]],Simulador!$B$5:$B$147,Simulador!$N$5:$N$147),0)</f>
        <v>0</v>
      </c>
      <c r="K37" s="5" cm="1">
        <f t="array" ref="K3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5.2245707571055622E-2</v>
      </c>
      <c r="L37" s="5" cm="1">
        <f t="array" ref="L37">Interpola_FF(tbl_Bonds[[#This Row],[DU]],dus_svensson,svensson_real_spot)</f>
        <v>6.3573730880697621E-2</v>
      </c>
      <c r="M37" s="49">
        <f>IF(curve_type="Simulada",_xlfn.XLOOKUP(tbl_Bonds[[#This Row],[Coupon]],Simulador!$B$5:$B$147,Simulador!$K$5:$K$147),0)</f>
        <v>0</v>
      </c>
      <c r="N37" s="5" cm="1">
        <f t="array" ref="N3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6.3573730880697621E-2</v>
      </c>
      <c r="O37" s="6">
        <f>IF(curve_type="Mercado",tbl_Bonds[[#This Row],[FC]]/(1+tbl_Bonds[[#This Row],[Real Mercado]])^(tbl_Bonds[[#This Row],[DU]]/252),tbl_Bonds[[#This Row],[FC]]/(1+tbl_Bonds[[#This Row],[Real Simulada]])^(tbl_Bonds[[#This Row],[DU]]/252))</f>
        <v>2.5515488243228496E-2</v>
      </c>
      <c r="P37" s="7">
        <f>tbl_Bonds[[#This Row],[Cotação]]*VNA</f>
        <v>100.92152036871961</v>
      </c>
      <c r="Q37" s="18">
        <f>tbl_Bonds[[#This Row],[Cotação]]%%*VNA</f>
        <v>1.0092152036871962E-2</v>
      </c>
      <c r="R3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-2.2667944088744268E-2</v>
      </c>
      <c r="S3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-2.1542528534510597E-2</v>
      </c>
      <c r="T3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2.2912040873576508E-2</v>
      </c>
      <c r="U37" s="18">
        <f>IF(curve_type="Mercado",tbl_Bonds[[#This Row],[VP Cupom]]*LN(1+tbl_Bonds[[#This Row],[Real Mercado]])/252,tbl_Bonds[[#This Row],[VP Cupom]]*LN(1+tbl_Bonds[[#This Row],[Real Simulada]])/252)</f>
        <v>2.4683594413289961E-2</v>
      </c>
      <c r="V37" s="18">
        <f>SUMIF(Dashboard!$B$28:$B$42,tbl_Bonds[[#This Row],[Bond]],Dashboard!$C$28:$C$42)</f>
        <v>7940</v>
      </c>
      <c r="W37" s="18">
        <f>tbl_Bonds[[#This Row],[Quantidade]]*tbl_Bonds[[#This Row],[𝛿P/𝛿VNA]]</f>
        <v>80.131687172763378</v>
      </c>
      <c r="X37" s="18">
        <f>+tbl_Bonds[[#This Row],[Quantidade]]*tbl_Bonds[[#This Row],[𝛿P/𝛿r_real]]</f>
        <v>-179.98347606462949</v>
      </c>
      <c r="Y37" s="18">
        <f>tbl_Bonds[[#This Row],[Quantidade]]*tbl_Bonds[[#This Row],[𝛿P/𝛿r_pre]]</f>
        <v>-171.04767656401415</v>
      </c>
      <c r="Z37" s="18">
        <f>tbl_Bonds[[#This Row],[Quantidade]]*tbl_Bonds[[#This Row],[𝛿P/𝛿r_implicita]]</f>
        <v>181.92160453619746</v>
      </c>
      <c r="AA37" s="18">
        <f>tbl_Bonds[[#This Row],[Quantidade]]*tbl_Bonds[[#This Row],[𝛿P/𝛿du]]</f>
        <v>195.9877396415223</v>
      </c>
    </row>
    <row r="38" spans="1:27">
      <c r="A38" s="2" t="s">
        <v>81</v>
      </c>
      <c r="B38" s="3">
        <v>46980</v>
      </c>
      <c r="C38" s="3">
        <v>45884</v>
      </c>
      <c r="D38" s="4">
        <f>NETWORKDAYS(Dashboard!$C$10,bonds!C38,feriados)-1</f>
        <v>725</v>
      </c>
      <c r="E38" s="2">
        <f>IF(tbl_Bonds[[#This Row],[Coupon]]&lt;tbl_Bonds[[#This Row],[Maturity]],SQRT(1.06)-1,SQRT(1.06))</f>
        <v>2.9563014098699991E-2</v>
      </c>
      <c r="F38" s="5" cm="1">
        <f t="array" ref="F38">Svensson(betas_pre,tbl_Bonds[[#This Row],[DU]])</f>
        <v>0.11741710508794967</v>
      </c>
      <c r="G38" s="49">
        <f>IF(curve_type="Simulada",_xlfn.XLOOKUP(tbl_Bonds[[#This Row],[Coupon]],Simulador!$B$5:$B$147,Simulador!$H$5:$H$147),0)</f>
        <v>0</v>
      </c>
      <c r="H38" s="5" cm="1">
        <f t="array" ref="H3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0.11741710508794967</v>
      </c>
      <c r="I38" s="5" cm="1">
        <f t="array" ref="I38">Interpola_FF(tbl_Bonds[[#This Row],[DU]],dus_svensson,svensson_implicita)</f>
        <v>5.3104968591759505E-2</v>
      </c>
      <c r="J38" s="49">
        <f>IF(curve_type="Simulada",_xlfn.XLOOKUP(tbl_Bonds[[#This Row],[Coupon]],Simulador!$B$5:$B$147,Simulador!$N$5:$N$147),0)</f>
        <v>0</v>
      </c>
      <c r="K38" s="5" cm="1">
        <f t="array" ref="K3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5.3104968591759505E-2</v>
      </c>
      <c r="L38" s="5" cm="1">
        <f t="array" ref="L38">Interpola_FF(tbl_Bonds[[#This Row],[DU]],dus_svensson,svensson_real_spot)</f>
        <v>6.1070807198248644E-2</v>
      </c>
      <c r="M38" s="49">
        <f>IF(curve_type="Simulada",_xlfn.XLOOKUP(tbl_Bonds[[#This Row],[Coupon]],Simulador!$B$5:$B$147,Simulador!$K$5:$K$147),0)</f>
        <v>0</v>
      </c>
      <c r="N38" s="5" cm="1">
        <f t="array" ref="N3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6.1070807198248644E-2</v>
      </c>
      <c r="O38" s="6">
        <f>IF(curve_type="Mercado",tbl_Bonds[[#This Row],[FC]]/(1+tbl_Bonds[[#This Row],[Real Mercado]])^(tbl_Bonds[[#This Row],[DU]]/252),tbl_Bonds[[#This Row],[FC]]/(1+tbl_Bonds[[#This Row],[Real Simulada]])^(tbl_Bonds[[#This Row],[DU]]/252))</f>
        <v>2.4927721145174282E-2</v>
      </c>
      <c r="P38" s="7">
        <f>tbl_Bonds[[#This Row],[Cotação]]*VNA</f>
        <v>98.596722638302523</v>
      </c>
      <c r="Q38" s="18">
        <f>tbl_Bonds[[#This Row],[Cotação]]%%*VNA</f>
        <v>9.8596722638302527E-3</v>
      </c>
      <c r="R3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-2.6733485086830221E-2</v>
      </c>
      <c r="S3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-2.5385556042411363E-2</v>
      </c>
      <c r="T3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2.6935828231720655E-2</v>
      </c>
      <c r="U38" s="18">
        <f>IF(curve_type="Mercado",tbl_Bonds[[#This Row],[VP Cupom]]*LN(1+tbl_Bonds[[#This Row],[Real Mercado]])/252,tbl_Bonds[[#This Row],[VP Cupom]]*LN(1+tbl_Bonds[[#This Row],[Real Simulada]])/252)</f>
        <v>2.3193155001732964E-2</v>
      </c>
      <c r="V38" s="18">
        <f>SUMIF(Dashboard!$B$28:$B$42,tbl_Bonds[[#This Row],[Bond]],Dashboard!$C$28:$C$42)</f>
        <v>7940</v>
      </c>
      <c r="W38" s="18">
        <f>tbl_Bonds[[#This Row],[Quantidade]]*tbl_Bonds[[#This Row],[𝛿P/𝛿VNA]]</f>
        <v>78.28579777481221</v>
      </c>
      <c r="X38" s="18">
        <f>+tbl_Bonds[[#This Row],[Quantidade]]*tbl_Bonds[[#This Row],[𝛿P/𝛿r_real]]</f>
        <v>-212.26387158943197</v>
      </c>
      <c r="Y38" s="18">
        <f>tbl_Bonds[[#This Row],[Quantidade]]*tbl_Bonds[[#This Row],[𝛿P/𝛿r_pre]]</f>
        <v>-201.56131497674622</v>
      </c>
      <c r="Z38" s="18">
        <f>tbl_Bonds[[#This Row],[Quantidade]]*tbl_Bonds[[#This Row],[𝛿P/𝛿r_implicita]]</f>
        <v>213.87047615986199</v>
      </c>
      <c r="AA38" s="18">
        <f>tbl_Bonds[[#This Row],[Quantidade]]*tbl_Bonds[[#This Row],[𝛿P/𝛿du]]</f>
        <v>184.15365071375973</v>
      </c>
    </row>
    <row r="39" spans="1:27">
      <c r="A39" s="2" t="s">
        <v>81</v>
      </c>
      <c r="B39" s="3">
        <v>46980</v>
      </c>
      <c r="C39" s="3">
        <v>46071</v>
      </c>
      <c r="D39" s="4">
        <f>NETWORKDAYS(Dashboard!$C$10,bonds!C39,feriados)-1</f>
        <v>854</v>
      </c>
      <c r="E39" s="2">
        <f>IF(tbl_Bonds[[#This Row],[Coupon]]&lt;tbl_Bonds[[#This Row],[Maturity]],SQRT(1.06)-1,SQRT(1.06))</f>
        <v>2.9563014098699991E-2</v>
      </c>
      <c r="F39" s="5" cm="1">
        <f t="array" ref="F39">Svensson(betas_pre,tbl_Bonds[[#This Row],[DU]])</f>
        <v>0.11659182503244317</v>
      </c>
      <c r="G39" s="49">
        <f>IF(curve_type="Simulada",_xlfn.XLOOKUP(tbl_Bonds[[#This Row],[Coupon]],Simulador!$B$5:$B$147,Simulador!$H$5:$H$147),0)</f>
        <v>0</v>
      </c>
      <c r="H39" s="5" cm="1">
        <f t="array" ref="H3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0.11659182503244317</v>
      </c>
      <c r="I39" s="5" cm="1">
        <f t="array" ref="I39">Interpola_FF(tbl_Bonds[[#This Row],[DU]],dus_svensson,svensson_implicita)</f>
        <v>5.4141996542348858E-2</v>
      </c>
      <c r="J39" s="49">
        <f>IF(curve_type="Simulada",_xlfn.XLOOKUP(tbl_Bonds[[#This Row],[Coupon]],Simulador!$B$5:$B$147,Simulador!$N$5:$N$147),0)</f>
        <v>0</v>
      </c>
      <c r="K39" s="5" cm="1">
        <f t="array" ref="K3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5.4141996542348858E-2</v>
      </c>
      <c r="L39" s="5" cm="1">
        <f t="array" ref="L39">Interpola_FF(tbl_Bonds[[#This Row],[DU]],dus_svensson,svensson_real_spot)</f>
        <v>5.927838770503624E-2</v>
      </c>
      <c r="M39" s="49">
        <f>IF(curve_type="Simulada",_xlfn.XLOOKUP(tbl_Bonds[[#This Row],[Coupon]],Simulador!$B$5:$B$147,Simulador!$K$5:$K$147),0)</f>
        <v>0</v>
      </c>
      <c r="N39" s="5" cm="1">
        <f t="array" ref="N3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5.927838770503624E-2</v>
      </c>
      <c r="O39" s="6">
        <f>IF(curve_type="Mercado",tbl_Bonds[[#This Row],[FC]]/(1+tbl_Bonds[[#This Row],[Real Mercado]])^(tbl_Bonds[[#This Row],[DU]]/252),tbl_Bonds[[#This Row],[FC]]/(1+tbl_Bonds[[#This Row],[Real Simulada]])^(tbl_Bonds[[#This Row],[DU]]/252))</f>
        <v>2.4321604466759829E-2</v>
      </c>
      <c r="P39" s="7">
        <f>tbl_Bonds[[#This Row],[Cotação]]*VNA</f>
        <v>96.199346733780743</v>
      </c>
      <c r="Q39" s="18">
        <f>tbl_Bonds[[#This Row],[Cotação]]%%*VNA</f>
        <v>9.6199346733780756E-3</v>
      </c>
      <c r="R3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-3.0776507955646001E-2</v>
      </c>
      <c r="S3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-2.9200151732275033E-2</v>
      </c>
      <c r="T3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3.0930036770103562E-2</v>
      </c>
      <c r="U39" s="18">
        <f>IF(curve_type="Mercado",tbl_Bonds[[#This Row],[VP Cupom]]*LN(1+tbl_Bonds[[#This Row],[Real Mercado]])/252,tbl_Bonds[[#This Row],[VP Cupom]]*LN(1+tbl_Bonds[[#This Row],[Real Simulada]])/252)</f>
        <v>2.1983806825281928E-2</v>
      </c>
      <c r="V39" s="18">
        <f>SUMIF(Dashboard!$B$28:$B$42,tbl_Bonds[[#This Row],[Bond]],Dashboard!$C$28:$C$42)</f>
        <v>7940</v>
      </c>
      <c r="W39" s="18">
        <f>tbl_Bonds[[#This Row],[Quantidade]]*tbl_Bonds[[#This Row],[𝛿P/𝛿VNA]]</f>
        <v>76.38228130662192</v>
      </c>
      <c r="X39" s="18">
        <f>+tbl_Bonds[[#This Row],[Quantidade]]*tbl_Bonds[[#This Row],[𝛿P/𝛿r_real]]</f>
        <v>-244.36547316782926</v>
      </c>
      <c r="Y39" s="18">
        <f>tbl_Bonds[[#This Row],[Quantidade]]*tbl_Bonds[[#This Row],[𝛿P/𝛿r_pre]]</f>
        <v>-231.84920475426375</v>
      </c>
      <c r="Z39" s="18">
        <f>tbl_Bonds[[#This Row],[Quantidade]]*tbl_Bonds[[#This Row],[𝛿P/𝛿r_implicita]]</f>
        <v>245.58449195462228</v>
      </c>
      <c r="AA39" s="18">
        <f>tbl_Bonds[[#This Row],[Quantidade]]*tbl_Bonds[[#This Row],[𝛿P/𝛿du]]</f>
        <v>174.55142619273852</v>
      </c>
    </row>
    <row r="40" spans="1:27">
      <c r="A40" s="2" t="s">
        <v>81</v>
      </c>
      <c r="B40" s="3">
        <v>46980</v>
      </c>
      <c r="C40" s="3">
        <v>46251</v>
      </c>
      <c r="D40" s="4">
        <f>NETWORKDAYS(Dashboard!$C$10,bonds!C40,feriados)-1</f>
        <v>978</v>
      </c>
      <c r="E40" s="2">
        <f>IF(tbl_Bonds[[#This Row],[Coupon]]&lt;tbl_Bonds[[#This Row],[Maturity]],SQRT(1.06)-1,SQRT(1.06))</f>
        <v>2.9563014098699991E-2</v>
      </c>
      <c r="F40" s="5" cm="1">
        <f t="array" ref="F40">Svensson(betas_pre,tbl_Bonds[[#This Row],[DU]])</f>
        <v>0.11637191467183143</v>
      </c>
      <c r="G40" s="49">
        <f>IF(curve_type="Simulada",_xlfn.XLOOKUP(tbl_Bonds[[#This Row],[Coupon]],Simulador!$B$5:$B$147,Simulador!$H$5:$H$147),0)</f>
        <v>0</v>
      </c>
      <c r="H40" s="5" cm="1">
        <f t="array" ref="H4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0.11637191467183143</v>
      </c>
      <c r="I40" s="5" cm="1">
        <f t="array" ref="I40">Interpola_FF(tbl_Bonds[[#This Row],[DU]],dus_svensson,svensson_implicita)</f>
        <v>5.5066564562549658E-2</v>
      </c>
      <c r="J40" s="49">
        <f>IF(curve_type="Simulada",_xlfn.XLOOKUP(tbl_Bonds[[#This Row],[Coupon]],Simulador!$B$5:$B$147,Simulador!$N$5:$N$147),0)</f>
        <v>0</v>
      </c>
      <c r="K40" s="5" cm="1">
        <f t="array" ref="K4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5.5066564562549658E-2</v>
      </c>
      <c r="L40" s="5" cm="1">
        <f t="array" ref="L40">Interpola_FF(tbl_Bonds[[#This Row],[DU]],dus_svensson,svensson_real_spot)</f>
        <v>5.8133069907817969E-2</v>
      </c>
      <c r="M40" s="49">
        <f>IF(curve_type="Simulada",_xlfn.XLOOKUP(tbl_Bonds[[#This Row],[Coupon]],Simulador!$B$5:$B$147,Simulador!$K$5:$K$147),0)</f>
        <v>0</v>
      </c>
      <c r="N40" s="5" cm="1">
        <f t="array" ref="N4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5.8133069907817969E-2</v>
      </c>
      <c r="O40" s="6">
        <f>IF(curve_type="Mercado",tbl_Bonds[[#This Row],[FC]]/(1+tbl_Bonds[[#This Row],[Real Mercado]])^(tbl_Bonds[[#This Row],[DU]]/252),tbl_Bonds[[#This Row],[FC]]/(1+tbl_Bonds[[#This Row],[Real Simulada]])^(tbl_Bonds[[#This Row],[DU]]/252))</f>
        <v>2.3741547469357031E-2</v>
      </c>
      <c r="P40" s="7">
        <f>tbl_Bonds[[#This Row],[Cotação]]*VNA</f>
        <v>93.90504479762474</v>
      </c>
      <c r="Q40" s="18">
        <f>tbl_Bonds[[#This Row],[Cotação]]%%*VNA</f>
        <v>9.3905044797624737E-3</v>
      </c>
      <c r="R4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-3.4441888034227201E-2</v>
      </c>
      <c r="S4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-3.2648405861038642E-2</v>
      </c>
      <c r="T4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3.4545463372903575E-2</v>
      </c>
      <c r="U40" s="18">
        <f>IF(curve_type="Mercado",tbl_Bonds[[#This Row],[VP Cupom]]*LN(1+tbl_Bonds[[#This Row],[Real Mercado]])/252,tbl_Bonds[[#This Row],[VP Cupom]]*LN(1+tbl_Bonds[[#This Row],[Real Simulada]])/252)</f>
        <v>2.1056380546002E-2</v>
      </c>
      <c r="V40" s="18">
        <f>SUMIF(Dashboard!$B$28:$B$42,tbl_Bonds[[#This Row],[Bond]],Dashboard!$C$28:$C$42)</f>
        <v>7940</v>
      </c>
      <c r="W40" s="18">
        <f>tbl_Bonds[[#This Row],[Quantidade]]*tbl_Bonds[[#This Row],[𝛿P/𝛿VNA]]</f>
        <v>74.560605569314035</v>
      </c>
      <c r="X40" s="18">
        <f>+tbl_Bonds[[#This Row],[Quantidade]]*tbl_Bonds[[#This Row],[𝛿P/𝛿r_real]]</f>
        <v>-273.46859099176396</v>
      </c>
      <c r="Y40" s="18">
        <f>tbl_Bonds[[#This Row],[Quantidade]]*tbl_Bonds[[#This Row],[𝛿P/𝛿r_pre]]</f>
        <v>-259.22834253664684</v>
      </c>
      <c r="Z40" s="18">
        <f>tbl_Bonds[[#This Row],[Quantidade]]*tbl_Bonds[[#This Row],[𝛿P/𝛿r_implicita]]</f>
        <v>274.29097918085438</v>
      </c>
      <c r="AA40" s="18">
        <f>tbl_Bonds[[#This Row],[Quantidade]]*tbl_Bonds[[#This Row],[𝛿P/𝛿du]]</f>
        <v>167.18766153525587</v>
      </c>
    </row>
    <row r="41" spans="1:27">
      <c r="A41" s="2" t="s">
        <v>81</v>
      </c>
      <c r="B41" s="3">
        <v>46980</v>
      </c>
      <c r="C41" s="3">
        <v>46433</v>
      </c>
      <c r="D41" s="4">
        <f>NETWORKDAYS(Dashboard!$C$10,bonds!C41,feriados)-1</f>
        <v>1101</v>
      </c>
      <c r="E41" s="2">
        <f>IF(tbl_Bonds[[#This Row],[Coupon]]&lt;tbl_Bonds[[#This Row],[Maturity]],SQRT(1.06)-1,SQRT(1.06))</f>
        <v>2.9563014098699991E-2</v>
      </c>
      <c r="F41" s="5" cm="1">
        <f t="array" ref="F41">Svensson(betas_pre,tbl_Bonds[[#This Row],[DU]])</f>
        <v>0.11646160743294708</v>
      </c>
      <c r="G41" s="49">
        <f>IF(curve_type="Simulada",_xlfn.XLOOKUP(tbl_Bonds[[#This Row],[Coupon]],Simulador!$B$5:$B$147,Simulador!$H$5:$H$147),0)</f>
        <v>0</v>
      </c>
      <c r="H41" s="5" cm="1">
        <f t="array" ref="H4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0.11646160743294708</v>
      </c>
      <c r="I41" s="5" cm="1">
        <f t="array" ref="I41">Interpola_FF(tbl_Bonds[[#This Row],[DU]],dus_svensson,svensson_implicita)</f>
        <v>5.5866933897950277E-2</v>
      </c>
      <c r="J41" s="49">
        <f>IF(curve_type="Simulada",_xlfn.XLOOKUP(tbl_Bonds[[#This Row],[Coupon]],Simulador!$B$5:$B$147,Simulador!$N$5:$N$147),0)</f>
        <v>0</v>
      </c>
      <c r="K41" s="5" cm="1">
        <f t="array" ref="K4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5.5866933897950277E-2</v>
      </c>
      <c r="L41" s="5" cm="1">
        <f t="array" ref="L41">Interpola_FF(tbl_Bonds[[#This Row],[DU]],dus_svensson,svensson_real_spot)</f>
        <v>5.7407981869316727E-2</v>
      </c>
      <c r="M41" s="49">
        <f>IF(curve_type="Simulada",_xlfn.XLOOKUP(tbl_Bonds[[#This Row],[Coupon]],Simulador!$B$5:$B$147,Simulador!$K$5:$K$147),0)</f>
        <v>0</v>
      </c>
      <c r="N41" s="5" cm="1">
        <f t="array" ref="N4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5.7407981869316727E-2</v>
      </c>
      <c r="O41" s="6">
        <f>IF(curve_type="Mercado",tbl_Bonds[[#This Row],[FC]]/(1+tbl_Bonds[[#This Row],[Real Mercado]])^(tbl_Bonds[[#This Row],[DU]]/252),tbl_Bonds[[#This Row],[FC]]/(1+tbl_Bonds[[#This Row],[Real Simulada]])^(tbl_Bonds[[#This Row],[DU]]/252))</f>
        <v>2.3164968021171791E-2</v>
      </c>
      <c r="P41" s="7">
        <f>tbl_Bonds[[#This Row],[Cotação]]*VNA</f>
        <v>91.62449762684291</v>
      </c>
      <c r="Q41" s="18">
        <f>tbl_Bonds[[#This Row],[Cotação]]%%*VNA</f>
        <v>9.1624497626842921E-3</v>
      </c>
      <c r="R4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-3.7857837283893893E-2</v>
      </c>
      <c r="S4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-3.5858280398520265E-2</v>
      </c>
      <c r="T4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3.7916135157029754E-2</v>
      </c>
      <c r="U41" s="18">
        <f>IF(curve_type="Mercado",tbl_Bonds[[#This Row],[VP Cupom]]*LN(1+tbl_Bonds[[#This Row],[Real Mercado]])/252,tbl_Bonds[[#This Row],[VP Cupom]]*LN(1+tbl_Bonds[[#This Row],[Real Simulada]])/252)</f>
        <v>2.0295776418198942E-2</v>
      </c>
      <c r="V41" s="18">
        <f>SUMIF(Dashboard!$B$28:$B$42,tbl_Bonds[[#This Row],[Bond]],Dashboard!$C$28:$C$42)</f>
        <v>7940</v>
      </c>
      <c r="W41" s="18">
        <f>tbl_Bonds[[#This Row],[Quantidade]]*tbl_Bonds[[#This Row],[𝛿P/𝛿VNA]]</f>
        <v>72.749851115713284</v>
      </c>
      <c r="X41" s="18">
        <f>+tbl_Bonds[[#This Row],[Quantidade]]*tbl_Bonds[[#This Row],[𝛿P/𝛿r_real]]</f>
        <v>-300.59122803411753</v>
      </c>
      <c r="Y41" s="18">
        <f>tbl_Bonds[[#This Row],[Quantidade]]*tbl_Bonds[[#This Row],[𝛿P/𝛿r_pre]]</f>
        <v>-284.71474636425091</v>
      </c>
      <c r="Z41" s="18">
        <f>tbl_Bonds[[#This Row],[Quantidade]]*tbl_Bonds[[#This Row],[𝛿P/𝛿r_implicita]]</f>
        <v>301.05411314681623</v>
      </c>
      <c r="AA41" s="18">
        <f>tbl_Bonds[[#This Row],[Quantidade]]*tbl_Bonds[[#This Row],[𝛿P/𝛿du]]</f>
        <v>161.14846476049959</v>
      </c>
    </row>
    <row r="42" spans="1:27">
      <c r="A42" s="2" t="s">
        <v>81</v>
      </c>
      <c r="B42" s="3">
        <v>46980</v>
      </c>
      <c r="C42" s="3">
        <v>46615</v>
      </c>
      <c r="D42" s="4">
        <f>NETWORKDAYS(Dashboard!$C$10,bonds!C42,feriados)-1</f>
        <v>1228</v>
      </c>
      <c r="E42" s="2">
        <f>IF(tbl_Bonds[[#This Row],[Coupon]]&lt;tbl_Bonds[[#This Row],[Maturity]],SQRT(1.06)-1,SQRT(1.06))</f>
        <v>2.9563014098699991E-2</v>
      </c>
      <c r="F42" s="5" cm="1">
        <f t="array" ref="F42">Svensson(betas_pre,tbl_Bonds[[#This Row],[DU]])</f>
        <v>0.11671586421546679</v>
      </c>
      <c r="G42" s="49">
        <f>IF(curve_type="Simulada",_xlfn.XLOOKUP(tbl_Bonds[[#This Row],[Coupon]],Simulador!$B$5:$B$147,Simulador!$H$5:$H$147),0)</f>
        <v>0</v>
      </c>
      <c r="H42" s="5" cm="1">
        <f t="array" ref="H4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0.11671586421546679</v>
      </c>
      <c r="I42" s="5" cm="1">
        <f t="array" ref="I42">Interpola_FF(tbl_Bonds[[#This Row],[DU]],dus_svensson,svensson_implicita)</f>
        <v>5.6538828426135002E-2</v>
      </c>
      <c r="J42" s="49">
        <f>IF(curve_type="Simulada",_xlfn.XLOOKUP(tbl_Bonds[[#This Row],[Coupon]],Simulador!$B$5:$B$147,Simulador!$N$5:$N$147),0)</f>
        <v>0</v>
      </c>
      <c r="K42" s="5" cm="1">
        <f t="array" ref="K4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5.6538828426135002E-2</v>
      </c>
      <c r="L42" s="5" cm="1">
        <f t="array" ref="L42">Interpola_FF(tbl_Bonds[[#This Row],[DU]],dus_svensson,svensson_real_spot)</f>
        <v>5.6968724466762044E-2</v>
      </c>
      <c r="M42" s="49">
        <f>IF(curve_type="Simulada",_xlfn.XLOOKUP(tbl_Bonds[[#This Row],[Coupon]],Simulador!$B$5:$B$147,Simulador!$K$5:$K$147),0)</f>
        <v>0</v>
      </c>
      <c r="N42" s="5" cm="1">
        <f t="array" ref="N4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5.6968724466762044E-2</v>
      </c>
      <c r="O42" s="6">
        <f>IF(curve_type="Mercado",tbl_Bonds[[#This Row],[FC]]/(1+tbl_Bonds[[#This Row],[Real Mercado]])^(tbl_Bonds[[#This Row],[DU]]/252),tbl_Bonds[[#This Row],[FC]]/(1+tbl_Bonds[[#This Row],[Real Simulada]])^(tbl_Bonds[[#This Row],[DU]]/252))</f>
        <v>2.2568024049985532E-2</v>
      </c>
      <c r="P42" s="7">
        <f>tbl_Bonds[[#This Row],[Cotação]]*VNA</f>
        <v>89.263402570664766</v>
      </c>
      <c r="Q42" s="18">
        <f>tbl_Bonds[[#This Row],[Cotação]]%%*VNA</f>
        <v>8.9263402570664754E-3</v>
      </c>
      <c r="R4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-4.1153722672892003E-2</v>
      </c>
      <c r="S4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-3.8954041250868057E-2</v>
      </c>
      <c r="T4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4.1172737498865408E-2</v>
      </c>
      <c r="U42" s="18">
        <f>IF(curve_type="Mercado",tbl_Bonds[[#This Row],[VP Cupom]]*LN(1+tbl_Bonds[[#This Row],[Real Mercado]])/252,tbl_Bonds[[#This Row],[VP Cupom]]*LN(1+tbl_Bonds[[#This Row],[Real Simulada]])/252)</f>
        <v>1.9625592487311244E-2</v>
      </c>
      <c r="V42" s="18">
        <f>SUMIF(Dashboard!$B$28:$B$42,tbl_Bonds[[#This Row],[Bond]],Dashboard!$C$28:$C$42)</f>
        <v>7940</v>
      </c>
      <c r="W42" s="18">
        <f>tbl_Bonds[[#This Row],[Quantidade]]*tbl_Bonds[[#This Row],[𝛿P/𝛿VNA]]</f>
        <v>70.875141641107817</v>
      </c>
      <c r="X42" s="18">
        <f>+tbl_Bonds[[#This Row],[Quantidade]]*tbl_Bonds[[#This Row],[𝛿P/𝛿r_real]]</f>
        <v>-326.7605580227625</v>
      </c>
      <c r="Y42" s="18">
        <f>tbl_Bonds[[#This Row],[Quantidade]]*tbl_Bonds[[#This Row],[𝛿P/𝛿r_pre]]</f>
        <v>-309.29508753189236</v>
      </c>
      <c r="Z42" s="18">
        <f>tbl_Bonds[[#This Row],[Quantidade]]*tbl_Bonds[[#This Row],[𝛿P/𝛿r_implicita]]</f>
        <v>326.91153574099133</v>
      </c>
      <c r="AA42" s="18">
        <f>tbl_Bonds[[#This Row],[Quantidade]]*tbl_Bonds[[#This Row],[𝛿P/𝛿du]]</f>
        <v>155.82720434925128</v>
      </c>
    </row>
    <row r="43" spans="1:27">
      <c r="A43" s="2" t="s">
        <v>81</v>
      </c>
      <c r="B43" s="3">
        <v>46980</v>
      </c>
      <c r="C43" s="3">
        <v>46798</v>
      </c>
      <c r="D43" s="4">
        <f>NETWORKDAYS(Dashboard!$C$10,bonds!C43,feriados)-1</f>
        <v>1355</v>
      </c>
      <c r="E43" s="2">
        <f>IF(tbl_Bonds[[#This Row],[Coupon]]&lt;tbl_Bonds[[#This Row],[Maturity]],SQRT(1.06)-1,SQRT(1.06))</f>
        <v>2.9563014098699991E-2</v>
      </c>
      <c r="F43" s="5" cm="1">
        <f t="array" ref="F43">Svensson(betas_pre,tbl_Bonds[[#This Row],[DU]])</f>
        <v>0.11703860353993888</v>
      </c>
      <c r="G43" s="49">
        <f>IF(curve_type="Simulada",_xlfn.XLOOKUP(tbl_Bonds[[#This Row],[Coupon]],Simulador!$B$5:$B$147,Simulador!$H$5:$H$147),0)</f>
        <v>0</v>
      </c>
      <c r="H43" s="5" cm="1">
        <f t="array" ref="H4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0.11703860353993888</v>
      </c>
      <c r="I43" s="5" cm="1">
        <f t="array" ref="I43">Interpola_FF(tbl_Bonds[[#This Row],[DU]],dus_svensson,svensson_implicita)</f>
        <v>5.7054164176732813E-2</v>
      </c>
      <c r="J43" s="49">
        <f>IF(curve_type="Simulada",_xlfn.XLOOKUP(tbl_Bonds[[#This Row],[Coupon]],Simulador!$B$5:$B$147,Simulador!$N$5:$N$147),0)</f>
        <v>0</v>
      </c>
      <c r="K43" s="5" cm="1">
        <f t="array" ref="K4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5.7054164176732813E-2</v>
      </c>
      <c r="L43" s="5" cm="1">
        <f t="array" ref="L43">Interpola_FF(tbl_Bonds[[#This Row],[DU]],dus_svensson,svensson_real_spot)</f>
        <v>5.675390529669766E-2</v>
      </c>
      <c r="M43" s="49">
        <f>IF(curve_type="Simulada",_xlfn.XLOOKUP(tbl_Bonds[[#This Row],[Coupon]],Simulador!$B$5:$B$147,Simulador!$K$5:$K$147),0)</f>
        <v>0</v>
      </c>
      <c r="N43" s="5" cm="1">
        <f t="array" ref="N4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5.675390529669766E-2</v>
      </c>
      <c r="O43" s="6">
        <f>IF(curve_type="Mercado",tbl_Bonds[[#This Row],[FC]]/(1+tbl_Bonds[[#This Row],[Real Mercado]])^(tbl_Bonds[[#This Row],[DU]]/252),tbl_Bonds[[#This Row],[FC]]/(1+tbl_Bonds[[#This Row],[Real Simulada]])^(tbl_Bonds[[#This Row],[DU]]/252))</f>
        <v>2.1970585865922678E-2</v>
      </c>
      <c r="P43" s="7">
        <f>tbl_Bonds[[#This Row],[Cotação]]*VNA</f>
        <v>86.900352752170633</v>
      </c>
      <c r="Q43" s="18">
        <f>tbl_Bonds[[#This Row],[Cotação]]%%*VNA</f>
        <v>8.6900352752170631E-3</v>
      </c>
      <c r="R4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-4.4216710724769265E-2</v>
      </c>
      <c r="S4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-4.1831921789729297E-2</v>
      </c>
      <c r="T4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4.4205749414727782E-2</v>
      </c>
      <c r="U43" s="18">
        <f>IF(curve_type="Mercado",tbl_Bonds[[#This Row],[VP Cupom]]*LN(1+tbl_Bonds[[#This Row],[Real Mercado]])/252,tbl_Bonds[[#This Row],[VP Cupom]]*LN(1+tbl_Bonds[[#This Row],[Real Simulada]])/252)</f>
        <v>1.9035955403400421E-2</v>
      </c>
      <c r="V43" s="18">
        <f>SUMIF(Dashboard!$B$28:$B$42,tbl_Bonds[[#This Row],[Bond]],Dashboard!$C$28:$C$42)</f>
        <v>7940</v>
      </c>
      <c r="W43" s="18">
        <f>tbl_Bonds[[#This Row],[Quantidade]]*tbl_Bonds[[#This Row],[𝛿P/𝛿VNA]]</f>
        <v>68.998880085223476</v>
      </c>
      <c r="X43" s="18">
        <f>+tbl_Bonds[[#This Row],[Quantidade]]*tbl_Bonds[[#This Row],[𝛿P/𝛿r_real]]</f>
        <v>-351.08068315466795</v>
      </c>
      <c r="Y43" s="18">
        <f>tbl_Bonds[[#This Row],[Quantidade]]*tbl_Bonds[[#This Row],[𝛿P/𝛿r_pre]]</f>
        <v>-332.14545901045062</v>
      </c>
      <c r="Z43" s="18">
        <f>tbl_Bonds[[#This Row],[Quantidade]]*tbl_Bonds[[#This Row],[𝛿P/𝛿r_implicita]]</f>
        <v>350.99365035293857</v>
      </c>
      <c r="AA43" s="18">
        <f>tbl_Bonds[[#This Row],[Quantidade]]*tbl_Bonds[[#This Row],[𝛿P/𝛿du]]</f>
        <v>151.14548590299935</v>
      </c>
    </row>
    <row r="44" spans="1:27">
      <c r="A44" s="2" t="s">
        <v>81</v>
      </c>
      <c r="B44" s="3">
        <v>46980</v>
      </c>
      <c r="C44" s="3">
        <v>46980</v>
      </c>
      <c r="D44" s="4">
        <f>NETWORKDAYS(Dashboard!$C$10,bonds!C44,feriados)-1</f>
        <v>1479</v>
      </c>
      <c r="E44" s="2">
        <f>IF(tbl_Bonds[[#This Row],[Coupon]]&lt;tbl_Bonds[[#This Row],[Maturity]],SQRT(1.06)-1,SQRT(1.06))</f>
        <v>1.0295630140987</v>
      </c>
      <c r="F44" s="5" cm="1">
        <f t="array" ref="F44">Svensson(betas_pre,tbl_Bonds[[#This Row],[DU]])</f>
        <v>0.11736890213289761</v>
      </c>
      <c r="G44" s="49">
        <f>IF(curve_type="Simulada",_xlfn.XLOOKUP(tbl_Bonds[[#This Row],[Coupon]],Simulador!$B$5:$B$147,Simulador!$H$5:$H$147),0)</f>
        <v>0</v>
      </c>
      <c r="H44" s="5" cm="1">
        <f t="array" ref="H4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0.11736890213289761</v>
      </c>
      <c r="I44" s="5" cm="1">
        <f t="array" ref="I44">Interpola_FF(tbl_Bonds[[#This Row],[DU]],dus_svensson,svensson_implicita)</f>
        <v>5.742304317837621E-2</v>
      </c>
      <c r="J44" s="49">
        <f>IF(curve_type="Simulada",_xlfn.XLOOKUP(tbl_Bonds[[#This Row],[Coupon]],Simulador!$B$5:$B$147,Simulador!$N$5:$N$147),0)</f>
        <v>0</v>
      </c>
      <c r="K44" s="5" cm="1">
        <f t="array" ref="K4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5.742304317837621E-2</v>
      </c>
      <c r="L44" s="5" cm="1">
        <f t="array" ref="L44">Interpola_FF(tbl_Bonds[[#This Row],[DU]],dus_svensson,svensson_real_spot)</f>
        <v>5.6694932019935917E-2</v>
      </c>
      <c r="M44" s="49">
        <f>IF(curve_type="Simulada",_xlfn.XLOOKUP(tbl_Bonds[[#This Row],[Coupon]],Simulador!$B$5:$B$147,Simulador!$K$5:$K$147),0)</f>
        <v>0</v>
      </c>
      <c r="N44" s="5" cm="1">
        <f t="array" ref="N4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5.6694932019935917E-2</v>
      </c>
      <c r="O44" s="6">
        <f>IF(curve_type="Mercado",tbl_Bonds[[#This Row],[FC]]/(1+tbl_Bonds[[#This Row],[Real Mercado]])^(tbl_Bonds[[#This Row],[DU]]/252),tbl_Bonds[[#This Row],[FC]]/(1+tbl_Bonds[[#This Row],[Real Simulada]])^(tbl_Bonds[[#This Row],[DU]]/252))</f>
        <v>0.744888802559038</v>
      </c>
      <c r="P44" s="7">
        <f>tbl_Bonds[[#This Row],[Cotação]]*VNA</f>
        <v>2946.2618838910025</v>
      </c>
      <c r="Q44" s="18">
        <f>tbl_Bonds[[#This Row],[Cotação]]%%*VNA</f>
        <v>0.29462618838910032</v>
      </c>
      <c r="R4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-1.6363995672513558</v>
      </c>
      <c r="S4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-1.5475797917487777</v>
      </c>
      <c r="T4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1.6353128901671656</v>
      </c>
      <c r="U44" s="18">
        <f>IF(curve_type="Mercado",tbl_Bonds[[#This Row],[VP Cupom]]*LN(1+tbl_Bonds[[#This Row],[Real Mercado]])/252,tbl_Bonds[[#This Row],[VP Cupom]]*LN(1+tbl_Bonds[[#This Row],[Real Simulada]])/252)</f>
        <v>0.64474087489935494</v>
      </c>
      <c r="V44" s="18">
        <f>SUMIF(Dashboard!$B$28:$B$42,tbl_Bonds[[#This Row],[Bond]],Dashboard!$C$28:$C$42)</f>
        <v>7940</v>
      </c>
      <c r="W44" s="18">
        <f>tbl_Bonds[[#This Row],[Quantidade]]*tbl_Bonds[[#This Row],[𝛿P/𝛿VNA]]</f>
        <v>2339.3319358094564</v>
      </c>
      <c r="X44" s="18">
        <f>+tbl_Bonds[[#This Row],[Quantidade]]*tbl_Bonds[[#This Row],[𝛿P/𝛿r_real]]</f>
        <v>-12993.012563975764</v>
      </c>
      <c r="Y44" s="18">
        <f>tbl_Bonds[[#This Row],[Quantidade]]*tbl_Bonds[[#This Row],[𝛿P/𝛿r_pre]]</f>
        <v>-12287.783546485294</v>
      </c>
      <c r="Z44" s="18">
        <f>tbl_Bonds[[#This Row],[Quantidade]]*tbl_Bonds[[#This Row],[𝛿P/𝛿r_implicita]]</f>
        <v>12984.384347927295</v>
      </c>
      <c r="AA44" s="18">
        <f>tbl_Bonds[[#This Row],[Quantidade]]*tbl_Bonds[[#This Row],[𝛿P/𝛿du]]</f>
        <v>5119.2425467008779</v>
      </c>
    </row>
    <row r="45" spans="1:27">
      <c r="A45" s="2" t="s">
        <v>82</v>
      </c>
      <c r="B45" s="3">
        <v>47710</v>
      </c>
      <c r="C45" s="3">
        <v>44972</v>
      </c>
      <c r="D45" s="4">
        <f>NETWORKDAYS(Dashboard!$C$10,bonds!C45,feriados)-1</f>
        <v>99</v>
      </c>
      <c r="E45" s="2">
        <f>IF(tbl_Bonds[[#This Row],[Coupon]]&lt;tbl_Bonds[[#This Row],[Maturity]],SQRT(1.06)-1,SQRT(1.06))</f>
        <v>2.9563014098699991E-2</v>
      </c>
      <c r="F45" s="5" cm="1">
        <f t="array" ref="F45">Svensson(betas_pre,tbl_Bonds[[#This Row],[DU]])</f>
        <v>0.13824476901041258</v>
      </c>
      <c r="G45" s="49">
        <f>IF(curve_type="Simulada",_xlfn.XLOOKUP(tbl_Bonds[[#This Row],[Coupon]],Simulador!$B$5:$B$147,Simulador!$H$5:$H$147),0)</f>
        <v>0</v>
      </c>
      <c r="H45" s="5" cm="1">
        <f t="array" ref="H4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0.13824476901041258</v>
      </c>
      <c r="I45" s="5" cm="1">
        <f t="array" ref="I45">Interpola_FF(tbl_Bonds[[#This Row],[DU]],dus_svensson,svensson_implicita)</f>
        <v>4.5724704287595008E-2</v>
      </c>
      <c r="J45" s="49">
        <f>IF(curve_type="Simulada",_xlfn.XLOOKUP(tbl_Bonds[[#This Row],[Coupon]],Simulador!$B$5:$B$147,Simulador!$N$5:$N$147),0)</f>
        <v>0</v>
      </c>
      <c r="K45" s="5" cm="1">
        <f t="array" ref="K4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4.5724704287595008E-2</v>
      </c>
      <c r="L45" s="5" cm="1">
        <f t="array" ref="L45">Interpola_FF(tbl_Bonds[[#This Row],[DU]],dus_svensson,svensson_real_spot)</f>
        <v>8.8437815039086765E-2</v>
      </c>
      <c r="M45" s="49">
        <f>IF(curve_type="Simulada",_xlfn.XLOOKUP(tbl_Bonds[[#This Row],[Coupon]],Simulador!$B$5:$B$147,Simulador!$K$5:$K$147),0)</f>
        <v>0</v>
      </c>
      <c r="N45" s="5" cm="1">
        <f t="array" ref="N4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8.8437815039086765E-2</v>
      </c>
      <c r="O45" s="6">
        <f>IF(curve_type="Mercado",tbl_Bonds[[#This Row],[FC]]/(1+tbl_Bonds[[#This Row],[Real Mercado]])^(tbl_Bonds[[#This Row],[DU]]/252),tbl_Bonds[[#This Row],[FC]]/(1+tbl_Bonds[[#This Row],[Real Simulada]])^(tbl_Bonds[[#This Row],[DU]]/252))</f>
        <v>2.8595002889922921E-2</v>
      </c>
      <c r="P45" s="7">
        <f>tbl_Bonds[[#This Row],[Cotação]]*VNA</f>
        <v>113.10193789314702</v>
      </c>
      <c r="Q45" s="18">
        <f>tbl_Bonds[[#This Row],[Cotação]]%%*VNA</f>
        <v>1.1310193789314704E-2</v>
      </c>
      <c r="R4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-4.0822639160797754E-3</v>
      </c>
      <c r="S4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-3.9035816912818782E-3</v>
      </c>
      <c r="T4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4.248949481913014E-3</v>
      </c>
      <c r="U45" s="18">
        <f>IF(curve_type="Mercado",tbl_Bonds[[#This Row],[VP Cupom]]*LN(1+tbl_Bonds[[#This Row],[Real Mercado]])/252,tbl_Bonds[[#This Row],[VP Cupom]]*LN(1+tbl_Bonds[[#This Row],[Real Simulada]])/252)</f>
        <v>3.8034328556047631E-2</v>
      </c>
      <c r="V45" s="18">
        <f>SUMIF(Dashboard!$B$28:$B$42,tbl_Bonds[[#This Row],[Bond]],Dashboard!$C$28:$C$42)</f>
        <v>2510</v>
      </c>
      <c r="W45" s="18">
        <f>tbl_Bonds[[#This Row],[Quantidade]]*tbl_Bonds[[#This Row],[𝛿P/𝛿VNA]]</f>
        <v>28.388586411179904</v>
      </c>
      <c r="X45" s="18">
        <f>+tbl_Bonds[[#This Row],[Quantidade]]*tbl_Bonds[[#This Row],[𝛿P/𝛿r_real]]</f>
        <v>-10.246482429360237</v>
      </c>
      <c r="Y45" s="18">
        <f>tbl_Bonds[[#This Row],[Quantidade]]*tbl_Bonds[[#This Row],[𝛿P/𝛿r_pre]]</f>
        <v>-9.7979900451175137</v>
      </c>
      <c r="Z45" s="18">
        <f>tbl_Bonds[[#This Row],[Quantidade]]*tbl_Bonds[[#This Row],[𝛿P/𝛿r_implicita]]</f>
        <v>10.664863199601665</v>
      </c>
      <c r="AA45" s="18">
        <f>tbl_Bonds[[#This Row],[Quantidade]]*tbl_Bonds[[#This Row],[𝛿P/𝛿du]]</f>
        <v>95.466164675679551</v>
      </c>
    </row>
    <row r="46" spans="1:27">
      <c r="A46" s="2" t="s">
        <v>82</v>
      </c>
      <c r="B46" s="3">
        <v>47710</v>
      </c>
      <c r="C46" s="3">
        <v>45153</v>
      </c>
      <c r="D46" s="4">
        <f>NETWORKDAYS(Dashboard!$C$10,bonds!C46,feriados)-1</f>
        <v>222</v>
      </c>
      <c r="E46" s="2">
        <f>IF(tbl_Bonds[[#This Row],[Coupon]]&lt;tbl_Bonds[[#This Row],[Maturity]],SQRT(1.06)-1,SQRT(1.06))</f>
        <v>2.9563014098699991E-2</v>
      </c>
      <c r="F46" s="5" cm="1">
        <f t="array" ref="F46">Svensson(betas_pre,tbl_Bonds[[#This Row],[DU]])</f>
        <v>0.13372890379553737</v>
      </c>
      <c r="G46" s="49">
        <f>IF(curve_type="Simulada",_xlfn.XLOOKUP(tbl_Bonds[[#This Row],[Coupon]],Simulador!$B$5:$B$147,Simulador!$H$5:$H$147),0)</f>
        <v>0</v>
      </c>
      <c r="H46" s="5" cm="1">
        <f t="array" ref="H4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0.13372890379553737</v>
      </c>
      <c r="I46" s="5" cm="1">
        <f t="array" ref="I46">Interpola_FF(tbl_Bonds[[#This Row],[DU]],dus_svensson,svensson_implicita)</f>
        <v>5.0400974841755763E-2</v>
      </c>
      <c r="J46" s="49">
        <f>IF(curve_type="Simulada",_xlfn.XLOOKUP(tbl_Bonds[[#This Row],[Coupon]],Simulador!$B$5:$B$147,Simulador!$N$5:$N$147),0)</f>
        <v>0</v>
      </c>
      <c r="K46" s="5" cm="1">
        <f t="array" ref="K4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5.0400974841755763E-2</v>
      </c>
      <c r="L46" s="5" cm="1">
        <f t="array" ref="L46">Interpola_FF(tbl_Bonds[[#This Row],[DU]],dus_svensson,svensson_real_spot)</f>
        <v>7.9302041272826251E-2</v>
      </c>
      <c r="M46" s="49">
        <f>IF(curve_type="Simulada",_xlfn.XLOOKUP(tbl_Bonds[[#This Row],[Coupon]],Simulador!$B$5:$B$147,Simulador!$K$5:$K$147),0)</f>
        <v>0</v>
      </c>
      <c r="N46" s="5" cm="1">
        <f t="array" ref="N4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7.9302041272826251E-2</v>
      </c>
      <c r="O46" s="6">
        <f>IF(curve_type="Mercado",tbl_Bonds[[#This Row],[FC]]/(1+tbl_Bonds[[#This Row],[Real Mercado]])^(tbl_Bonds[[#This Row],[DU]]/252),tbl_Bonds[[#This Row],[FC]]/(1+tbl_Bonds[[#This Row],[Real Simulada]])^(tbl_Bonds[[#This Row],[DU]]/252))</f>
        <v>2.7640844460278355E-2</v>
      </c>
      <c r="P46" s="7">
        <f>tbl_Bonds[[#This Row],[Cotação]]*VNA</f>
        <v>109.32795095335507</v>
      </c>
      <c r="Q46" s="18">
        <f>tbl_Bonds[[#This Row],[Cotação]]%%*VNA</f>
        <v>1.0932795095335505E-2</v>
      </c>
      <c r="R4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-8.9236112796952736E-3</v>
      </c>
      <c r="S4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-8.4950246026016599E-3</v>
      </c>
      <c r="T4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9.1689318280332253E-3</v>
      </c>
      <c r="U46" s="18">
        <f>IF(curve_type="Mercado",tbl_Bonds[[#This Row],[VP Cupom]]*LN(1+tbl_Bonds[[#This Row],[Real Mercado]])/252,tbl_Bonds[[#This Row],[VP Cupom]]*LN(1+tbl_Bonds[[#This Row],[Real Simulada]])/252)</f>
        <v>3.310839689950245E-2</v>
      </c>
      <c r="V46" s="18">
        <f>SUMIF(Dashboard!$B$28:$B$42,tbl_Bonds[[#This Row],[Bond]],Dashboard!$C$28:$C$42)</f>
        <v>2510</v>
      </c>
      <c r="W46" s="18">
        <f>tbl_Bonds[[#This Row],[Quantidade]]*tbl_Bonds[[#This Row],[𝛿P/𝛿VNA]]</f>
        <v>27.441315689292118</v>
      </c>
      <c r="X46" s="18">
        <f>+tbl_Bonds[[#This Row],[Quantidade]]*tbl_Bonds[[#This Row],[𝛿P/𝛿r_real]]</f>
        <v>-22.398264312035138</v>
      </c>
      <c r="Y46" s="18">
        <f>tbl_Bonds[[#This Row],[Quantidade]]*tbl_Bonds[[#This Row],[𝛿P/𝛿r_pre]]</f>
        <v>-21.322511752530165</v>
      </c>
      <c r="Z46" s="18">
        <f>tbl_Bonds[[#This Row],[Quantidade]]*tbl_Bonds[[#This Row],[𝛿P/𝛿r_implicita]]</f>
        <v>23.014018888363395</v>
      </c>
      <c r="AA46" s="18">
        <f>tbl_Bonds[[#This Row],[Quantidade]]*tbl_Bonds[[#This Row],[𝛿P/𝛿du]]</f>
        <v>83.102076217751147</v>
      </c>
    </row>
    <row r="47" spans="1:27">
      <c r="A47" s="2" t="s">
        <v>82</v>
      </c>
      <c r="B47" s="3">
        <v>47710</v>
      </c>
      <c r="C47" s="3">
        <v>45337</v>
      </c>
      <c r="D47" s="4">
        <f>NETWORKDAYS(Dashboard!$C$10,bonds!C47,feriados)-1</f>
        <v>346</v>
      </c>
      <c r="E47" s="2">
        <f>IF(tbl_Bonds[[#This Row],[Coupon]]&lt;tbl_Bonds[[#This Row],[Maturity]],SQRT(1.06)-1,SQRT(1.06))</f>
        <v>2.9563014098699991E-2</v>
      </c>
      <c r="F47" s="5" cm="1">
        <f t="array" ref="F47">Svensson(betas_pre,tbl_Bonds[[#This Row],[DU]])</f>
        <v>0.12747368770436204</v>
      </c>
      <c r="G47" s="49">
        <f>IF(curve_type="Simulada",_xlfn.XLOOKUP(tbl_Bonds[[#This Row],[Coupon]],Simulador!$B$5:$B$147,Simulador!$H$5:$H$147),0)</f>
        <v>0</v>
      </c>
      <c r="H47" s="5" cm="1">
        <f t="array" ref="H4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0.12747368770436204</v>
      </c>
      <c r="I47" s="5" cm="1">
        <f t="array" ref="I47">Interpola_FF(tbl_Bonds[[#This Row],[DU]],dus_svensson,svensson_implicita)</f>
        <v>5.1308537686221012E-2</v>
      </c>
      <c r="J47" s="49">
        <f>IF(curve_type="Simulada",_xlfn.XLOOKUP(tbl_Bonds[[#This Row],[Coupon]],Simulador!$B$5:$B$147,Simulador!$N$5:$N$147),0)</f>
        <v>0</v>
      </c>
      <c r="K47" s="5" cm="1">
        <f t="array" ref="K4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5.1308537686221012E-2</v>
      </c>
      <c r="L47" s="5" cm="1">
        <f t="array" ref="L47">Interpola_FF(tbl_Bonds[[#This Row],[DU]],dus_svensson,svensson_real_spot)</f>
        <v>7.2438747759168143E-2</v>
      </c>
      <c r="M47" s="49">
        <f>IF(curve_type="Simulada",_xlfn.XLOOKUP(tbl_Bonds[[#This Row],[Coupon]],Simulador!$B$5:$B$147,Simulador!$K$5:$K$147),0)</f>
        <v>0</v>
      </c>
      <c r="N47" s="5" cm="1">
        <f t="array" ref="N4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7.2438747759168143E-2</v>
      </c>
      <c r="O47" s="6">
        <f>IF(curve_type="Mercado",tbl_Bonds[[#This Row],[FC]]/(1+tbl_Bonds[[#This Row],[Real Mercado]])^(tbl_Bonds[[#This Row],[DU]]/252),tbl_Bonds[[#This Row],[FC]]/(1+tbl_Bonds[[#This Row],[Real Simulada]])^(tbl_Bonds[[#This Row],[DU]]/252))</f>
        <v>2.6856337759066942E-2</v>
      </c>
      <c r="P47" s="7">
        <f>tbl_Bonds[[#This Row],[Cotação]]*VNA</f>
        <v>106.22498822456166</v>
      </c>
      <c r="Q47" s="18">
        <f>tbl_Bonds[[#This Row],[Cotação]]%%*VNA</f>
        <v>1.0622498822456167E-2</v>
      </c>
      <c r="R4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-1.3599713293462592E-2</v>
      </c>
      <c r="S4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-1.2935723286440097E-2</v>
      </c>
      <c r="T4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1.3872889940554092E-2</v>
      </c>
      <c r="U47" s="18">
        <f>IF(curve_type="Mercado",tbl_Bonds[[#This Row],[VP Cupom]]*LN(1+tbl_Bonds[[#This Row],[Real Mercado]])/252,tbl_Bonds[[#This Row],[VP Cupom]]*LN(1+tbl_Bonds[[#This Row],[Real Simulada]])/252)</f>
        <v>2.947965085386333E-2</v>
      </c>
      <c r="V47" s="18">
        <f>SUMIF(Dashboard!$B$28:$B$42,tbl_Bonds[[#This Row],[Bond]],Dashboard!$C$28:$C$42)</f>
        <v>2510</v>
      </c>
      <c r="W47" s="18">
        <f>tbl_Bonds[[#This Row],[Quantidade]]*tbl_Bonds[[#This Row],[𝛿P/𝛿VNA]]</f>
        <v>26.662472044364979</v>
      </c>
      <c r="X47" s="18">
        <f>+tbl_Bonds[[#This Row],[Quantidade]]*tbl_Bonds[[#This Row],[𝛿P/𝛿r_real]]</f>
        <v>-34.135280366591104</v>
      </c>
      <c r="Y47" s="18">
        <f>tbl_Bonds[[#This Row],[Quantidade]]*tbl_Bonds[[#This Row],[𝛿P/𝛿r_pre]]</f>
        <v>-32.468665448964643</v>
      </c>
      <c r="Z47" s="18">
        <f>tbl_Bonds[[#This Row],[Quantidade]]*tbl_Bonds[[#This Row],[𝛿P/𝛿r_implicita]]</f>
        <v>34.820953750790771</v>
      </c>
      <c r="AA47" s="18">
        <f>tbl_Bonds[[#This Row],[Quantidade]]*tbl_Bonds[[#This Row],[𝛿P/𝛿du]]</f>
        <v>73.993923643196965</v>
      </c>
    </row>
    <row r="48" spans="1:27">
      <c r="A48" s="2" t="s">
        <v>82</v>
      </c>
      <c r="B48" s="3">
        <v>47710</v>
      </c>
      <c r="C48" s="3">
        <v>45519</v>
      </c>
      <c r="D48" s="4">
        <f>NETWORKDAYS(Dashboard!$C$10,bonds!C48,feriados)-1</f>
        <v>473</v>
      </c>
      <c r="E48" s="2">
        <f>IF(tbl_Bonds[[#This Row],[Coupon]]&lt;tbl_Bonds[[#This Row],[Maturity]],SQRT(1.06)-1,SQRT(1.06))</f>
        <v>2.9563014098699991E-2</v>
      </c>
      <c r="F48" s="5" cm="1">
        <f t="array" ref="F48">Svensson(betas_pre,tbl_Bonds[[#This Row],[DU]])</f>
        <v>0.12241457710811354</v>
      </c>
      <c r="G48" s="49">
        <f>IF(curve_type="Simulada",_xlfn.XLOOKUP(tbl_Bonds[[#This Row],[Coupon]],Simulador!$B$5:$B$147,Simulador!$H$5:$H$147),0)</f>
        <v>0</v>
      </c>
      <c r="H48" s="5" cm="1">
        <f t="array" ref="H4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0.12241457710811354</v>
      </c>
      <c r="I48" s="5" cm="1">
        <f t="array" ref="I48">Interpola_FF(tbl_Bonds[[#This Row],[DU]],dus_svensson,svensson_implicita)</f>
        <v>5.1636418386285854E-2</v>
      </c>
      <c r="J48" s="49">
        <f>IF(curve_type="Simulada",_xlfn.XLOOKUP(tbl_Bonds[[#This Row],[Coupon]],Simulador!$B$5:$B$147,Simulador!$N$5:$N$147),0)</f>
        <v>0</v>
      </c>
      <c r="K48" s="5" cm="1">
        <f t="array" ref="K4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5.1636418386285854E-2</v>
      </c>
      <c r="L48" s="5" cm="1">
        <f t="array" ref="L48">Interpola_FF(tbl_Bonds[[#This Row],[DU]],dus_svensson,svensson_real_spot)</f>
        <v>6.730173834988129E-2</v>
      </c>
      <c r="M48" s="49">
        <f>IF(curve_type="Simulada",_xlfn.XLOOKUP(tbl_Bonds[[#This Row],[Coupon]],Simulador!$B$5:$B$147,Simulador!$K$5:$K$147),0)</f>
        <v>0</v>
      </c>
      <c r="N48" s="5" cm="1">
        <f t="array" ref="N4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6.730173834988129E-2</v>
      </c>
      <c r="O48" s="6">
        <f>IF(curve_type="Mercado",tbl_Bonds[[#This Row],[FC]]/(1+tbl_Bonds[[#This Row],[Real Mercado]])^(tbl_Bonds[[#This Row],[DU]]/252),tbl_Bonds[[#This Row],[FC]]/(1+tbl_Bonds[[#This Row],[Real Simulada]])^(tbl_Bonds[[#This Row],[DU]]/252))</f>
        <v>2.6160982699978276E-2</v>
      </c>
      <c r="P48" s="7">
        <f>tbl_Bonds[[#This Row],[Cotação]]*VNA</f>
        <v>103.47464736922124</v>
      </c>
      <c r="Q48" s="18">
        <f>tbl_Bonds[[#This Row],[Cotação]]%%*VNA</f>
        <v>1.0347464736922126E-2</v>
      </c>
      <c r="R4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-1.8197316061490301E-2</v>
      </c>
      <c r="S4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-1.7303756115098563E-2</v>
      </c>
      <c r="T4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1.8468348720856322E-2</v>
      </c>
      <c r="U48" s="18">
        <f>IF(curve_type="Mercado",tbl_Bonds[[#This Row],[VP Cupom]]*LN(1+tbl_Bonds[[#This Row],[Real Mercado]])/252,tbl_Bonds[[#This Row],[VP Cupom]]*LN(1+tbl_Bonds[[#This Row],[Real Simulada]])/252)</f>
        <v>2.6744797971613773E-2</v>
      </c>
      <c r="V48" s="18">
        <f>SUMIF(Dashboard!$B$28:$B$42,tbl_Bonds[[#This Row],[Bond]],Dashboard!$C$28:$C$42)</f>
        <v>2510</v>
      </c>
      <c r="W48" s="18">
        <f>tbl_Bonds[[#This Row],[Quantidade]]*tbl_Bonds[[#This Row],[𝛿P/𝛿VNA]]</f>
        <v>25.972136489674536</v>
      </c>
      <c r="X48" s="18">
        <f>+tbl_Bonds[[#This Row],[Quantidade]]*tbl_Bonds[[#This Row],[𝛿P/𝛿r_real]]</f>
        <v>-45.675263314340654</v>
      </c>
      <c r="Y48" s="18">
        <f>tbl_Bonds[[#This Row],[Quantidade]]*tbl_Bonds[[#This Row],[𝛿P/𝛿r_pre]]</f>
        <v>-43.43242784889739</v>
      </c>
      <c r="Z48" s="18">
        <f>tbl_Bonds[[#This Row],[Quantidade]]*tbl_Bonds[[#This Row],[𝛿P/𝛿r_implicita]]</f>
        <v>46.355555289349368</v>
      </c>
      <c r="AA48" s="18">
        <f>tbl_Bonds[[#This Row],[Quantidade]]*tbl_Bonds[[#This Row],[𝛿P/𝛿du]]</f>
        <v>67.129442908750576</v>
      </c>
    </row>
    <row r="49" spans="1:27">
      <c r="A49" s="2" t="s">
        <v>82</v>
      </c>
      <c r="B49" s="3">
        <v>47710</v>
      </c>
      <c r="C49" s="3">
        <v>45705</v>
      </c>
      <c r="D49" s="4">
        <f>NETWORKDAYS(Dashboard!$C$10,bonds!C49,feriados)-1</f>
        <v>602</v>
      </c>
      <c r="E49" s="2">
        <f>IF(tbl_Bonds[[#This Row],[Coupon]]&lt;tbl_Bonds[[#This Row],[Maturity]],SQRT(1.06)-1,SQRT(1.06))</f>
        <v>2.9563014098699991E-2</v>
      </c>
      <c r="F49" s="5" cm="1">
        <f t="array" ref="F49">Svensson(betas_pre,tbl_Bonds[[#This Row],[DU]])</f>
        <v>0.11913959507080539</v>
      </c>
      <c r="G49" s="49">
        <f>IF(curve_type="Simulada",_xlfn.XLOOKUP(tbl_Bonds[[#This Row],[Coupon]],Simulador!$B$5:$B$147,Simulador!$H$5:$H$147),0)</f>
        <v>0</v>
      </c>
      <c r="H49" s="5" cm="1">
        <f t="array" ref="H4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0.11913959507080539</v>
      </c>
      <c r="I49" s="5" cm="1">
        <f t="array" ref="I49">Interpola_FF(tbl_Bonds[[#This Row],[DU]],dus_svensson,svensson_implicita)</f>
        <v>5.2245707571055622E-2</v>
      </c>
      <c r="J49" s="49">
        <f>IF(curve_type="Simulada",_xlfn.XLOOKUP(tbl_Bonds[[#This Row],[Coupon]],Simulador!$B$5:$B$147,Simulador!$N$5:$N$147),0)</f>
        <v>0</v>
      </c>
      <c r="K49" s="5" cm="1">
        <f t="array" ref="K4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5.2245707571055622E-2</v>
      </c>
      <c r="L49" s="5" cm="1">
        <f t="array" ref="L49">Interpola_FF(tbl_Bonds[[#This Row],[DU]],dus_svensson,svensson_real_spot)</f>
        <v>6.3573730880697621E-2</v>
      </c>
      <c r="M49" s="49">
        <f>IF(curve_type="Simulada",_xlfn.XLOOKUP(tbl_Bonds[[#This Row],[Coupon]],Simulador!$B$5:$B$147,Simulador!$K$5:$K$147),0)</f>
        <v>0</v>
      </c>
      <c r="N49" s="5" cm="1">
        <f t="array" ref="N4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6.3573730880697621E-2</v>
      </c>
      <c r="O49" s="6">
        <f>IF(curve_type="Mercado",tbl_Bonds[[#This Row],[FC]]/(1+tbl_Bonds[[#This Row],[Real Mercado]])^(tbl_Bonds[[#This Row],[DU]]/252),tbl_Bonds[[#This Row],[FC]]/(1+tbl_Bonds[[#This Row],[Real Simulada]])^(tbl_Bonds[[#This Row],[DU]]/252))</f>
        <v>2.5515488243228496E-2</v>
      </c>
      <c r="P49" s="7">
        <f>tbl_Bonds[[#This Row],[Cotação]]*VNA</f>
        <v>100.92152036871961</v>
      </c>
      <c r="Q49" s="18">
        <f>tbl_Bonds[[#This Row],[Cotação]]%%*VNA</f>
        <v>1.0092152036871962E-2</v>
      </c>
      <c r="R4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-2.2667944088744268E-2</v>
      </c>
      <c r="S4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-2.1542528534510597E-2</v>
      </c>
      <c r="T4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2.2912040873576508E-2</v>
      </c>
      <c r="U49" s="18">
        <f>IF(curve_type="Mercado",tbl_Bonds[[#This Row],[VP Cupom]]*LN(1+tbl_Bonds[[#This Row],[Real Mercado]])/252,tbl_Bonds[[#This Row],[VP Cupom]]*LN(1+tbl_Bonds[[#This Row],[Real Simulada]])/252)</f>
        <v>2.4683594413289961E-2</v>
      </c>
      <c r="V49" s="18">
        <f>SUMIF(Dashboard!$B$28:$B$42,tbl_Bonds[[#This Row],[Bond]],Dashboard!$C$28:$C$42)</f>
        <v>2510</v>
      </c>
      <c r="W49" s="18">
        <f>tbl_Bonds[[#This Row],[Quantidade]]*tbl_Bonds[[#This Row],[𝛿P/𝛿VNA]]</f>
        <v>25.331301612548625</v>
      </c>
      <c r="X49" s="18">
        <f>+tbl_Bonds[[#This Row],[Quantidade]]*tbl_Bonds[[#This Row],[𝛿P/𝛿r_real]]</f>
        <v>-56.896539662748111</v>
      </c>
      <c r="Y49" s="18">
        <f>tbl_Bonds[[#This Row],[Quantidade]]*tbl_Bonds[[#This Row],[𝛿P/𝛿r_pre]]</f>
        <v>-54.0717466216216</v>
      </c>
      <c r="Z49" s="18">
        <f>tbl_Bonds[[#This Row],[Quantidade]]*tbl_Bonds[[#This Row],[𝛿P/𝛿r_implicita]]</f>
        <v>57.509222592677034</v>
      </c>
      <c r="AA49" s="18">
        <f>tbl_Bonds[[#This Row],[Quantidade]]*tbl_Bonds[[#This Row],[𝛿P/𝛿du]]</f>
        <v>61.9558219773578</v>
      </c>
    </row>
    <row r="50" spans="1:27">
      <c r="A50" s="2" t="s">
        <v>82</v>
      </c>
      <c r="B50" s="3">
        <v>47710</v>
      </c>
      <c r="C50" s="3">
        <v>45884</v>
      </c>
      <c r="D50" s="4">
        <f>NETWORKDAYS(Dashboard!$C$10,bonds!C50,feriados)-1</f>
        <v>725</v>
      </c>
      <c r="E50" s="2">
        <f>IF(tbl_Bonds[[#This Row],[Coupon]]&lt;tbl_Bonds[[#This Row],[Maturity]],SQRT(1.06)-1,SQRT(1.06))</f>
        <v>2.9563014098699991E-2</v>
      </c>
      <c r="F50" s="5" cm="1">
        <f t="array" ref="F50">Svensson(betas_pre,tbl_Bonds[[#This Row],[DU]])</f>
        <v>0.11741710508794967</v>
      </c>
      <c r="G50" s="49">
        <f>IF(curve_type="Simulada",_xlfn.XLOOKUP(tbl_Bonds[[#This Row],[Coupon]],Simulador!$B$5:$B$147,Simulador!$H$5:$H$147),0)</f>
        <v>0</v>
      </c>
      <c r="H50" s="5" cm="1">
        <f t="array" ref="H5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0.11741710508794967</v>
      </c>
      <c r="I50" s="5" cm="1">
        <f t="array" ref="I50">Interpola_FF(tbl_Bonds[[#This Row],[DU]],dus_svensson,svensson_implicita)</f>
        <v>5.3104968591759505E-2</v>
      </c>
      <c r="J50" s="49">
        <f>IF(curve_type="Simulada",_xlfn.XLOOKUP(tbl_Bonds[[#This Row],[Coupon]],Simulador!$B$5:$B$147,Simulador!$N$5:$N$147),0)</f>
        <v>0</v>
      </c>
      <c r="K50" s="5" cm="1">
        <f t="array" ref="K5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5.3104968591759505E-2</v>
      </c>
      <c r="L50" s="5" cm="1">
        <f t="array" ref="L50">Interpola_FF(tbl_Bonds[[#This Row],[DU]],dus_svensson,svensson_real_spot)</f>
        <v>6.1070807198248644E-2</v>
      </c>
      <c r="M50" s="49">
        <f>IF(curve_type="Simulada",_xlfn.XLOOKUP(tbl_Bonds[[#This Row],[Coupon]],Simulador!$B$5:$B$147,Simulador!$K$5:$K$147),0)</f>
        <v>0</v>
      </c>
      <c r="N50" s="5" cm="1">
        <f t="array" ref="N5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6.1070807198248644E-2</v>
      </c>
      <c r="O50" s="6">
        <f>IF(curve_type="Mercado",tbl_Bonds[[#This Row],[FC]]/(1+tbl_Bonds[[#This Row],[Real Mercado]])^(tbl_Bonds[[#This Row],[DU]]/252),tbl_Bonds[[#This Row],[FC]]/(1+tbl_Bonds[[#This Row],[Real Simulada]])^(tbl_Bonds[[#This Row],[DU]]/252))</f>
        <v>2.4927721145174282E-2</v>
      </c>
      <c r="P50" s="7">
        <f>tbl_Bonds[[#This Row],[Cotação]]*VNA</f>
        <v>98.596722638302523</v>
      </c>
      <c r="Q50" s="18">
        <f>tbl_Bonds[[#This Row],[Cotação]]%%*VNA</f>
        <v>9.8596722638302527E-3</v>
      </c>
      <c r="R5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-2.6733485086830221E-2</v>
      </c>
      <c r="S5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-2.5385556042411363E-2</v>
      </c>
      <c r="T5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2.6935828231720655E-2</v>
      </c>
      <c r="U50" s="18">
        <f>IF(curve_type="Mercado",tbl_Bonds[[#This Row],[VP Cupom]]*LN(1+tbl_Bonds[[#This Row],[Real Mercado]])/252,tbl_Bonds[[#This Row],[VP Cupom]]*LN(1+tbl_Bonds[[#This Row],[Real Simulada]])/252)</f>
        <v>2.3193155001732964E-2</v>
      </c>
      <c r="V50" s="18">
        <f>SUMIF(Dashboard!$B$28:$B$42,tbl_Bonds[[#This Row],[Bond]],Dashboard!$C$28:$C$42)</f>
        <v>2510</v>
      </c>
      <c r="W50" s="18">
        <f>tbl_Bonds[[#This Row],[Quantidade]]*tbl_Bonds[[#This Row],[𝛿P/𝛿VNA]]</f>
        <v>24.747777382213933</v>
      </c>
      <c r="X50" s="18">
        <f>+tbl_Bonds[[#This Row],[Quantidade]]*tbl_Bonds[[#This Row],[𝛿P/𝛿r_real]]</f>
        <v>-67.101047567943851</v>
      </c>
      <c r="Y50" s="18">
        <f>tbl_Bonds[[#This Row],[Quantidade]]*tbl_Bonds[[#This Row],[𝛿P/𝛿r_pre]]</f>
        <v>-63.717745666452522</v>
      </c>
      <c r="Z50" s="18">
        <f>tbl_Bonds[[#This Row],[Quantidade]]*tbl_Bonds[[#This Row],[𝛿P/𝛿r_implicita]]</f>
        <v>67.60892886161885</v>
      </c>
      <c r="AA50" s="18">
        <f>tbl_Bonds[[#This Row],[Quantidade]]*tbl_Bonds[[#This Row],[𝛿P/𝛿du]]</f>
        <v>58.214819054349739</v>
      </c>
    </row>
    <row r="51" spans="1:27">
      <c r="A51" s="2" t="s">
        <v>82</v>
      </c>
      <c r="B51" s="3">
        <v>47710</v>
      </c>
      <c r="C51" s="3">
        <v>46071</v>
      </c>
      <c r="D51" s="4">
        <f>NETWORKDAYS(Dashboard!$C$10,bonds!C51,feriados)-1</f>
        <v>854</v>
      </c>
      <c r="E51" s="2">
        <f>IF(tbl_Bonds[[#This Row],[Coupon]]&lt;tbl_Bonds[[#This Row],[Maturity]],SQRT(1.06)-1,SQRT(1.06))</f>
        <v>2.9563014098699991E-2</v>
      </c>
      <c r="F51" s="5" cm="1">
        <f t="array" ref="F51">Svensson(betas_pre,tbl_Bonds[[#This Row],[DU]])</f>
        <v>0.11659182503244317</v>
      </c>
      <c r="G51" s="49">
        <f>IF(curve_type="Simulada",_xlfn.XLOOKUP(tbl_Bonds[[#This Row],[Coupon]],Simulador!$B$5:$B$147,Simulador!$H$5:$H$147),0)</f>
        <v>0</v>
      </c>
      <c r="H51" s="5" cm="1">
        <f t="array" ref="H5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0.11659182503244317</v>
      </c>
      <c r="I51" s="5" cm="1">
        <f t="array" ref="I51">Interpola_FF(tbl_Bonds[[#This Row],[DU]],dus_svensson,svensson_implicita)</f>
        <v>5.4141996542348858E-2</v>
      </c>
      <c r="J51" s="49">
        <f>IF(curve_type="Simulada",_xlfn.XLOOKUP(tbl_Bonds[[#This Row],[Coupon]],Simulador!$B$5:$B$147,Simulador!$N$5:$N$147),0)</f>
        <v>0</v>
      </c>
      <c r="K51" s="5" cm="1">
        <f t="array" ref="K5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5.4141996542348858E-2</v>
      </c>
      <c r="L51" s="5" cm="1">
        <f t="array" ref="L51">Interpola_FF(tbl_Bonds[[#This Row],[DU]],dus_svensson,svensson_real_spot)</f>
        <v>5.927838770503624E-2</v>
      </c>
      <c r="M51" s="49">
        <f>IF(curve_type="Simulada",_xlfn.XLOOKUP(tbl_Bonds[[#This Row],[Coupon]],Simulador!$B$5:$B$147,Simulador!$K$5:$K$147),0)</f>
        <v>0</v>
      </c>
      <c r="N51" s="5" cm="1">
        <f t="array" ref="N5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5.927838770503624E-2</v>
      </c>
      <c r="O51" s="6">
        <f>IF(curve_type="Mercado",tbl_Bonds[[#This Row],[FC]]/(1+tbl_Bonds[[#This Row],[Real Mercado]])^(tbl_Bonds[[#This Row],[DU]]/252),tbl_Bonds[[#This Row],[FC]]/(1+tbl_Bonds[[#This Row],[Real Simulada]])^(tbl_Bonds[[#This Row],[DU]]/252))</f>
        <v>2.4321604466759829E-2</v>
      </c>
      <c r="P51" s="7">
        <f>tbl_Bonds[[#This Row],[Cotação]]*VNA</f>
        <v>96.199346733780743</v>
      </c>
      <c r="Q51" s="18">
        <f>tbl_Bonds[[#This Row],[Cotação]]%%*VNA</f>
        <v>9.6199346733780756E-3</v>
      </c>
      <c r="R5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-3.0776507955646001E-2</v>
      </c>
      <c r="S5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-2.9200151732275033E-2</v>
      </c>
      <c r="T5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3.0930036770103562E-2</v>
      </c>
      <c r="U51" s="18">
        <f>IF(curve_type="Mercado",tbl_Bonds[[#This Row],[VP Cupom]]*LN(1+tbl_Bonds[[#This Row],[Real Mercado]])/252,tbl_Bonds[[#This Row],[VP Cupom]]*LN(1+tbl_Bonds[[#This Row],[Real Simulada]])/252)</f>
        <v>2.1983806825281928E-2</v>
      </c>
      <c r="V51" s="18">
        <f>SUMIF(Dashboard!$B$28:$B$42,tbl_Bonds[[#This Row],[Bond]],Dashboard!$C$28:$C$42)</f>
        <v>2510</v>
      </c>
      <c r="W51" s="18">
        <f>tbl_Bonds[[#This Row],[Quantidade]]*tbl_Bonds[[#This Row],[𝛿P/𝛿VNA]]</f>
        <v>24.146036030178969</v>
      </c>
      <c r="X51" s="18">
        <f>+tbl_Bonds[[#This Row],[Quantidade]]*tbl_Bonds[[#This Row],[𝛿P/𝛿r_real]]</f>
        <v>-77.249034968671467</v>
      </c>
      <c r="Y51" s="18">
        <f>tbl_Bonds[[#This Row],[Quantidade]]*tbl_Bonds[[#This Row],[𝛿P/𝛿r_pre]]</f>
        <v>-73.292380848010339</v>
      </c>
      <c r="Z51" s="18">
        <f>tbl_Bonds[[#This Row],[Quantidade]]*tbl_Bonds[[#This Row],[𝛿P/𝛿r_implicita]]</f>
        <v>77.634392292959944</v>
      </c>
      <c r="AA51" s="18">
        <f>tbl_Bonds[[#This Row],[Quantidade]]*tbl_Bonds[[#This Row],[𝛿P/𝛿du]]</f>
        <v>55.17935513145764</v>
      </c>
    </row>
    <row r="52" spans="1:27">
      <c r="A52" s="2" t="s">
        <v>82</v>
      </c>
      <c r="B52" s="3">
        <v>47710</v>
      </c>
      <c r="C52" s="3">
        <v>46251</v>
      </c>
      <c r="D52" s="4">
        <f>NETWORKDAYS(Dashboard!$C$10,bonds!C52,feriados)-1</f>
        <v>978</v>
      </c>
      <c r="E52" s="2">
        <f>IF(tbl_Bonds[[#This Row],[Coupon]]&lt;tbl_Bonds[[#This Row],[Maturity]],SQRT(1.06)-1,SQRT(1.06))</f>
        <v>2.9563014098699991E-2</v>
      </c>
      <c r="F52" s="5" cm="1">
        <f t="array" ref="F52">Svensson(betas_pre,tbl_Bonds[[#This Row],[DU]])</f>
        <v>0.11637191467183143</v>
      </c>
      <c r="G52" s="49">
        <f>IF(curve_type="Simulada",_xlfn.XLOOKUP(tbl_Bonds[[#This Row],[Coupon]],Simulador!$B$5:$B$147,Simulador!$H$5:$H$147),0)</f>
        <v>0</v>
      </c>
      <c r="H52" s="5" cm="1">
        <f t="array" ref="H5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0.11637191467183143</v>
      </c>
      <c r="I52" s="5" cm="1">
        <f t="array" ref="I52">Interpola_FF(tbl_Bonds[[#This Row],[DU]],dus_svensson,svensson_implicita)</f>
        <v>5.5066564562549658E-2</v>
      </c>
      <c r="J52" s="49">
        <f>IF(curve_type="Simulada",_xlfn.XLOOKUP(tbl_Bonds[[#This Row],[Coupon]],Simulador!$B$5:$B$147,Simulador!$N$5:$N$147),0)</f>
        <v>0</v>
      </c>
      <c r="K52" s="5" cm="1">
        <f t="array" ref="K5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5.5066564562549658E-2</v>
      </c>
      <c r="L52" s="5" cm="1">
        <f t="array" ref="L52">Interpola_FF(tbl_Bonds[[#This Row],[DU]],dus_svensson,svensson_real_spot)</f>
        <v>5.8133069907817969E-2</v>
      </c>
      <c r="M52" s="49">
        <f>IF(curve_type="Simulada",_xlfn.XLOOKUP(tbl_Bonds[[#This Row],[Coupon]],Simulador!$B$5:$B$147,Simulador!$K$5:$K$147),0)</f>
        <v>0</v>
      </c>
      <c r="N52" s="5" cm="1">
        <f t="array" ref="N5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5.8133069907817969E-2</v>
      </c>
      <c r="O52" s="6">
        <f>IF(curve_type="Mercado",tbl_Bonds[[#This Row],[FC]]/(1+tbl_Bonds[[#This Row],[Real Mercado]])^(tbl_Bonds[[#This Row],[DU]]/252),tbl_Bonds[[#This Row],[FC]]/(1+tbl_Bonds[[#This Row],[Real Simulada]])^(tbl_Bonds[[#This Row],[DU]]/252))</f>
        <v>2.3741547469357031E-2</v>
      </c>
      <c r="P52" s="7">
        <f>tbl_Bonds[[#This Row],[Cotação]]*VNA</f>
        <v>93.90504479762474</v>
      </c>
      <c r="Q52" s="18">
        <f>tbl_Bonds[[#This Row],[Cotação]]%%*VNA</f>
        <v>9.3905044797624737E-3</v>
      </c>
      <c r="R5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-3.4441888034227201E-2</v>
      </c>
      <c r="S5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-3.2648405861038642E-2</v>
      </c>
      <c r="T5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3.4545463372903575E-2</v>
      </c>
      <c r="U52" s="18">
        <f>IF(curve_type="Mercado",tbl_Bonds[[#This Row],[VP Cupom]]*LN(1+tbl_Bonds[[#This Row],[Real Mercado]])/252,tbl_Bonds[[#This Row],[VP Cupom]]*LN(1+tbl_Bonds[[#This Row],[Real Simulada]])/252)</f>
        <v>2.1056380546002E-2</v>
      </c>
      <c r="V52" s="18">
        <f>SUMIF(Dashboard!$B$28:$B$42,tbl_Bonds[[#This Row],[Bond]],Dashboard!$C$28:$C$42)</f>
        <v>2510</v>
      </c>
      <c r="W52" s="18">
        <f>tbl_Bonds[[#This Row],[Quantidade]]*tbl_Bonds[[#This Row],[𝛿P/𝛿VNA]]</f>
        <v>23.570166244203808</v>
      </c>
      <c r="X52" s="18">
        <f>+tbl_Bonds[[#This Row],[Quantidade]]*tbl_Bonds[[#This Row],[𝛿P/𝛿r_real]]</f>
        <v>-86.449138965910279</v>
      </c>
      <c r="Y52" s="18">
        <f>tbl_Bonds[[#This Row],[Quantidade]]*tbl_Bonds[[#This Row],[𝛿P/𝛿r_pre]]</f>
        <v>-81.94749871120699</v>
      </c>
      <c r="Z52" s="18">
        <f>tbl_Bonds[[#This Row],[Quantidade]]*tbl_Bonds[[#This Row],[𝛿P/𝛿r_implicita]]</f>
        <v>86.709113065987978</v>
      </c>
      <c r="AA52" s="18">
        <f>tbl_Bonds[[#This Row],[Quantidade]]*tbl_Bonds[[#This Row],[𝛿P/𝛿du]]</f>
        <v>52.851515170465021</v>
      </c>
    </row>
    <row r="53" spans="1:27">
      <c r="A53" s="2" t="s">
        <v>82</v>
      </c>
      <c r="B53" s="3">
        <v>47710</v>
      </c>
      <c r="C53" s="3">
        <v>46433</v>
      </c>
      <c r="D53" s="4">
        <f>NETWORKDAYS(Dashboard!$C$10,bonds!C53,feriados)-1</f>
        <v>1101</v>
      </c>
      <c r="E53" s="2">
        <f>IF(tbl_Bonds[[#This Row],[Coupon]]&lt;tbl_Bonds[[#This Row],[Maturity]],SQRT(1.06)-1,SQRT(1.06))</f>
        <v>2.9563014098699991E-2</v>
      </c>
      <c r="F53" s="5" cm="1">
        <f t="array" ref="F53">Svensson(betas_pre,tbl_Bonds[[#This Row],[DU]])</f>
        <v>0.11646160743294708</v>
      </c>
      <c r="G53" s="49">
        <f>IF(curve_type="Simulada",_xlfn.XLOOKUP(tbl_Bonds[[#This Row],[Coupon]],Simulador!$B$5:$B$147,Simulador!$H$5:$H$147),0)</f>
        <v>0</v>
      </c>
      <c r="H53" s="5" cm="1">
        <f t="array" ref="H5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0.11646160743294708</v>
      </c>
      <c r="I53" s="5" cm="1">
        <f t="array" ref="I53">Interpola_FF(tbl_Bonds[[#This Row],[DU]],dus_svensson,svensson_implicita)</f>
        <v>5.5866933897950277E-2</v>
      </c>
      <c r="J53" s="49">
        <f>IF(curve_type="Simulada",_xlfn.XLOOKUP(tbl_Bonds[[#This Row],[Coupon]],Simulador!$B$5:$B$147,Simulador!$N$5:$N$147),0)</f>
        <v>0</v>
      </c>
      <c r="K53" s="5" cm="1">
        <f t="array" ref="K5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5.5866933897950277E-2</v>
      </c>
      <c r="L53" s="5" cm="1">
        <f t="array" ref="L53">Interpola_FF(tbl_Bonds[[#This Row],[DU]],dus_svensson,svensson_real_spot)</f>
        <v>5.7407981869316727E-2</v>
      </c>
      <c r="M53" s="49">
        <f>IF(curve_type="Simulada",_xlfn.XLOOKUP(tbl_Bonds[[#This Row],[Coupon]],Simulador!$B$5:$B$147,Simulador!$K$5:$K$147),0)</f>
        <v>0</v>
      </c>
      <c r="N53" s="5" cm="1">
        <f t="array" ref="N5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5.7407981869316727E-2</v>
      </c>
      <c r="O53" s="6">
        <f>IF(curve_type="Mercado",tbl_Bonds[[#This Row],[FC]]/(1+tbl_Bonds[[#This Row],[Real Mercado]])^(tbl_Bonds[[#This Row],[DU]]/252),tbl_Bonds[[#This Row],[FC]]/(1+tbl_Bonds[[#This Row],[Real Simulada]])^(tbl_Bonds[[#This Row],[DU]]/252))</f>
        <v>2.3164968021171791E-2</v>
      </c>
      <c r="P53" s="7">
        <f>tbl_Bonds[[#This Row],[Cotação]]*VNA</f>
        <v>91.62449762684291</v>
      </c>
      <c r="Q53" s="18">
        <f>tbl_Bonds[[#This Row],[Cotação]]%%*VNA</f>
        <v>9.1624497626842921E-3</v>
      </c>
      <c r="R5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-3.7857837283893893E-2</v>
      </c>
      <c r="S5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-3.5858280398520265E-2</v>
      </c>
      <c r="T5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3.7916135157029754E-2</v>
      </c>
      <c r="U53" s="18">
        <f>IF(curve_type="Mercado",tbl_Bonds[[#This Row],[VP Cupom]]*LN(1+tbl_Bonds[[#This Row],[Real Mercado]])/252,tbl_Bonds[[#This Row],[VP Cupom]]*LN(1+tbl_Bonds[[#This Row],[Real Simulada]])/252)</f>
        <v>2.0295776418198942E-2</v>
      </c>
      <c r="V53" s="18">
        <f>SUMIF(Dashboard!$B$28:$B$42,tbl_Bonds[[#This Row],[Bond]],Dashboard!$C$28:$C$42)</f>
        <v>2510</v>
      </c>
      <c r="W53" s="18">
        <f>tbl_Bonds[[#This Row],[Quantidade]]*tbl_Bonds[[#This Row],[𝛿P/𝛿VNA]]</f>
        <v>22.997748904337573</v>
      </c>
      <c r="X53" s="18">
        <f>+tbl_Bonds[[#This Row],[Quantidade]]*tbl_Bonds[[#This Row],[𝛿P/𝛿r_real]]</f>
        <v>-95.023171582573667</v>
      </c>
      <c r="Y53" s="18">
        <f>tbl_Bonds[[#This Row],[Quantidade]]*tbl_Bonds[[#This Row],[𝛿P/𝛿r_pre]]</f>
        <v>-90.004283800285862</v>
      </c>
      <c r="Z53" s="18">
        <f>tbl_Bonds[[#This Row],[Quantidade]]*tbl_Bonds[[#This Row],[𝛿P/𝛿r_implicita]]</f>
        <v>95.169499244144689</v>
      </c>
      <c r="AA53" s="18">
        <f>tbl_Bonds[[#This Row],[Quantidade]]*tbl_Bonds[[#This Row],[𝛿P/𝛿du]]</f>
        <v>50.942398809679347</v>
      </c>
    </row>
    <row r="54" spans="1:27">
      <c r="A54" s="2" t="s">
        <v>82</v>
      </c>
      <c r="B54" s="3">
        <v>47710</v>
      </c>
      <c r="C54" s="3">
        <v>46615</v>
      </c>
      <c r="D54" s="4">
        <f>NETWORKDAYS(Dashboard!$C$10,bonds!C54,feriados)-1</f>
        <v>1228</v>
      </c>
      <c r="E54" s="2">
        <f>IF(tbl_Bonds[[#This Row],[Coupon]]&lt;tbl_Bonds[[#This Row],[Maturity]],SQRT(1.06)-1,SQRT(1.06))</f>
        <v>2.9563014098699991E-2</v>
      </c>
      <c r="F54" s="5" cm="1">
        <f t="array" ref="F54">Svensson(betas_pre,tbl_Bonds[[#This Row],[DU]])</f>
        <v>0.11671586421546679</v>
      </c>
      <c r="G54" s="49">
        <f>IF(curve_type="Simulada",_xlfn.XLOOKUP(tbl_Bonds[[#This Row],[Coupon]],Simulador!$B$5:$B$147,Simulador!$H$5:$H$147),0)</f>
        <v>0</v>
      </c>
      <c r="H54" s="5" cm="1">
        <f t="array" ref="H5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0.11671586421546679</v>
      </c>
      <c r="I54" s="5" cm="1">
        <f t="array" ref="I54">Interpola_FF(tbl_Bonds[[#This Row],[DU]],dus_svensson,svensson_implicita)</f>
        <v>5.6538828426135002E-2</v>
      </c>
      <c r="J54" s="49">
        <f>IF(curve_type="Simulada",_xlfn.XLOOKUP(tbl_Bonds[[#This Row],[Coupon]],Simulador!$B$5:$B$147,Simulador!$N$5:$N$147),0)</f>
        <v>0</v>
      </c>
      <c r="K54" s="5" cm="1">
        <f t="array" ref="K5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5.6538828426135002E-2</v>
      </c>
      <c r="L54" s="5" cm="1">
        <f t="array" ref="L54">Interpola_FF(tbl_Bonds[[#This Row],[DU]],dus_svensson,svensson_real_spot)</f>
        <v>5.6968724466762044E-2</v>
      </c>
      <c r="M54" s="49">
        <f>IF(curve_type="Simulada",_xlfn.XLOOKUP(tbl_Bonds[[#This Row],[Coupon]],Simulador!$B$5:$B$147,Simulador!$K$5:$K$147),0)</f>
        <v>0</v>
      </c>
      <c r="N54" s="5" cm="1">
        <f t="array" ref="N5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5.6968724466762044E-2</v>
      </c>
      <c r="O54" s="6">
        <f>IF(curve_type="Mercado",tbl_Bonds[[#This Row],[FC]]/(1+tbl_Bonds[[#This Row],[Real Mercado]])^(tbl_Bonds[[#This Row],[DU]]/252),tbl_Bonds[[#This Row],[FC]]/(1+tbl_Bonds[[#This Row],[Real Simulada]])^(tbl_Bonds[[#This Row],[DU]]/252))</f>
        <v>2.2568024049985532E-2</v>
      </c>
      <c r="P54" s="7">
        <f>tbl_Bonds[[#This Row],[Cotação]]*VNA</f>
        <v>89.263402570664766</v>
      </c>
      <c r="Q54" s="18">
        <f>tbl_Bonds[[#This Row],[Cotação]]%%*VNA</f>
        <v>8.9263402570664754E-3</v>
      </c>
      <c r="R5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-4.1153722672892003E-2</v>
      </c>
      <c r="S5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-3.8954041250868057E-2</v>
      </c>
      <c r="T5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4.1172737498865408E-2</v>
      </c>
      <c r="U54" s="18">
        <f>IF(curve_type="Mercado",tbl_Bonds[[#This Row],[VP Cupom]]*LN(1+tbl_Bonds[[#This Row],[Real Mercado]])/252,tbl_Bonds[[#This Row],[VP Cupom]]*LN(1+tbl_Bonds[[#This Row],[Real Simulada]])/252)</f>
        <v>1.9625592487311244E-2</v>
      </c>
      <c r="V54" s="18">
        <f>SUMIF(Dashboard!$B$28:$B$42,tbl_Bonds[[#This Row],[Bond]],Dashboard!$C$28:$C$42)</f>
        <v>2510</v>
      </c>
      <c r="W54" s="18">
        <f>tbl_Bonds[[#This Row],[Quantidade]]*tbl_Bonds[[#This Row],[𝛿P/𝛿VNA]]</f>
        <v>22.405114045236854</v>
      </c>
      <c r="X54" s="18">
        <f>+tbl_Bonds[[#This Row],[Quantidade]]*tbl_Bonds[[#This Row],[𝛿P/𝛿r_real]]</f>
        <v>-103.29584390895893</v>
      </c>
      <c r="Y54" s="18">
        <f>tbl_Bonds[[#This Row],[Quantidade]]*tbl_Bonds[[#This Row],[𝛿P/𝛿r_pre]]</f>
        <v>-97.77464353967882</v>
      </c>
      <c r="Z54" s="18">
        <f>tbl_Bonds[[#This Row],[Quantidade]]*tbl_Bonds[[#This Row],[𝛿P/𝛿r_implicita]]</f>
        <v>103.34357112215217</v>
      </c>
      <c r="AA54" s="18">
        <f>tbl_Bonds[[#This Row],[Quantidade]]*tbl_Bonds[[#This Row],[𝛿P/𝛿du]]</f>
        <v>49.260237143151222</v>
      </c>
    </row>
    <row r="55" spans="1:27">
      <c r="A55" s="2" t="s">
        <v>82</v>
      </c>
      <c r="B55" s="3">
        <v>47710</v>
      </c>
      <c r="C55" s="3">
        <v>46798</v>
      </c>
      <c r="D55" s="4">
        <f>NETWORKDAYS(Dashboard!$C$10,bonds!C55,feriados)-1</f>
        <v>1355</v>
      </c>
      <c r="E55" s="2">
        <f>IF(tbl_Bonds[[#This Row],[Coupon]]&lt;tbl_Bonds[[#This Row],[Maturity]],SQRT(1.06)-1,SQRT(1.06))</f>
        <v>2.9563014098699991E-2</v>
      </c>
      <c r="F55" s="5" cm="1">
        <f t="array" ref="F55">Svensson(betas_pre,tbl_Bonds[[#This Row],[DU]])</f>
        <v>0.11703860353993888</v>
      </c>
      <c r="G55" s="49">
        <f>IF(curve_type="Simulada",_xlfn.XLOOKUP(tbl_Bonds[[#This Row],[Coupon]],Simulador!$B$5:$B$147,Simulador!$H$5:$H$147),0)</f>
        <v>0</v>
      </c>
      <c r="H55" s="5" cm="1">
        <f t="array" ref="H5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0.11703860353993888</v>
      </c>
      <c r="I55" s="5" cm="1">
        <f t="array" ref="I55">Interpola_FF(tbl_Bonds[[#This Row],[DU]],dus_svensson,svensson_implicita)</f>
        <v>5.7054164176732813E-2</v>
      </c>
      <c r="J55" s="49">
        <f>IF(curve_type="Simulada",_xlfn.XLOOKUP(tbl_Bonds[[#This Row],[Coupon]],Simulador!$B$5:$B$147,Simulador!$N$5:$N$147),0)</f>
        <v>0</v>
      </c>
      <c r="K55" s="5" cm="1">
        <f t="array" ref="K5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5.7054164176732813E-2</v>
      </c>
      <c r="L55" s="5" cm="1">
        <f t="array" ref="L55">Interpola_FF(tbl_Bonds[[#This Row],[DU]],dus_svensson,svensson_real_spot)</f>
        <v>5.675390529669766E-2</v>
      </c>
      <c r="M55" s="49">
        <f>IF(curve_type="Simulada",_xlfn.XLOOKUP(tbl_Bonds[[#This Row],[Coupon]],Simulador!$B$5:$B$147,Simulador!$K$5:$K$147),0)</f>
        <v>0</v>
      </c>
      <c r="N55" s="5" cm="1">
        <f t="array" ref="N5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5.675390529669766E-2</v>
      </c>
      <c r="O55" s="6">
        <f>IF(curve_type="Mercado",tbl_Bonds[[#This Row],[FC]]/(1+tbl_Bonds[[#This Row],[Real Mercado]])^(tbl_Bonds[[#This Row],[DU]]/252),tbl_Bonds[[#This Row],[FC]]/(1+tbl_Bonds[[#This Row],[Real Simulada]])^(tbl_Bonds[[#This Row],[DU]]/252))</f>
        <v>2.1970585865922678E-2</v>
      </c>
      <c r="P55" s="7">
        <f>tbl_Bonds[[#This Row],[Cotação]]*VNA</f>
        <v>86.900352752170633</v>
      </c>
      <c r="Q55" s="18">
        <f>tbl_Bonds[[#This Row],[Cotação]]%%*VNA</f>
        <v>8.6900352752170631E-3</v>
      </c>
      <c r="R5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-4.4216710724769265E-2</v>
      </c>
      <c r="S5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-4.1831921789729297E-2</v>
      </c>
      <c r="T5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4.4205749414727782E-2</v>
      </c>
      <c r="U55" s="18">
        <f>IF(curve_type="Mercado",tbl_Bonds[[#This Row],[VP Cupom]]*LN(1+tbl_Bonds[[#This Row],[Real Mercado]])/252,tbl_Bonds[[#This Row],[VP Cupom]]*LN(1+tbl_Bonds[[#This Row],[Real Simulada]])/252)</f>
        <v>1.9035955403400421E-2</v>
      </c>
      <c r="V55" s="18">
        <f>SUMIF(Dashboard!$B$28:$B$42,tbl_Bonds[[#This Row],[Bond]],Dashboard!$C$28:$C$42)</f>
        <v>2510</v>
      </c>
      <c r="W55" s="18">
        <f>tbl_Bonds[[#This Row],[Quantidade]]*tbl_Bonds[[#This Row],[𝛿P/𝛿VNA]]</f>
        <v>21.811988540794829</v>
      </c>
      <c r="X55" s="18">
        <f>+tbl_Bonds[[#This Row],[Quantidade]]*tbl_Bonds[[#This Row],[𝛿P/𝛿r_real]]</f>
        <v>-110.98394391917085</v>
      </c>
      <c r="Y55" s="18">
        <f>tbl_Bonds[[#This Row],[Quantidade]]*tbl_Bonds[[#This Row],[𝛿P/𝛿r_pre]]</f>
        <v>-104.99812369222053</v>
      </c>
      <c r="Z55" s="18">
        <f>tbl_Bonds[[#This Row],[Quantidade]]*tbl_Bonds[[#This Row],[𝛿P/𝛿r_implicita]]</f>
        <v>110.95643103096674</v>
      </c>
      <c r="AA55" s="18">
        <f>tbl_Bonds[[#This Row],[Quantidade]]*tbl_Bonds[[#This Row],[𝛿P/𝛿du]]</f>
        <v>47.780248062535058</v>
      </c>
    </row>
    <row r="56" spans="1:27">
      <c r="A56" s="2" t="s">
        <v>82</v>
      </c>
      <c r="B56" s="3">
        <v>47710</v>
      </c>
      <c r="C56" s="3">
        <v>46980</v>
      </c>
      <c r="D56" s="4">
        <f>NETWORKDAYS(Dashboard!$C$10,bonds!C56,feriados)-1</f>
        <v>1479</v>
      </c>
      <c r="E56" s="2">
        <f>IF(tbl_Bonds[[#This Row],[Coupon]]&lt;tbl_Bonds[[#This Row],[Maturity]],SQRT(1.06)-1,SQRT(1.06))</f>
        <v>2.9563014098699991E-2</v>
      </c>
      <c r="F56" s="5" cm="1">
        <f t="array" ref="F56">Svensson(betas_pre,tbl_Bonds[[#This Row],[DU]])</f>
        <v>0.11736890213289761</v>
      </c>
      <c r="G56" s="49">
        <f>IF(curve_type="Simulada",_xlfn.XLOOKUP(tbl_Bonds[[#This Row],[Coupon]],Simulador!$B$5:$B$147,Simulador!$H$5:$H$147),0)</f>
        <v>0</v>
      </c>
      <c r="H56" s="5" cm="1">
        <f t="array" ref="H5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0.11736890213289761</v>
      </c>
      <c r="I56" s="5" cm="1">
        <f t="array" ref="I56">Interpola_FF(tbl_Bonds[[#This Row],[DU]],dus_svensson,svensson_implicita)</f>
        <v>5.742304317837621E-2</v>
      </c>
      <c r="J56" s="49">
        <f>IF(curve_type="Simulada",_xlfn.XLOOKUP(tbl_Bonds[[#This Row],[Coupon]],Simulador!$B$5:$B$147,Simulador!$N$5:$N$147),0)</f>
        <v>0</v>
      </c>
      <c r="K56" s="5" cm="1">
        <f t="array" ref="K5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5.742304317837621E-2</v>
      </c>
      <c r="L56" s="5" cm="1">
        <f t="array" ref="L56">Interpola_FF(tbl_Bonds[[#This Row],[DU]],dus_svensson,svensson_real_spot)</f>
        <v>5.6694932019935917E-2</v>
      </c>
      <c r="M56" s="49">
        <f>IF(curve_type="Simulada",_xlfn.XLOOKUP(tbl_Bonds[[#This Row],[Coupon]],Simulador!$B$5:$B$147,Simulador!$K$5:$K$147),0)</f>
        <v>0</v>
      </c>
      <c r="N56" s="5" cm="1">
        <f t="array" ref="N5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5.6694932019935917E-2</v>
      </c>
      <c r="O56" s="6">
        <f>IF(curve_type="Mercado",tbl_Bonds[[#This Row],[FC]]/(1+tbl_Bonds[[#This Row],[Real Mercado]])^(tbl_Bonds[[#This Row],[DU]]/252),tbl_Bonds[[#This Row],[FC]]/(1+tbl_Bonds[[#This Row],[Real Simulada]])^(tbl_Bonds[[#This Row],[DU]]/252))</f>
        <v>2.1388839605212852E-2</v>
      </c>
      <c r="P56" s="7">
        <f>tbl_Bonds[[#This Row],[Cotação]]*VNA</f>
        <v>84.599369265592273</v>
      </c>
      <c r="Q56" s="18">
        <f>tbl_Bonds[[#This Row],[Cotação]]%%*VNA</f>
        <v>8.4599369265592264E-3</v>
      </c>
      <c r="R5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-4.6987802412568697E-2</v>
      </c>
      <c r="S5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-4.4437419153390778E-2</v>
      </c>
      <c r="T5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4.6956599417200047E-2</v>
      </c>
      <c r="U56" s="18">
        <f>IF(curve_type="Mercado",tbl_Bonds[[#This Row],[VP Cupom]]*LN(1+tbl_Bonds[[#This Row],[Real Mercado]])/252,tbl_Bonds[[#This Row],[VP Cupom]]*LN(1+tbl_Bonds[[#This Row],[Real Simulada]])/252)</f>
        <v>1.851317822575797E-2</v>
      </c>
      <c r="V56" s="18">
        <f>SUMIF(Dashboard!$B$28:$B$42,tbl_Bonds[[#This Row],[Bond]],Dashboard!$C$28:$C$42)</f>
        <v>2510</v>
      </c>
      <c r="W56" s="18">
        <f>tbl_Bonds[[#This Row],[Quantidade]]*tbl_Bonds[[#This Row],[𝛿P/𝛿VNA]]</f>
        <v>21.234441685663658</v>
      </c>
      <c r="X56" s="18">
        <f>+tbl_Bonds[[#This Row],[Quantidade]]*tbl_Bonds[[#This Row],[𝛿P/𝛿r_real]]</f>
        <v>-117.93938405554744</v>
      </c>
      <c r="Y56" s="18">
        <f>tbl_Bonds[[#This Row],[Quantidade]]*tbl_Bonds[[#This Row],[𝛿P/𝛿r_pre]]</f>
        <v>-111.53792207501085</v>
      </c>
      <c r="Z56" s="18">
        <f>tbl_Bonds[[#This Row],[Quantidade]]*tbl_Bonds[[#This Row],[𝛿P/𝛿r_implicita]]</f>
        <v>117.86106453717211</v>
      </c>
      <c r="AA56" s="18">
        <f>tbl_Bonds[[#This Row],[Quantidade]]*tbl_Bonds[[#This Row],[𝛿P/𝛿du]]</f>
        <v>46.468077346652507</v>
      </c>
    </row>
    <row r="57" spans="1:27">
      <c r="A57" s="2" t="s">
        <v>82</v>
      </c>
      <c r="B57" s="3">
        <v>47710</v>
      </c>
      <c r="C57" s="3">
        <v>47164</v>
      </c>
      <c r="D57" s="4">
        <f>NETWORKDAYS(Dashboard!$C$10,bonds!C57,feriados)-1</f>
        <v>1603</v>
      </c>
      <c r="E57" s="2">
        <f>IF(tbl_Bonds[[#This Row],[Coupon]]&lt;tbl_Bonds[[#This Row],[Maturity]],SQRT(1.06)-1,SQRT(1.06))</f>
        <v>2.9563014098699991E-2</v>
      </c>
      <c r="F57" s="5" cm="1">
        <f t="array" ref="F57">Svensson(betas_pre,tbl_Bonds[[#This Row],[DU]])</f>
        <v>0.11768880617970637</v>
      </c>
      <c r="G57" s="49">
        <f>IF(curve_type="Simulada",_xlfn.XLOOKUP(tbl_Bonds[[#This Row],[Coupon]],Simulador!$B$5:$B$147,Simulador!$H$5:$H$147),0)</f>
        <v>0</v>
      </c>
      <c r="H57" s="5" cm="1">
        <f t="array" ref="H5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0.11768880617970637</v>
      </c>
      <c r="I57" s="5" cm="1">
        <f t="array" ref="I57">Interpola_FF(tbl_Bonds[[#This Row],[DU]],dus_svensson,svensson_implicita)</f>
        <v>5.7683163424037343E-2</v>
      </c>
      <c r="J57" s="49">
        <f>IF(curve_type="Simulada",_xlfn.XLOOKUP(tbl_Bonds[[#This Row],[Coupon]],Simulador!$B$5:$B$147,Simulador!$N$5:$N$147),0)</f>
        <v>0</v>
      </c>
      <c r="K57" s="5" cm="1">
        <f t="array" ref="K5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5.7683163424037343E-2</v>
      </c>
      <c r="L57" s="5" cm="1">
        <f t="array" ref="L57">Interpola_FF(tbl_Bonds[[#This Row],[DU]],dus_svensson,svensson_real_spot)</f>
        <v>5.6735781893983983E-2</v>
      </c>
      <c r="M57" s="49">
        <f>IF(curve_type="Simulada",_xlfn.XLOOKUP(tbl_Bonds[[#This Row],[Coupon]],Simulador!$B$5:$B$147,Simulador!$K$5:$K$147),0)</f>
        <v>0</v>
      </c>
      <c r="N57" s="5" cm="1">
        <f t="array" ref="N5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5.6735781893983983E-2</v>
      </c>
      <c r="O57" s="6">
        <f>IF(curve_type="Mercado",tbl_Bonds[[#This Row],[FC]]/(1+tbl_Bonds[[#This Row],[Real Mercado]])^(tbl_Bonds[[#This Row],[DU]]/252),tbl_Bonds[[#This Row],[FC]]/(1+tbl_Bonds[[#This Row],[Real Simulada]])^(tbl_Bonds[[#This Row],[DU]]/252))</f>
        <v>2.0811131483075736E-2</v>
      </c>
      <c r="P57" s="7">
        <f>tbl_Bonds[[#This Row],[Cotação]]*VNA</f>
        <v>82.314357845875122</v>
      </c>
      <c r="Q57" s="18">
        <f>tbl_Bonds[[#This Row],[Cotação]]%%*VNA</f>
        <v>8.2314357845875118E-3</v>
      </c>
      <c r="R5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-4.9549829320523861E-2</v>
      </c>
      <c r="S5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-4.6848392175617516E-2</v>
      </c>
      <c r="T5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4.9506246608571704E-2</v>
      </c>
      <c r="U57" s="18">
        <f>IF(curve_type="Mercado",tbl_Bonds[[#This Row],[VP Cupom]]*LN(1+tbl_Bonds[[#This Row],[Real Mercado]])/252,tbl_Bonds[[#This Row],[VP Cupom]]*LN(1+tbl_Bonds[[#This Row],[Real Simulada]])/252)</f>
        <v>1.8025768341404708E-2</v>
      </c>
      <c r="V57" s="18">
        <f>SUMIF(Dashboard!$B$28:$B$42,tbl_Bonds[[#This Row],[Bond]],Dashboard!$C$28:$C$42)</f>
        <v>2510</v>
      </c>
      <c r="W57" s="18">
        <f>tbl_Bonds[[#This Row],[Quantidade]]*tbl_Bonds[[#This Row],[𝛿P/𝛿VNA]]</f>
        <v>20.660903819314655</v>
      </c>
      <c r="X57" s="18">
        <f>+tbl_Bonds[[#This Row],[Quantidade]]*tbl_Bonds[[#This Row],[𝛿P/𝛿r_real]]</f>
        <v>-124.3700715945149</v>
      </c>
      <c r="Y57" s="18">
        <f>tbl_Bonds[[#This Row],[Quantidade]]*tbl_Bonds[[#This Row],[𝛿P/𝛿r_pre]]</f>
        <v>-117.58946436079997</v>
      </c>
      <c r="Z57" s="18">
        <f>tbl_Bonds[[#This Row],[Quantidade]]*tbl_Bonds[[#This Row],[𝛿P/𝛿r_implicita]]</f>
        <v>124.26067898751498</v>
      </c>
      <c r="AA57" s="18">
        <f>tbl_Bonds[[#This Row],[Quantidade]]*tbl_Bonds[[#This Row],[𝛿P/𝛿du]]</f>
        <v>45.244678536925818</v>
      </c>
    </row>
    <row r="58" spans="1:27">
      <c r="A58" s="2" t="s">
        <v>82</v>
      </c>
      <c r="B58" s="3">
        <v>47710</v>
      </c>
      <c r="C58" s="3">
        <v>47345</v>
      </c>
      <c r="D58" s="4">
        <f>NETWORKDAYS(Dashboard!$C$10,bonds!C58,feriados)-1</f>
        <v>1729</v>
      </c>
      <c r="E58" s="2">
        <f>IF(tbl_Bonds[[#This Row],[Coupon]]&lt;tbl_Bonds[[#This Row],[Maturity]],SQRT(1.06)-1,SQRT(1.06))</f>
        <v>2.9563014098699991E-2</v>
      </c>
      <c r="F58" s="5" cm="1">
        <f t="array" ref="F58">Svensson(betas_pre,tbl_Bonds[[#This Row],[DU]])</f>
        <v>0.11799146123194351</v>
      </c>
      <c r="G58" s="49">
        <f>IF(curve_type="Simulada",_xlfn.XLOOKUP(tbl_Bonds[[#This Row],[Coupon]],Simulador!$B$5:$B$147,Simulador!$H$5:$H$147),0)</f>
        <v>0</v>
      </c>
      <c r="H58" s="5" cm="1">
        <f t="array" ref="H5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0.11799146123194351</v>
      </c>
      <c r="I58" s="5" cm="1">
        <f t="array" ref="I58">Interpola_FF(tbl_Bonds[[#This Row],[DU]],dus_svensson,svensson_implicita)</f>
        <v>5.7860887908244507E-2</v>
      </c>
      <c r="J58" s="49">
        <f>IF(curve_type="Simulada",_xlfn.XLOOKUP(tbl_Bonds[[#This Row],[Coupon]],Simulador!$B$5:$B$147,Simulador!$N$5:$N$147),0)</f>
        <v>0</v>
      </c>
      <c r="K58" s="5" cm="1">
        <f t="array" ref="K5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5.7860887908244507E-2</v>
      </c>
      <c r="L58" s="5" cm="1">
        <f t="array" ref="L58">Interpola_FF(tbl_Bonds[[#This Row],[DU]],dus_svensson,svensson_real_spot)</f>
        <v>5.6843208866909523E-2</v>
      </c>
      <c r="M58" s="49">
        <f>IF(curve_type="Simulada",_xlfn.XLOOKUP(tbl_Bonds[[#This Row],[Coupon]],Simulador!$B$5:$B$147,Simulador!$K$5:$K$147),0)</f>
        <v>0</v>
      </c>
      <c r="N58" s="5" cm="1">
        <f t="array" ref="N5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5.6843208866909523E-2</v>
      </c>
      <c r="O58" s="6">
        <f>IF(curve_type="Mercado",tbl_Bonds[[#This Row],[FC]]/(1+tbl_Bonds[[#This Row],[Real Mercado]])^(tbl_Bonds[[#This Row],[DU]]/252),tbl_Bonds[[#This Row],[FC]]/(1+tbl_Bonds[[#This Row],[Real Simulada]])^(tbl_Bonds[[#This Row],[DU]]/252))</f>
        <v>2.0230638204419435E-2</v>
      </c>
      <c r="P58" s="7">
        <f>tbl_Bonds[[#This Row],[Cotação]]*VNA</f>
        <v>80.018330284601063</v>
      </c>
      <c r="Q58" s="18">
        <f>tbl_Bonds[[#This Row],[Cotação]]%%*VNA</f>
        <v>8.0018330284601074E-3</v>
      </c>
      <c r="R5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-5.1948543587355685E-2</v>
      </c>
      <c r="S5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-4.910772396550566E-2</v>
      </c>
      <c r="T5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5.1899088719057192E-2</v>
      </c>
      <c r="U58" s="18">
        <f>IF(curve_type="Mercado",tbl_Bonds[[#This Row],[VP Cupom]]*LN(1+tbl_Bonds[[#This Row],[Real Mercado]])/252,tbl_Bonds[[#This Row],[VP Cupom]]*LN(1+tbl_Bonds[[#This Row],[Real Simulada]])/252)</f>
        <v>1.7555246853020717E-2</v>
      </c>
      <c r="V58" s="18">
        <f>SUMIF(Dashboard!$B$28:$B$42,tbl_Bonds[[#This Row],[Bond]],Dashboard!$C$28:$C$42)</f>
        <v>2510</v>
      </c>
      <c r="W58" s="18">
        <f>tbl_Bonds[[#This Row],[Quantidade]]*tbl_Bonds[[#This Row],[𝛿P/𝛿VNA]]</f>
        <v>20.084600901434868</v>
      </c>
      <c r="X58" s="18">
        <f>+tbl_Bonds[[#This Row],[Quantidade]]*tbl_Bonds[[#This Row],[𝛿P/𝛿r_real]]</f>
        <v>-130.39084440426277</v>
      </c>
      <c r="Y58" s="18">
        <f>tbl_Bonds[[#This Row],[Quantidade]]*tbl_Bonds[[#This Row],[𝛿P/𝛿r_pre]]</f>
        <v>-123.2603871534192</v>
      </c>
      <c r="Z58" s="18">
        <f>tbl_Bonds[[#This Row],[Quantidade]]*tbl_Bonds[[#This Row],[𝛿P/𝛿r_implicita]]</f>
        <v>130.26671268483355</v>
      </c>
      <c r="AA58" s="18">
        <f>tbl_Bonds[[#This Row],[Quantidade]]*tbl_Bonds[[#This Row],[𝛿P/𝛿du]]</f>
        <v>44.063669601081997</v>
      </c>
    </row>
    <row r="59" spans="1:27">
      <c r="A59" s="2" t="s">
        <v>82</v>
      </c>
      <c r="B59" s="3">
        <v>47710</v>
      </c>
      <c r="C59" s="3">
        <v>47529</v>
      </c>
      <c r="D59" s="4">
        <f>NETWORKDAYS(Dashboard!$C$10,bonds!C59,feriados)-1</f>
        <v>1855</v>
      </c>
      <c r="E59" s="2">
        <f>IF(tbl_Bonds[[#This Row],[Coupon]]&lt;tbl_Bonds[[#This Row],[Maturity]],SQRT(1.06)-1,SQRT(1.06))</f>
        <v>2.9563014098699991E-2</v>
      </c>
      <c r="F59" s="5" cm="1">
        <f t="array" ref="F59">Svensson(betas_pre,tbl_Bonds[[#This Row],[DU]])</f>
        <v>0.11826738921135904</v>
      </c>
      <c r="G59" s="49">
        <f>IF(curve_type="Simulada",_xlfn.XLOOKUP(tbl_Bonds[[#This Row],[Coupon]],Simulador!$B$5:$B$147,Simulador!$H$5:$H$147),0)</f>
        <v>0</v>
      </c>
      <c r="H59" s="5" cm="1">
        <f t="array" ref="H5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0.11826738921135904</v>
      </c>
      <c r="I59" s="5" cm="1">
        <f t="array" ref="I59">Interpola_FF(tbl_Bonds[[#This Row],[DU]],dus_svensson,svensson_implicita)</f>
        <v>5.7973532188232424E-2</v>
      </c>
      <c r="J59" s="49">
        <f>IF(curve_type="Simulada",_xlfn.XLOOKUP(tbl_Bonds[[#This Row],[Coupon]],Simulador!$B$5:$B$147,Simulador!$N$5:$N$147),0)</f>
        <v>0</v>
      </c>
      <c r="K59" s="5" cm="1">
        <f t="array" ref="K5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5.7973532188232424E-2</v>
      </c>
      <c r="L59" s="5" cm="1">
        <f t="array" ref="L59">Interpola_FF(tbl_Bonds[[#This Row],[DU]],dus_svensson,svensson_real_spot)</f>
        <v>5.699082751972151E-2</v>
      </c>
      <c r="M59" s="49">
        <f>IF(curve_type="Simulada",_xlfn.XLOOKUP(tbl_Bonds[[#This Row],[Coupon]],Simulador!$B$5:$B$147,Simulador!$K$5:$K$147),0)</f>
        <v>0</v>
      </c>
      <c r="N59" s="5" cm="1">
        <f t="array" ref="N5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5.699082751972151E-2</v>
      </c>
      <c r="O59" s="6">
        <f>IF(curve_type="Mercado",tbl_Bonds[[#This Row],[FC]]/(1+tbl_Bonds[[#This Row],[Real Mercado]])^(tbl_Bonds[[#This Row],[DU]]/252),tbl_Bonds[[#This Row],[FC]]/(1+tbl_Bonds[[#This Row],[Real Simulada]])^(tbl_Bonds[[#This Row],[DU]]/252))</f>
        <v>1.9658835840888039E-2</v>
      </c>
      <c r="P59" s="7">
        <f>tbl_Bonds[[#This Row],[Cotação]]*VNA</f>
        <v>77.756677937292736</v>
      </c>
      <c r="Q59" s="18">
        <f>tbl_Bonds[[#This Row],[Cotação]]%%*VNA</f>
        <v>7.7756677937292733E-3</v>
      </c>
      <c r="R5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-5.415142033639022E-2</v>
      </c>
      <c r="S5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-5.1184453352055591E-2</v>
      </c>
      <c r="T5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5.4101452708204559E-2</v>
      </c>
      <c r="U59" s="18">
        <f>IF(curve_type="Mercado",tbl_Bonds[[#This Row],[VP Cupom]]*LN(1+tbl_Bonds[[#This Row],[Real Mercado]])/252,tbl_Bonds[[#This Row],[VP Cupom]]*LN(1+tbl_Bonds[[#This Row],[Real Simulada]])/252)</f>
        <v>1.7102158281184266E-2</v>
      </c>
      <c r="V59" s="18">
        <f>SUMIF(Dashboard!$B$28:$B$42,tbl_Bonds[[#This Row],[Bond]],Dashboard!$C$28:$C$42)</f>
        <v>2510</v>
      </c>
      <c r="W59" s="18">
        <f>tbl_Bonds[[#This Row],[Quantidade]]*tbl_Bonds[[#This Row],[𝛿P/𝛿VNA]]</f>
        <v>19.516926162260475</v>
      </c>
      <c r="X59" s="18">
        <f>+tbl_Bonds[[#This Row],[Quantidade]]*tbl_Bonds[[#This Row],[𝛿P/𝛿r_real]]</f>
        <v>-135.92006504433945</v>
      </c>
      <c r="Y59" s="18">
        <f>tbl_Bonds[[#This Row],[Quantidade]]*tbl_Bonds[[#This Row],[𝛿P/𝛿r_pre]]</f>
        <v>-128.47297791365952</v>
      </c>
      <c r="Z59" s="18">
        <f>tbl_Bonds[[#This Row],[Quantidade]]*tbl_Bonds[[#This Row],[𝛿P/𝛿r_implicita]]</f>
        <v>135.79464629759343</v>
      </c>
      <c r="AA59" s="18">
        <f>tbl_Bonds[[#This Row],[Quantidade]]*tbl_Bonds[[#This Row],[𝛿P/𝛿du]]</f>
        <v>42.926417285772509</v>
      </c>
    </row>
    <row r="60" spans="1:27">
      <c r="A60" s="2" t="s">
        <v>82</v>
      </c>
      <c r="B60" s="3">
        <v>47710</v>
      </c>
      <c r="C60" s="3">
        <v>47710</v>
      </c>
      <c r="D60" s="4">
        <f>NETWORKDAYS(Dashboard!$C$10,bonds!C60,feriados)-1</f>
        <v>1979</v>
      </c>
      <c r="E60" s="2">
        <f>IF(tbl_Bonds[[#This Row],[Coupon]]&lt;tbl_Bonds[[#This Row],[Maturity]],SQRT(1.06)-1,SQRT(1.06))</f>
        <v>1.0295630140987</v>
      </c>
      <c r="F60" s="5" cm="1">
        <f t="array" ref="F60">Svensson(betas_pre,tbl_Bonds[[#This Row],[DU]])</f>
        <v>0.11851270064571921</v>
      </c>
      <c r="G60" s="49">
        <f>IF(curve_type="Simulada",_xlfn.XLOOKUP(tbl_Bonds[[#This Row],[Coupon]],Simulador!$B$5:$B$147,Simulador!$H$5:$H$147),0)</f>
        <v>0</v>
      </c>
      <c r="H60" s="5" cm="1">
        <f t="array" ref="H6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0.11851270064571921</v>
      </c>
      <c r="I60" s="5" cm="1">
        <f t="array" ref="I60">Interpola_FF(tbl_Bonds[[#This Row],[DU]],dus_svensson,svensson_implicita)</f>
        <v>5.8039061744824538E-2</v>
      </c>
      <c r="J60" s="49">
        <f>IF(curve_type="Simulada",_xlfn.XLOOKUP(tbl_Bonds[[#This Row],[Coupon]],Simulador!$B$5:$B$147,Simulador!$N$5:$N$147),0)</f>
        <v>0</v>
      </c>
      <c r="K60" s="5" cm="1">
        <f t="array" ref="K6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5.8039061744824538E-2</v>
      </c>
      <c r="L60" s="5" cm="1">
        <f t="array" ref="L60">Interpola_FF(tbl_Bonds[[#This Row],[DU]],dus_svensson,svensson_real_spot)</f>
        <v>5.7156852715572137E-2</v>
      </c>
      <c r="M60" s="49">
        <f>IF(curve_type="Simulada",_xlfn.XLOOKUP(tbl_Bonds[[#This Row],[Coupon]],Simulador!$B$5:$B$147,Simulador!$K$5:$K$147),0)</f>
        <v>0</v>
      </c>
      <c r="N60" s="5" cm="1">
        <f t="array" ref="N6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5.7156852715572137E-2</v>
      </c>
      <c r="O60" s="6">
        <f>IF(curve_type="Mercado",tbl_Bonds[[#This Row],[FC]]/(1+tbl_Bonds[[#This Row],[Real Mercado]])^(tbl_Bonds[[#This Row],[DU]]/252),tbl_Bonds[[#This Row],[FC]]/(1+tbl_Bonds[[#This Row],[Real Simulada]])^(tbl_Bonds[[#This Row],[DU]]/252))</f>
        <v>0.66539844146480864</v>
      </c>
      <c r="P60" s="7">
        <f>tbl_Bonds[[#This Row],[Cotação]]*VNA</f>
        <v>2631.8533168349845</v>
      </c>
      <c r="Q60" s="18">
        <f>tbl_Bonds[[#This Row],[Cotação]]%%*VNA</f>
        <v>0.26318533168349845</v>
      </c>
      <c r="R6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-1.955093378428884</v>
      </c>
      <c r="S6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-1.8478540785280677</v>
      </c>
      <c r="T6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1.9534706519863001</v>
      </c>
      <c r="U60" s="18">
        <f>IF(curve_type="Mercado",tbl_Bonds[[#This Row],[VP Cupom]]*LN(1+tbl_Bonds[[#This Row],[Real Mercado]])/252,tbl_Bonds[[#This Row],[VP Cupom]]*LN(1+tbl_Bonds[[#This Row],[Real Simulada]])/252)</f>
        <v>0.58050214324880101</v>
      </c>
      <c r="V60" s="18">
        <f>SUMIF(Dashboard!$B$28:$B$42,tbl_Bonds[[#This Row],[Bond]],Dashboard!$C$28:$C$42)</f>
        <v>2510</v>
      </c>
      <c r="W60" s="18">
        <f>tbl_Bonds[[#This Row],[Quantidade]]*tbl_Bonds[[#This Row],[𝛿P/𝛿VNA]]</f>
        <v>660.59518252558109</v>
      </c>
      <c r="X60" s="18">
        <f>+tbl_Bonds[[#This Row],[Quantidade]]*tbl_Bonds[[#This Row],[𝛿P/𝛿r_real]]</f>
        <v>-4907.2843798564991</v>
      </c>
      <c r="Y60" s="18">
        <f>tbl_Bonds[[#This Row],[Quantidade]]*tbl_Bonds[[#This Row],[𝛿P/𝛿r_pre]]</f>
        <v>-4638.1137371054501</v>
      </c>
      <c r="Z60" s="18">
        <f>tbl_Bonds[[#This Row],[Quantidade]]*tbl_Bonds[[#This Row],[𝛿P/𝛿r_implicita]]</f>
        <v>4903.2113364856132</v>
      </c>
      <c r="AA60" s="18">
        <f>tbl_Bonds[[#This Row],[Quantidade]]*tbl_Bonds[[#This Row],[𝛿P/𝛿du]]</f>
        <v>1457.0603795544905</v>
      </c>
    </row>
    <row r="61" spans="1:27">
      <c r="A61" s="2" t="s">
        <v>83</v>
      </c>
      <c r="B61" s="3">
        <v>48442</v>
      </c>
      <c r="C61" s="3">
        <v>44972</v>
      </c>
      <c r="D61" s="4">
        <f>NETWORKDAYS(Dashboard!$C$10,bonds!C61,feriados)-1</f>
        <v>99</v>
      </c>
      <c r="E61" s="2">
        <f>IF(tbl_Bonds[[#This Row],[Coupon]]&lt;tbl_Bonds[[#This Row],[Maturity]],SQRT(1.06)-1,SQRT(1.06))</f>
        <v>2.9563014098699991E-2</v>
      </c>
      <c r="F61" s="5" cm="1">
        <f t="array" ref="F61">Svensson(betas_pre,tbl_Bonds[[#This Row],[DU]])</f>
        <v>0.13824476901041258</v>
      </c>
      <c r="G61" s="49">
        <f>IF(curve_type="Simulada",_xlfn.XLOOKUP(tbl_Bonds[[#This Row],[Coupon]],Simulador!$B$5:$B$147,Simulador!$H$5:$H$147),0)</f>
        <v>0</v>
      </c>
      <c r="H61" s="5" cm="1">
        <f t="array" ref="H6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0.13824476901041258</v>
      </c>
      <c r="I61" s="5" cm="1">
        <f t="array" ref="I61">Interpola_FF(tbl_Bonds[[#This Row],[DU]],dus_svensson,svensson_implicita)</f>
        <v>4.5724704287595008E-2</v>
      </c>
      <c r="J61" s="49">
        <f>IF(curve_type="Simulada",_xlfn.XLOOKUP(tbl_Bonds[[#This Row],[Coupon]],Simulador!$B$5:$B$147,Simulador!$N$5:$N$147),0)</f>
        <v>0</v>
      </c>
      <c r="K61" s="5" cm="1">
        <f t="array" ref="K6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4.5724704287595008E-2</v>
      </c>
      <c r="L61" s="5" cm="1">
        <f t="array" ref="L61">Interpola_FF(tbl_Bonds[[#This Row],[DU]],dus_svensson,svensson_real_spot)</f>
        <v>8.8437815039086765E-2</v>
      </c>
      <c r="M61" s="49">
        <f>IF(curve_type="Simulada",_xlfn.XLOOKUP(tbl_Bonds[[#This Row],[Coupon]],Simulador!$B$5:$B$147,Simulador!$K$5:$K$147),0)</f>
        <v>0</v>
      </c>
      <c r="N61" s="5" cm="1">
        <f t="array" ref="N6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8.8437815039086765E-2</v>
      </c>
      <c r="O61" s="6">
        <f>IF(curve_type="Mercado",tbl_Bonds[[#This Row],[FC]]/(1+tbl_Bonds[[#This Row],[Real Mercado]])^(tbl_Bonds[[#This Row],[DU]]/252),tbl_Bonds[[#This Row],[FC]]/(1+tbl_Bonds[[#This Row],[Real Simulada]])^(tbl_Bonds[[#This Row],[DU]]/252))</f>
        <v>2.8595002889922921E-2</v>
      </c>
      <c r="P61" s="7">
        <f>tbl_Bonds[[#This Row],[Cotação]]*VNA</f>
        <v>113.10193789314702</v>
      </c>
      <c r="Q61" s="18">
        <f>tbl_Bonds[[#This Row],[Cotação]]%%*VNA</f>
        <v>1.1310193789314704E-2</v>
      </c>
      <c r="R6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-4.0822639160797754E-3</v>
      </c>
      <c r="S6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-3.9035816912818782E-3</v>
      </c>
      <c r="T6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4.248949481913014E-3</v>
      </c>
      <c r="U61" s="18">
        <f>IF(curve_type="Mercado",tbl_Bonds[[#This Row],[VP Cupom]]*LN(1+tbl_Bonds[[#This Row],[Real Mercado]])/252,tbl_Bonds[[#This Row],[VP Cupom]]*LN(1+tbl_Bonds[[#This Row],[Real Simulada]])/252)</f>
        <v>3.8034328556047631E-2</v>
      </c>
      <c r="V61" s="18">
        <f>SUMIF(Dashboard!$B$28:$B$42,tbl_Bonds[[#This Row],[Bond]],Dashboard!$C$28:$C$42)</f>
        <v>13910</v>
      </c>
      <c r="W61" s="18">
        <f>tbl_Bonds[[#This Row],[Quantidade]]*tbl_Bonds[[#This Row],[𝛿P/𝛿VNA]]</f>
        <v>157.32479560936753</v>
      </c>
      <c r="X61" s="18">
        <f>+tbl_Bonds[[#This Row],[Quantidade]]*tbl_Bonds[[#This Row],[𝛿P/𝛿r_real]]</f>
        <v>-56.784291072669674</v>
      </c>
      <c r="Y61" s="18">
        <f>tbl_Bonds[[#This Row],[Quantidade]]*tbl_Bonds[[#This Row],[𝛿P/𝛿r_pre]]</f>
        <v>-54.298821325730927</v>
      </c>
      <c r="Z61" s="18">
        <f>tbl_Bonds[[#This Row],[Quantidade]]*tbl_Bonds[[#This Row],[𝛿P/𝛿r_implicita]]</f>
        <v>59.102887293410028</v>
      </c>
      <c r="AA61" s="18">
        <f>tbl_Bonds[[#This Row],[Quantidade]]*tbl_Bonds[[#This Row],[𝛿P/𝛿du]]</f>
        <v>529.05751021462254</v>
      </c>
    </row>
    <row r="62" spans="1:27">
      <c r="A62" s="2" t="s">
        <v>83</v>
      </c>
      <c r="B62" s="3">
        <v>48442</v>
      </c>
      <c r="C62" s="3">
        <v>45153</v>
      </c>
      <c r="D62" s="4">
        <f>NETWORKDAYS(Dashboard!$C$10,bonds!C62,feriados)-1</f>
        <v>222</v>
      </c>
      <c r="E62" s="2">
        <f>IF(tbl_Bonds[[#This Row],[Coupon]]&lt;tbl_Bonds[[#This Row],[Maturity]],SQRT(1.06)-1,SQRT(1.06))</f>
        <v>2.9563014098699991E-2</v>
      </c>
      <c r="F62" s="5" cm="1">
        <f t="array" ref="F62">Svensson(betas_pre,tbl_Bonds[[#This Row],[DU]])</f>
        <v>0.13372890379553737</v>
      </c>
      <c r="G62" s="49">
        <f>IF(curve_type="Simulada",_xlfn.XLOOKUP(tbl_Bonds[[#This Row],[Coupon]],Simulador!$B$5:$B$147,Simulador!$H$5:$H$147),0)</f>
        <v>0</v>
      </c>
      <c r="H62" s="5" cm="1">
        <f t="array" ref="H6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0.13372890379553737</v>
      </c>
      <c r="I62" s="5" cm="1">
        <f t="array" ref="I62">Interpola_FF(tbl_Bonds[[#This Row],[DU]],dus_svensson,svensson_implicita)</f>
        <v>5.0400974841755763E-2</v>
      </c>
      <c r="J62" s="49">
        <f>IF(curve_type="Simulada",_xlfn.XLOOKUP(tbl_Bonds[[#This Row],[Coupon]],Simulador!$B$5:$B$147,Simulador!$N$5:$N$147),0)</f>
        <v>0</v>
      </c>
      <c r="K62" s="5" cm="1">
        <f t="array" ref="K6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5.0400974841755763E-2</v>
      </c>
      <c r="L62" s="5" cm="1">
        <f t="array" ref="L62">Interpola_FF(tbl_Bonds[[#This Row],[DU]],dus_svensson,svensson_real_spot)</f>
        <v>7.9302041272826251E-2</v>
      </c>
      <c r="M62" s="49">
        <f>IF(curve_type="Simulada",_xlfn.XLOOKUP(tbl_Bonds[[#This Row],[Coupon]],Simulador!$B$5:$B$147,Simulador!$K$5:$K$147),0)</f>
        <v>0</v>
      </c>
      <c r="N62" s="5" cm="1">
        <f t="array" ref="N6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7.9302041272826251E-2</v>
      </c>
      <c r="O62" s="6">
        <f>IF(curve_type="Mercado",tbl_Bonds[[#This Row],[FC]]/(1+tbl_Bonds[[#This Row],[Real Mercado]])^(tbl_Bonds[[#This Row],[DU]]/252),tbl_Bonds[[#This Row],[FC]]/(1+tbl_Bonds[[#This Row],[Real Simulada]])^(tbl_Bonds[[#This Row],[DU]]/252))</f>
        <v>2.7640844460278355E-2</v>
      </c>
      <c r="P62" s="7">
        <f>tbl_Bonds[[#This Row],[Cotação]]*VNA</f>
        <v>109.32795095335507</v>
      </c>
      <c r="Q62" s="18">
        <f>tbl_Bonds[[#This Row],[Cotação]]%%*VNA</f>
        <v>1.0932795095335505E-2</v>
      </c>
      <c r="R6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-8.9236112796952736E-3</v>
      </c>
      <c r="S6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-8.4950246026016599E-3</v>
      </c>
      <c r="T6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9.1689318280332253E-3</v>
      </c>
      <c r="U62" s="18">
        <f>IF(curve_type="Mercado",tbl_Bonds[[#This Row],[VP Cupom]]*LN(1+tbl_Bonds[[#This Row],[Real Mercado]])/252,tbl_Bonds[[#This Row],[VP Cupom]]*LN(1+tbl_Bonds[[#This Row],[Real Simulada]])/252)</f>
        <v>3.310839689950245E-2</v>
      </c>
      <c r="V62" s="18">
        <f>SUMIF(Dashboard!$B$28:$B$42,tbl_Bonds[[#This Row],[Bond]],Dashboard!$C$28:$C$42)</f>
        <v>13910</v>
      </c>
      <c r="W62" s="18">
        <f>tbl_Bonds[[#This Row],[Quantidade]]*tbl_Bonds[[#This Row],[𝛿P/𝛿VNA]]</f>
        <v>152.07517977611687</v>
      </c>
      <c r="X62" s="18">
        <f>+tbl_Bonds[[#This Row],[Quantidade]]*tbl_Bonds[[#This Row],[𝛿P/𝛿r_real]]</f>
        <v>-124.12743290056126</v>
      </c>
      <c r="Y62" s="18">
        <f>tbl_Bonds[[#This Row],[Quantidade]]*tbl_Bonds[[#This Row],[𝛿P/𝛿r_pre]]</f>
        <v>-118.16579222218908</v>
      </c>
      <c r="Z62" s="18">
        <f>tbl_Bonds[[#This Row],[Quantidade]]*tbl_Bonds[[#This Row],[𝛿P/𝛿r_implicita]]</f>
        <v>127.53984172794216</v>
      </c>
      <c r="AA62" s="18">
        <f>tbl_Bonds[[#This Row],[Quantidade]]*tbl_Bonds[[#This Row],[𝛿P/𝛿du]]</f>
        <v>460.53780087207906</v>
      </c>
    </row>
    <row r="63" spans="1:27">
      <c r="A63" s="2" t="s">
        <v>83</v>
      </c>
      <c r="B63" s="3">
        <v>48442</v>
      </c>
      <c r="C63" s="3">
        <v>45337</v>
      </c>
      <c r="D63" s="4">
        <f>NETWORKDAYS(Dashboard!$C$10,bonds!C63,feriados)-1</f>
        <v>346</v>
      </c>
      <c r="E63" s="2">
        <f>IF(tbl_Bonds[[#This Row],[Coupon]]&lt;tbl_Bonds[[#This Row],[Maturity]],SQRT(1.06)-1,SQRT(1.06))</f>
        <v>2.9563014098699991E-2</v>
      </c>
      <c r="F63" s="5" cm="1">
        <f t="array" ref="F63">Svensson(betas_pre,tbl_Bonds[[#This Row],[DU]])</f>
        <v>0.12747368770436204</v>
      </c>
      <c r="G63" s="49">
        <f>IF(curve_type="Simulada",_xlfn.XLOOKUP(tbl_Bonds[[#This Row],[Coupon]],Simulador!$B$5:$B$147,Simulador!$H$5:$H$147),0)</f>
        <v>0</v>
      </c>
      <c r="H63" s="5" cm="1">
        <f t="array" ref="H6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0.12747368770436204</v>
      </c>
      <c r="I63" s="5" cm="1">
        <f t="array" ref="I63">Interpola_FF(tbl_Bonds[[#This Row],[DU]],dus_svensson,svensson_implicita)</f>
        <v>5.1308537686221012E-2</v>
      </c>
      <c r="J63" s="49">
        <f>IF(curve_type="Simulada",_xlfn.XLOOKUP(tbl_Bonds[[#This Row],[Coupon]],Simulador!$B$5:$B$147,Simulador!$N$5:$N$147),0)</f>
        <v>0</v>
      </c>
      <c r="K63" s="5" cm="1">
        <f t="array" ref="K6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5.1308537686221012E-2</v>
      </c>
      <c r="L63" s="5" cm="1">
        <f t="array" ref="L63">Interpola_FF(tbl_Bonds[[#This Row],[DU]],dus_svensson,svensson_real_spot)</f>
        <v>7.2438747759168143E-2</v>
      </c>
      <c r="M63" s="49">
        <f>IF(curve_type="Simulada",_xlfn.XLOOKUP(tbl_Bonds[[#This Row],[Coupon]],Simulador!$B$5:$B$147,Simulador!$K$5:$K$147),0)</f>
        <v>0</v>
      </c>
      <c r="N63" s="5" cm="1">
        <f t="array" ref="N6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7.2438747759168143E-2</v>
      </c>
      <c r="O63" s="6">
        <f>IF(curve_type="Mercado",tbl_Bonds[[#This Row],[FC]]/(1+tbl_Bonds[[#This Row],[Real Mercado]])^(tbl_Bonds[[#This Row],[DU]]/252),tbl_Bonds[[#This Row],[FC]]/(1+tbl_Bonds[[#This Row],[Real Simulada]])^(tbl_Bonds[[#This Row],[DU]]/252))</f>
        <v>2.6856337759066942E-2</v>
      </c>
      <c r="P63" s="7">
        <f>tbl_Bonds[[#This Row],[Cotação]]*VNA</f>
        <v>106.22498822456166</v>
      </c>
      <c r="Q63" s="18">
        <f>tbl_Bonds[[#This Row],[Cotação]]%%*VNA</f>
        <v>1.0622498822456167E-2</v>
      </c>
      <c r="R6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-1.3599713293462592E-2</v>
      </c>
      <c r="S6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-1.2935723286440097E-2</v>
      </c>
      <c r="T6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1.3872889940554092E-2</v>
      </c>
      <c r="U63" s="18">
        <f>IF(curve_type="Mercado",tbl_Bonds[[#This Row],[VP Cupom]]*LN(1+tbl_Bonds[[#This Row],[Real Mercado]])/252,tbl_Bonds[[#This Row],[VP Cupom]]*LN(1+tbl_Bonds[[#This Row],[Real Simulada]])/252)</f>
        <v>2.947965085386333E-2</v>
      </c>
      <c r="V63" s="18">
        <f>SUMIF(Dashboard!$B$28:$B$42,tbl_Bonds[[#This Row],[Bond]],Dashboard!$C$28:$C$42)</f>
        <v>13910</v>
      </c>
      <c r="W63" s="18">
        <f>tbl_Bonds[[#This Row],[Quantidade]]*tbl_Bonds[[#This Row],[𝛿P/𝛿VNA]]</f>
        <v>147.75895862036529</v>
      </c>
      <c r="X63" s="18">
        <f>+tbl_Bonds[[#This Row],[Quantidade]]*tbl_Bonds[[#This Row],[𝛿P/𝛿r_real]]</f>
        <v>-189.17201191206465</v>
      </c>
      <c r="Y63" s="18">
        <f>tbl_Bonds[[#This Row],[Quantidade]]*tbl_Bonds[[#This Row],[𝛿P/𝛿r_pre]]</f>
        <v>-179.93591091438174</v>
      </c>
      <c r="Z63" s="18">
        <f>tbl_Bonds[[#This Row],[Quantidade]]*tbl_Bonds[[#This Row],[𝛿P/𝛿r_implicita]]</f>
        <v>192.97189907310744</v>
      </c>
      <c r="AA63" s="18">
        <f>tbl_Bonds[[#This Row],[Quantidade]]*tbl_Bonds[[#This Row],[𝛿P/𝛿du]]</f>
        <v>410.06194337723895</v>
      </c>
    </row>
    <row r="64" spans="1:27">
      <c r="A64" s="2" t="s">
        <v>83</v>
      </c>
      <c r="B64" s="3">
        <v>48442</v>
      </c>
      <c r="C64" s="3">
        <v>45519</v>
      </c>
      <c r="D64" s="4">
        <f>NETWORKDAYS(Dashboard!$C$10,bonds!C64,feriados)-1</f>
        <v>473</v>
      </c>
      <c r="E64" s="2">
        <f>IF(tbl_Bonds[[#This Row],[Coupon]]&lt;tbl_Bonds[[#This Row],[Maturity]],SQRT(1.06)-1,SQRT(1.06))</f>
        <v>2.9563014098699991E-2</v>
      </c>
      <c r="F64" s="5" cm="1">
        <f t="array" ref="F64">Svensson(betas_pre,tbl_Bonds[[#This Row],[DU]])</f>
        <v>0.12241457710811354</v>
      </c>
      <c r="G64" s="49">
        <f>IF(curve_type="Simulada",_xlfn.XLOOKUP(tbl_Bonds[[#This Row],[Coupon]],Simulador!$B$5:$B$147,Simulador!$H$5:$H$147),0)</f>
        <v>0</v>
      </c>
      <c r="H64" s="5" cm="1">
        <f t="array" ref="H6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0.12241457710811354</v>
      </c>
      <c r="I64" s="5" cm="1">
        <f t="array" ref="I64">Interpola_FF(tbl_Bonds[[#This Row],[DU]],dus_svensson,svensson_implicita)</f>
        <v>5.1636418386285854E-2</v>
      </c>
      <c r="J64" s="49">
        <f>IF(curve_type="Simulada",_xlfn.XLOOKUP(tbl_Bonds[[#This Row],[Coupon]],Simulador!$B$5:$B$147,Simulador!$N$5:$N$147),0)</f>
        <v>0</v>
      </c>
      <c r="K64" s="5" cm="1">
        <f t="array" ref="K6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5.1636418386285854E-2</v>
      </c>
      <c r="L64" s="5" cm="1">
        <f t="array" ref="L64">Interpola_FF(tbl_Bonds[[#This Row],[DU]],dus_svensson,svensson_real_spot)</f>
        <v>6.730173834988129E-2</v>
      </c>
      <c r="M64" s="49">
        <f>IF(curve_type="Simulada",_xlfn.XLOOKUP(tbl_Bonds[[#This Row],[Coupon]],Simulador!$B$5:$B$147,Simulador!$K$5:$K$147),0)</f>
        <v>0</v>
      </c>
      <c r="N64" s="5" cm="1">
        <f t="array" ref="N6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6.730173834988129E-2</v>
      </c>
      <c r="O64" s="6">
        <f>IF(curve_type="Mercado",tbl_Bonds[[#This Row],[FC]]/(1+tbl_Bonds[[#This Row],[Real Mercado]])^(tbl_Bonds[[#This Row],[DU]]/252),tbl_Bonds[[#This Row],[FC]]/(1+tbl_Bonds[[#This Row],[Real Simulada]])^(tbl_Bonds[[#This Row],[DU]]/252))</f>
        <v>2.6160982699978276E-2</v>
      </c>
      <c r="P64" s="7">
        <f>tbl_Bonds[[#This Row],[Cotação]]*VNA</f>
        <v>103.47464736922124</v>
      </c>
      <c r="Q64" s="18">
        <f>tbl_Bonds[[#This Row],[Cotação]]%%*VNA</f>
        <v>1.0347464736922126E-2</v>
      </c>
      <c r="R6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-1.8197316061490301E-2</v>
      </c>
      <c r="S6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-1.7303756115098563E-2</v>
      </c>
      <c r="T6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1.8468348720856322E-2</v>
      </c>
      <c r="U64" s="18">
        <f>IF(curve_type="Mercado",tbl_Bonds[[#This Row],[VP Cupom]]*LN(1+tbl_Bonds[[#This Row],[Real Mercado]])/252,tbl_Bonds[[#This Row],[VP Cupom]]*LN(1+tbl_Bonds[[#This Row],[Real Simulada]])/252)</f>
        <v>2.6744797971613773E-2</v>
      </c>
      <c r="V64" s="18">
        <f>SUMIF(Dashboard!$B$28:$B$42,tbl_Bonds[[#This Row],[Bond]],Dashboard!$C$28:$C$42)</f>
        <v>13910</v>
      </c>
      <c r="W64" s="18">
        <f>tbl_Bonds[[#This Row],[Quantidade]]*tbl_Bonds[[#This Row],[𝛿P/𝛿VNA]]</f>
        <v>143.93323449058678</v>
      </c>
      <c r="X64" s="18">
        <f>+tbl_Bonds[[#This Row],[Quantidade]]*tbl_Bonds[[#This Row],[𝛿P/𝛿r_real]]</f>
        <v>-253.12466641533007</v>
      </c>
      <c r="Y64" s="18">
        <f>tbl_Bonds[[#This Row],[Quantidade]]*tbl_Bonds[[#This Row],[𝛿P/𝛿r_pre]]</f>
        <v>-240.69524756102101</v>
      </c>
      <c r="Z64" s="18">
        <f>tbl_Bonds[[#This Row],[Quantidade]]*tbl_Bonds[[#This Row],[𝛿P/𝛿r_implicita]]</f>
        <v>256.89473070711142</v>
      </c>
      <c r="AA64" s="18">
        <f>tbl_Bonds[[#This Row],[Quantidade]]*tbl_Bonds[[#This Row],[𝛿P/𝛿du]]</f>
        <v>372.02013978514759</v>
      </c>
    </row>
    <row r="65" spans="1:27">
      <c r="A65" s="2" t="s">
        <v>83</v>
      </c>
      <c r="B65" s="3">
        <v>48442</v>
      </c>
      <c r="C65" s="3">
        <v>45705</v>
      </c>
      <c r="D65" s="4">
        <f>NETWORKDAYS(Dashboard!$C$10,bonds!C65,feriados)-1</f>
        <v>602</v>
      </c>
      <c r="E65" s="2">
        <f>IF(tbl_Bonds[[#This Row],[Coupon]]&lt;tbl_Bonds[[#This Row],[Maturity]],SQRT(1.06)-1,SQRT(1.06))</f>
        <v>2.9563014098699991E-2</v>
      </c>
      <c r="F65" s="5" cm="1">
        <f t="array" ref="F65">Svensson(betas_pre,tbl_Bonds[[#This Row],[DU]])</f>
        <v>0.11913959507080539</v>
      </c>
      <c r="G65" s="49">
        <f>IF(curve_type="Simulada",_xlfn.XLOOKUP(tbl_Bonds[[#This Row],[Coupon]],Simulador!$B$5:$B$147,Simulador!$H$5:$H$147),0)</f>
        <v>0</v>
      </c>
      <c r="H65" s="5" cm="1">
        <f t="array" ref="H6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0.11913959507080539</v>
      </c>
      <c r="I65" s="5" cm="1">
        <f t="array" ref="I65">Interpola_FF(tbl_Bonds[[#This Row],[DU]],dus_svensson,svensson_implicita)</f>
        <v>5.2245707571055622E-2</v>
      </c>
      <c r="J65" s="49">
        <f>IF(curve_type="Simulada",_xlfn.XLOOKUP(tbl_Bonds[[#This Row],[Coupon]],Simulador!$B$5:$B$147,Simulador!$N$5:$N$147),0)</f>
        <v>0</v>
      </c>
      <c r="K65" s="5" cm="1">
        <f t="array" ref="K6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5.2245707571055622E-2</v>
      </c>
      <c r="L65" s="5" cm="1">
        <f t="array" ref="L65">Interpola_FF(tbl_Bonds[[#This Row],[DU]],dus_svensson,svensson_real_spot)</f>
        <v>6.3573730880697621E-2</v>
      </c>
      <c r="M65" s="49">
        <f>IF(curve_type="Simulada",_xlfn.XLOOKUP(tbl_Bonds[[#This Row],[Coupon]],Simulador!$B$5:$B$147,Simulador!$K$5:$K$147),0)</f>
        <v>0</v>
      </c>
      <c r="N65" s="5" cm="1">
        <f t="array" ref="N6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6.3573730880697621E-2</v>
      </c>
      <c r="O65" s="6">
        <f>IF(curve_type="Mercado",tbl_Bonds[[#This Row],[FC]]/(1+tbl_Bonds[[#This Row],[Real Mercado]])^(tbl_Bonds[[#This Row],[DU]]/252),tbl_Bonds[[#This Row],[FC]]/(1+tbl_Bonds[[#This Row],[Real Simulada]])^(tbl_Bonds[[#This Row],[DU]]/252))</f>
        <v>2.5515488243228496E-2</v>
      </c>
      <c r="P65" s="7">
        <f>tbl_Bonds[[#This Row],[Cotação]]*VNA</f>
        <v>100.92152036871961</v>
      </c>
      <c r="Q65" s="18">
        <f>tbl_Bonds[[#This Row],[Cotação]]%%*VNA</f>
        <v>1.0092152036871962E-2</v>
      </c>
      <c r="R6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-2.2667944088744268E-2</v>
      </c>
      <c r="S6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-2.1542528534510597E-2</v>
      </c>
      <c r="T6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2.2912040873576508E-2</v>
      </c>
      <c r="U65" s="18">
        <f>IF(curve_type="Mercado",tbl_Bonds[[#This Row],[VP Cupom]]*LN(1+tbl_Bonds[[#This Row],[Real Mercado]])/252,tbl_Bonds[[#This Row],[VP Cupom]]*LN(1+tbl_Bonds[[#This Row],[Real Simulada]])/252)</f>
        <v>2.4683594413289961E-2</v>
      </c>
      <c r="V65" s="18">
        <f>SUMIF(Dashboard!$B$28:$B$42,tbl_Bonds[[#This Row],[Bond]],Dashboard!$C$28:$C$42)</f>
        <v>13910</v>
      </c>
      <c r="W65" s="18">
        <f>tbl_Bonds[[#This Row],[Quantidade]]*tbl_Bonds[[#This Row],[𝛿P/𝛿VNA]]</f>
        <v>140.38183483288898</v>
      </c>
      <c r="X65" s="18">
        <f>+tbl_Bonds[[#This Row],[Quantidade]]*tbl_Bonds[[#This Row],[𝛿P/𝛿r_real]]</f>
        <v>-315.31110227443276</v>
      </c>
      <c r="Y65" s="18">
        <f>tbl_Bonds[[#This Row],[Quantidade]]*tbl_Bonds[[#This Row],[𝛿P/𝛿r_pre]]</f>
        <v>-299.65657191504243</v>
      </c>
      <c r="Z65" s="18">
        <f>tbl_Bonds[[#This Row],[Quantidade]]*tbl_Bonds[[#This Row],[𝛿P/𝛿r_implicita]]</f>
        <v>318.70648855144924</v>
      </c>
      <c r="AA65" s="18">
        <f>tbl_Bonds[[#This Row],[Quantidade]]*tbl_Bonds[[#This Row],[𝛿P/𝛿du]]</f>
        <v>343.34879828886335</v>
      </c>
    </row>
    <row r="66" spans="1:27">
      <c r="A66" s="2" t="s">
        <v>83</v>
      </c>
      <c r="B66" s="3">
        <v>48442</v>
      </c>
      <c r="C66" s="3">
        <v>45884</v>
      </c>
      <c r="D66" s="4">
        <f>NETWORKDAYS(Dashboard!$C$10,bonds!C66,feriados)-1</f>
        <v>725</v>
      </c>
      <c r="E66" s="2">
        <f>IF(tbl_Bonds[[#This Row],[Coupon]]&lt;tbl_Bonds[[#This Row],[Maturity]],SQRT(1.06)-1,SQRT(1.06))</f>
        <v>2.9563014098699991E-2</v>
      </c>
      <c r="F66" s="5" cm="1">
        <f t="array" ref="F66">Svensson(betas_pre,tbl_Bonds[[#This Row],[DU]])</f>
        <v>0.11741710508794967</v>
      </c>
      <c r="G66" s="49">
        <f>IF(curve_type="Simulada",_xlfn.XLOOKUP(tbl_Bonds[[#This Row],[Coupon]],Simulador!$B$5:$B$147,Simulador!$H$5:$H$147),0)</f>
        <v>0</v>
      </c>
      <c r="H66" s="5" cm="1">
        <f t="array" ref="H6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0.11741710508794967</v>
      </c>
      <c r="I66" s="5" cm="1">
        <f t="array" ref="I66">Interpola_FF(tbl_Bonds[[#This Row],[DU]],dus_svensson,svensson_implicita)</f>
        <v>5.3104968591759505E-2</v>
      </c>
      <c r="J66" s="49">
        <f>IF(curve_type="Simulada",_xlfn.XLOOKUP(tbl_Bonds[[#This Row],[Coupon]],Simulador!$B$5:$B$147,Simulador!$N$5:$N$147),0)</f>
        <v>0</v>
      </c>
      <c r="K66" s="5" cm="1">
        <f t="array" ref="K6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5.3104968591759505E-2</v>
      </c>
      <c r="L66" s="5" cm="1">
        <f t="array" ref="L66">Interpola_FF(tbl_Bonds[[#This Row],[DU]],dus_svensson,svensson_real_spot)</f>
        <v>6.1070807198248644E-2</v>
      </c>
      <c r="M66" s="49">
        <f>IF(curve_type="Simulada",_xlfn.XLOOKUP(tbl_Bonds[[#This Row],[Coupon]],Simulador!$B$5:$B$147,Simulador!$K$5:$K$147),0)</f>
        <v>0</v>
      </c>
      <c r="N66" s="5" cm="1">
        <f t="array" ref="N6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6.1070807198248644E-2</v>
      </c>
      <c r="O66" s="6">
        <f>IF(curve_type="Mercado",tbl_Bonds[[#This Row],[FC]]/(1+tbl_Bonds[[#This Row],[Real Mercado]])^(tbl_Bonds[[#This Row],[DU]]/252),tbl_Bonds[[#This Row],[FC]]/(1+tbl_Bonds[[#This Row],[Real Simulada]])^(tbl_Bonds[[#This Row],[DU]]/252))</f>
        <v>2.4927721145174282E-2</v>
      </c>
      <c r="P66" s="7">
        <f>tbl_Bonds[[#This Row],[Cotação]]*VNA</f>
        <v>98.596722638302523</v>
      </c>
      <c r="Q66" s="18">
        <f>tbl_Bonds[[#This Row],[Cotação]]%%*VNA</f>
        <v>9.8596722638302527E-3</v>
      </c>
      <c r="R6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-2.6733485086830221E-2</v>
      </c>
      <c r="S6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-2.5385556042411363E-2</v>
      </c>
      <c r="T6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2.6935828231720655E-2</v>
      </c>
      <c r="U66" s="18">
        <f>IF(curve_type="Mercado",tbl_Bonds[[#This Row],[VP Cupom]]*LN(1+tbl_Bonds[[#This Row],[Real Mercado]])/252,tbl_Bonds[[#This Row],[VP Cupom]]*LN(1+tbl_Bonds[[#This Row],[Real Simulada]])/252)</f>
        <v>2.3193155001732964E-2</v>
      </c>
      <c r="V66" s="18">
        <f>SUMIF(Dashboard!$B$28:$B$42,tbl_Bonds[[#This Row],[Bond]],Dashboard!$C$28:$C$42)</f>
        <v>13910</v>
      </c>
      <c r="W66" s="18">
        <f>tbl_Bonds[[#This Row],[Quantidade]]*tbl_Bonds[[#This Row],[𝛿P/𝛿VNA]]</f>
        <v>137.14804118987882</v>
      </c>
      <c r="X66" s="18">
        <f>+tbl_Bonds[[#This Row],[Quantidade]]*tbl_Bonds[[#This Row],[𝛿P/𝛿r_real]]</f>
        <v>-371.86277755780839</v>
      </c>
      <c r="Y66" s="18">
        <f>tbl_Bonds[[#This Row],[Quantidade]]*tbl_Bonds[[#This Row],[𝛿P/𝛿r_pre]]</f>
        <v>-353.11308454994207</v>
      </c>
      <c r="Z66" s="18">
        <f>tbl_Bonds[[#This Row],[Quantidade]]*tbl_Bonds[[#This Row],[𝛿P/𝛿r_implicita]]</f>
        <v>374.67737070323432</v>
      </c>
      <c r="AA66" s="18">
        <f>tbl_Bonds[[#This Row],[Quantidade]]*tbl_Bonds[[#This Row],[𝛿P/𝛿du]]</f>
        <v>322.61678607410556</v>
      </c>
    </row>
    <row r="67" spans="1:27">
      <c r="A67" s="2" t="s">
        <v>83</v>
      </c>
      <c r="B67" s="3">
        <v>48442</v>
      </c>
      <c r="C67" s="3">
        <v>46071</v>
      </c>
      <c r="D67" s="4">
        <f>NETWORKDAYS(Dashboard!$C$10,bonds!C67,feriados)-1</f>
        <v>854</v>
      </c>
      <c r="E67" s="2">
        <f>IF(tbl_Bonds[[#This Row],[Coupon]]&lt;tbl_Bonds[[#This Row],[Maturity]],SQRT(1.06)-1,SQRT(1.06))</f>
        <v>2.9563014098699991E-2</v>
      </c>
      <c r="F67" s="5" cm="1">
        <f t="array" ref="F67">Svensson(betas_pre,tbl_Bonds[[#This Row],[DU]])</f>
        <v>0.11659182503244317</v>
      </c>
      <c r="G67" s="49">
        <f>IF(curve_type="Simulada",_xlfn.XLOOKUP(tbl_Bonds[[#This Row],[Coupon]],Simulador!$B$5:$B$147,Simulador!$H$5:$H$147),0)</f>
        <v>0</v>
      </c>
      <c r="H67" s="5" cm="1">
        <f t="array" ref="H6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0.11659182503244317</v>
      </c>
      <c r="I67" s="5" cm="1">
        <f t="array" ref="I67">Interpola_FF(tbl_Bonds[[#This Row],[DU]],dus_svensson,svensson_implicita)</f>
        <v>5.4141996542348858E-2</v>
      </c>
      <c r="J67" s="49">
        <f>IF(curve_type="Simulada",_xlfn.XLOOKUP(tbl_Bonds[[#This Row],[Coupon]],Simulador!$B$5:$B$147,Simulador!$N$5:$N$147),0)</f>
        <v>0</v>
      </c>
      <c r="K67" s="5" cm="1">
        <f t="array" ref="K6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5.4141996542348858E-2</v>
      </c>
      <c r="L67" s="5" cm="1">
        <f t="array" ref="L67">Interpola_FF(tbl_Bonds[[#This Row],[DU]],dus_svensson,svensson_real_spot)</f>
        <v>5.927838770503624E-2</v>
      </c>
      <c r="M67" s="49">
        <f>IF(curve_type="Simulada",_xlfn.XLOOKUP(tbl_Bonds[[#This Row],[Coupon]],Simulador!$B$5:$B$147,Simulador!$K$5:$K$147),0)</f>
        <v>0</v>
      </c>
      <c r="N67" s="5" cm="1">
        <f t="array" ref="N6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5.927838770503624E-2</v>
      </c>
      <c r="O67" s="6">
        <f>IF(curve_type="Mercado",tbl_Bonds[[#This Row],[FC]]/(1+tbl_Bonds[[#This Row],[Real Mercado]])^(tbl_Bonds[[#This Row],[DU]]/252),tbl_Bonds[[#This Row],[FC]]/(1+tbl_Bonds[[#This Row],[Real Simulada]])^(tbl_Bonds[[#This Row],[DU]]/252))</f>
        <v>2.4321604466759829E-2</v>
      </c>
      <c r="P67" s="7">
        <f>tbl_Bonds[[#This Row],[Cotação]]*VNA</f>
        <v>96.199346733780743</v>
      </c>
      <c r="Q67" s="18">
        <f>tbl_Bonds[[#This Row],[Cotação]]%%*VNA</f>
        <v>9.6199346733780756E-3</v>
      </c>
      <c r="R6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-3.0776507955646001E-2</v>
      </c>
      <c r="S6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-2.9200151732275033E-2</v>
      </c>
      <c r="T6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3.0930036770103562E-2</v>
      </c>
      <c r="U67" s="18">
        <f>IF(curve_type="Mercado",tbl_Bonds[[#This Row],[VP Cupom]]*LN(1+tbl_Bonds[[#This Row],[Real Mercado]])/252,tbl_Bonds[[#This Row],[VP Cupom]]*LN(1+tbl_Bonds[[#This Row],[Real Simulada]])/252)</f>
        <v>2.1983806825281928E-2</v>
      </c>
      <c r="V67" s="18">
        <f>SUMIF(Dashboard!$B$28:$B$42,tbl_Bonds[[#This Row],[Bond]],Dashboard!$C$28:$C$42)</f>
        <v>13910</v>
      </c>
      <c r="W67" s="18">
        <f>tbl_Bonds[[#This Row],[Quantidade]]*tbl_Bonds[[#This Row],[𝛿P/𝛿VNA]]</f>
        <v>133.81329130668902</v>
      </c>
      <c r="X67" s="18">
        <f>+tbl_Bonds[[#This Row],[Quantidade]]*tbl_Bonds[[#This Row],[𝛿P/𝛿r_real]]</f>
        <v>-428.1012256630359</v>
      </c>
      <c r="Y67" s="18">
        <f>tbl_Bonds[[#This Row],[Quantidade]]*tbl_Bonds[[#This Row],[𝛿P/𝛿r_pre]]</f>
        <v>-406.17411059594571</v>
      </c>
      <c r="Z67" s="18">
        <f>tbl_Bonds[[#This Row],[Quantidade]]*tbl_Bonds[[#This Row],[𝛿P/𝛿r_implicita]]</f>
        <v>430.23681147214057</v>
      </c>
      <c r="AA67" s="18">
        <f>tbl_Bonds[[#This Row],[Quantidade]]*tbl_Bonds[[#This Row],[𝛿P/𝛿du]]</f>
        <v>305.79475293967164</v>
      </c>
    </row>
    <row r="68" spans="1:27">
      <c r="A68" s="2" t="s">
        <v>83</v>
      </c>
      <c r="B68" s="3">
        <v>48442</v>
      </c>
      <c r="C68" s="3">
        <v>46251</v>
      </c>
      <c r="D68" s="4">
        <f>NETWORKDAYS(Dashboard!$C$10,bonds!C68,feriados)-1</f>
        <v>978</v>
      </c>
      <c r="E68" s="2">
        <f>IF(tbl_Bonds[[#This Row],[Coupon]]&lt;tbl_Bonds[[#This Row],[Maturity]],SQRT(1.06)-1,SQRT(1.06))</f>
        <v>2.9563014098699991E-2</v>
      </c>
      <c r="F68" s="5" cm="1">
        <f t="array" ref="F68">Svensson(betas_pre,tbl_Bonds[[#This Row],[DU]])</f>
        <v>0.11637191467183143</v>
      </c>
      <c r="G68" s="49">
        <f>IF(curve_type="Simulada",_xlfn.XLOOKUP(tbl_Bonds[[#This Row],[Coupon]],Simulador!$B$5:$B$147,Simulador!$H$5:$H$147),0)</f>
        <v>0</v>
      </c>
      <c r="H68" s="5" cm="1">
        <f t="array" ref="H6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0.11637191467183143</v>
      </c>
      <c r="I68" s="5" cm="1">
        <f t="array" ref="I68">Interpola_FF(tbl_Bonds[[#This Row],[DU]],dus_svensson,svensson_implicita)</f>
        <v>5.5066564562549658E-2</v>
      </c>
      <c r="J68" s="49">
        <f>IF(curve_type="Simulada",_xlfn.XLOOKUP(tbl_Bonds[[#This Row],[Coupon]],Simulador!$B$5:$B$147,Simulador!$N$5:$N$147),0)</f>
        <v>0</v>
      </c>
      <c r="K68" s="5" cm="1">
        <f t="array" ref="K6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5.5066564562549658E-2</v>
      </c>
      <c r="L68" s="5" cm="1">
        <f t="array" ref="L68">Interpola_FF(tbl_Bonds[[#This Row],[DU]],dus_svensson,svensson_real_spot)</f>
        <v>5.8133069907817969E-2</v>
      </c>
      <c r="M68" s="49">
        <f>IF(curve_type="Simulada",_xlfn.XLOOKUP(tbl_Bonds[[#This Row],[Coupon]],Simulador!$B$5:$B$147,Simulador!$K$5:$K$147),0)</f>
        <v>0</v>
      </c>
      <c r="N68" s="5" cm="1">
        <f t="array" ref="N6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5.8133069907817969E-2</v>
      </c>
      <c r="O68" s="6">
        <f>IF(curve_type="Mercado",tbl_Bonds[[#This Row],[FC]]/(1+tbl_Bonds[[#This Row],[Real Mercado]])^(tbl_Bonds[[#This Row],[DU]]/252),tbl_Bonds[[#This Row],[FC]]/(1+tbl_Bonds[[#This Row],[Real Simulada]])^(tbl_Bonds[[#This Row],[DU]]/252))</f>
        <v>2.3741547469357031E-2</v>
      </c>
      <c r="P68" s="7">
        <f>tbl_Bonds[[#This Row],[Cotação]]*VNA</f>
        <v>93.90504479762474</v>
      </c>
      <c r="Q68" s="18">
        <f>tbl_Bonds[[#This Row],[Cotação]]%%*VNA</f>
        <v>9.3905044797624737E-3</v>
      </c>
      <c r="R6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-3.4441888034227201E-2</v>
      </c>
      <c r="S6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-3.2648405861038642E-2</v>
      </c>
      <c r="T6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3.4545463372903575E-2</v>
      </c>
      <c r="U68" s="18">
        <f>IF(curve_type="Mercado",tbl_Bonds[[#This Row],[VP Cupom]]*LN(1+tbl_Bonds[[#This Row],[Real Mercado]])/252,tbl_Bonds[[#This Row],[VP Cupom]]*LN(1+tbl_Bonds[[#This Row],[Real Simulada]])/252)</f>
        <v>2.1056380546002E-2</v>
      </c>
      <c r="V68" s="18">
        <f>SUMIF(Dashboard!$B$28:$B$42,tbl_Bonds[[#This Row],[Bond]],Dashboard!$C$28:$C$42)</f>
        <v>13910</v>
      </c>
      <c r="W68" s="18">
        <f>tbl_Bonds[[#This Row],[Quantidade]]*tbl_Bonds[[#This Row],[𝛿P/𝛿VNA]]</f>
        <v>130.621917313496</v>
      </c>
      <c r="X68" s="18">
        <f>+tbl_Bonds[[#This Row],[Quantidade]]*tbl_Bonds[[#This Row],[𝛿P/𝛿r_real]]</f>
        <v>-479.08666255610035</v>
      </c>
      <c r="Y68" s="18">
        <f>tbl_Bonds[[#This Row],[Quantidade]]*tbl_Bonds[[#This Row],[𝛿P/𝛿r_pre]]</f>
        <v>-454.1393255270475</v>
      </c>
      <c r="Z68" s="18">
        <f>tbl_Bonds[[#This Row],[Quantidade]]*tbl_Bonds[[#This Row],[𝛿P/𝛿r_implicita]]</f>
        <v>480.52739551708873</v>
      </c>
      <c r="AA68" s="18">
        <f>tbl_Bonds[[#This Row],[Quantidade]]*tbl_Bonds[[#This Row],[𝛿P/𝛿du]]</f>
        <v>292.89425339488781</v>
      </c>
    </row>
    <row r="69" spans="1:27">
      <c r="A69" s="2" t="s">
        <v>83</v>
      </c>
      <c r="B69" s="3">
        <v>48442</v>
      </c>
      <c r="C69" s="3">
        <v>46433</v>
      </c>
      <c r="D69" s="4">
        <f>NETWORKDAYS(Dashboard!$C$10,bonds!C69,feriados)-1</f>
        <v>1101</v>
      </c>
      <c r="E69" s="2">
        <f>IF(tbl_Bonds[[#This Row],[Coupon]]&lt;tbl_Bonds[[#This Row],[Maturity]],SQRT(1.06)-1,SQRT(1.06))</f>
        <v>2.9563014098699991E-2</v>
      </c>
      <c r="F69" s="5" cm="1">
        <f t="array" ref="F69">Svensson(betas_pre,tbl_Bonds[[#This Row],[DU]])</f>
        <v>0.11646160743294708</v>
      </c>
      <c r="G69" s="49">
        <f>IF(curve_type="Simulada",_xlfn.XLOOKUP(tbl_Bonds[[#This Row],[Coupon]],Simulador!$B$5:$B$147,Simulador!$H$5:$H$147),0)</f>
        <v>0</v>
      </c>
      <c r="H69" s="5" cm="1">
        <f t="array" ref="H6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0.11646160743294708</v>
      </c>
      <c r="I69" s="5" cm="1">
        <f t="array" ref="I69">Interpola_FF(tbl_Bonds[[#This Row],[DU]],dus_svensson,svensson_implicita)</f>
        <v>5.5866933897950277E-2</v>
      </c>
      <c r="J69" s="49">
        <f>IF(curve_type="Simulada",_xlfn.XLOOKUP(tbl_Bonds[[#This Row],[Coupon]],Simulador!$B$5:$B$147,Simulador!$N$5:$N$147),0)</f>
        <v>0</v>
      </c>
      <c r="K69" s="5" cm="1">
        <f t="array" ref="K6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5.5866933897950277E-2</v>
      </c>
      <c r="L69" s="5" cm="1">
        <f t="array" ref="L69">Interpola_FF(tbl_Bonds[[#This Row],[DU]],dus_svensson,svensson_real_spot)</f>
        <v>5.7407981869316727E-2</v>
      </c>
      <c r="M69" s="49">
        <f>IF(curve_type="Simulada",_xlfn.XLOOKUP(tbl_Bonds[[#This Row],[Coupon]],Simulador!$B$5:$B$147,Simulador!$K$5:$K$147),0)</f>
        <v>0</v>
      </c>
      <c r="N69" s="5" cm="1">
        <f t="array" ref="N6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5.7407981869316727E-2</v>
      </c>
      <c r="O69" s="6">
        <f>IF(curve_type="Mercado",tbl_Bonds[[#This Row],[FC]]/(1+tbl_Bonds[[#This Row],[Real Mercado]])^(tbl_Bonds[[#This Row],[DU]]/252),tbl_Bonds[[#This Row],[FC]]/(1+tbl_Bonds[[#This Row],[Real Simulada]])^(tbl_Bonds[[#This Row],[DU]]/252))</f>
        <v>2.3164968021171791E-2</v>
      </c>
      <c r="P69" s="7">
        <f>tbl_Bonds[[#This Row],[Cotação]]*VNA</f>
        <v>91.62449762684291</v>
      </c>
      <c r="Q69" s="18">
        <f>tbl_Bonds[[#This Row],[Cotação]]%%*VNA</f>
        <v>9.1624497626842921E-3</v>
      </c>
      <c r="R6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-3.7857837283893893E-2</v>
      </c>
      <c r="S6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-3.5858280398520265E-2</v>
      </c>
      <c r="T6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3.7916135157029754E-2</v>
      </c>
      <c r="U69" s="18">
        <f>IF(curve_type="Mercado",tbl_Bonds[[#This Row],[VP Cupom]]*LN(1+tbl_Bonds[[#This Row],[Real Mercado]])/252,tbl_Bonds[[#This Row],[VP Cupom]]*LN(1+tbl_Bonds[[#This Row],[Real Simulada]])/252)</f>
        <v>2.0295776418198942E-2</v>
      </c>
      <c r="V69" s="18">
        <f>SUMIF(Dashboard!$B$28:$B$42,tbl_Bonds[[#This Row],[Bond]],Dashboard!$C$28:$C$42)</f>
        <v>13910</v>
      </c>
      <c r="W69" s="18">
        <f>tbl_Bonds[[#This Row],[Quantidade]]*tbl_Bonds[[#This Row],[𝛿P/𝛿VNA]]</f>
        <v>127.4496761989385</v>
      </c>
      <c r="X69" s="18">
        <f>+tbl_Bonds[[#This Row],[Quantidade]]*tbl_Bonds[[#This Row],[𝛿P/𝛿r_real]]</f>
        <v>-526.60251661896405</v>
      </c>
      <c r="Y69" s="18">
        <f>tbl_Bonds[[#This Row],[Quantidade]]*tbl_Bonds[[#This Row],[𝛿P/𝛿r_pre]]</f>
        <v>-498.7886803434169</v>
      </c>
      <c r="Z69" s="18">
        <f>tbl_Bonds[[#This Row],[Quantidade]]*tbl_Bonds[[#This Row],[𝛿P/𝛿r_implicita]]</f>
        <v>527.41344003428389</v>
      </c>
      <c r="AA69" s="18">
        <f>tbl_Bonds[[#This Row],[Quantidade]]*tbl_Bonds[[#This Row],[𝛿P/𝛿du]]</f>
        <v>282.31424997714731</v>
      </c>
    </row>
    <row r="70" spans="1:27">
      <c r="A70" s="2" t="s">
        <v>83</v>
      </c>
      <c r="B70" s="3">
        <v>48442</v>
      </c>
      <c r="C70" s="3">
        <v>46615</v>
      </c>
      <c r="D70" s="4">
        <f>NETWORKDAYS(Dashboard!$C$10,bonds!C70,feriados)-1</f>
        <v>1228</v>
      </c>
      <c r="E70" s="2">
        <f>IF(tbl_Bonds[[#This Row],[Coupon]]&lt;tbl_Bonds[[#This Row],[Maturity]],SQRT(1.06)-1,SQRT(1.06))</f>
        <v>2.9563014098699991E-2</v>
      </c>
      <c r="F70" s="5" cm="1">
        <f t="array" ref="F70">Svensson(betas_pre,tbl_Bonds[[#This Row],[DU]])</f>
        <v>0.11671586421546679</v>
      </c>
      <c r="G70" s="49">
        <f>IF(curve_type="Simulada",_xlfn.XLOOKUP(tbl_Bonds[[#This Row],[Coupon]],Simulador!$B$5:$B$147,Simulador!$H$5:$H$147),0)</f>
        <v>0</v>
      </c>
      <c r="H70" s="5" cm="1">
        <f t="array" ref="H7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0.11671586421546679</v>
      </c>
      <c r="I70" s="5" cm="1">
        <f t="array" ref="I70">Interpola_FF(tbl_Bonds[[#This Row],[DU]],dus_svensson,svensson_implicita)</f>
        <v>5.6538828426135002E-2</v>
      </c>
      <c r="J70" s="49">
        <f>IF(curve_type="Simulada",_xlfn.XLOOKUP(tbl_Bonds[[#This Row],[Coupon]],Simulador!$B$5:$B$147,Simulador!$N$5:$N$147),0)</f>
        <v>0</v>
      </c>
      <c r="K70" s="5" cm="1">
        <f t="array" ref="K7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5.6538828426135002E-2</v>
      </c>
      <c r="L70" s="5" cm="1">
        <f t="array" ref="L70">Interpola_FF(tbl_Bonds[[#This Row],[DU]],dus_svensson,svensson_real_spot)</f>
        <v>5.6968724466762044E-2</v>
      </c>
      <c r="M70" s="49">
        <f>IF(curve_type="Simulada",_xlfn.XLOOKUP(tbl_Bonds[[#This Row],[Coupon]],Simulador!$B$5:$B$147,Simulador!$K$5:$K$147),0)</f>
        <v>0</v>
      </c>
      <c r="N70" s="5" cm="1">
        <f t="array" ref="N7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5.6968724466762044E-2</v>
      </c>
      <c r="O70" s="6">
        <f>IF(curve_type="Mercado",tbl_Bonds[[#This Row],[FC]]/(1+tbl_Bonds[[#This Row],[Real Mercado]])^(tbl_Bonds[[#This Row],[DU]]/252),tbl_Bonds[[#This Row],[FC]]/(1+tbl_Bonds[[#This Row],[Real Simulada]])^(tbl_Bonds[[#This Row],[DU]]/252))</f>
        <v>2.2568024049985532E-2</v>
      </c>
      <c r="P70" s="7">
        <f>tbl_Bonds[[#This Row],[Cotação]]*VNA</f>
        <v>89.263402570664766</v>
      </c>
      <c r="Q70" s="18">
        <f>tbl_Bonds[[#This Row],[Cotação]]%%*VNA</f>
        <v>8.9263402570664754E-3</v>
      </c>
      <c r="R7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-4.1153722672892003E-2</v>
      </c>
      <c r="S7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-3.8954041250868057E-2</v>
      </c>
      <c r="T7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4.1172737498865408E-2</v>
      </c>
      <c r="U70" s="18">
        <f>IF(curve_type="Mercado",tbl_Bonds[[#This Row],[VP Cupom]]*LN(1+tbl_Bonds[[#This Row],[Real Mercado]])/252,tbl_Bonds[[#This Row],[VP Cupom]]*LN(1+tbl_Bonds[[#This Row],[Real Simulada]])/252)</f>
        <v>1.9625592487311244E-2</v>
      </c>
      <c r="V70" s="18">
        <f>SUMIF(Dashboard!$B$28:$B$42,tbl_Bonds[[#This Row],[Bond]],Dashboard!$C$28:$C$42)</f>
        <v>13910</v>
      </c>
      <c r="W70" s="18">
        <f>tbl_Bonds[[#This Row],[Quantidade]]*tbl_Bonds[[#This Row],[𝛿P/𝛿VNA]]</f>
        <v>124.16539297579467</v>
      </c>
      <c r="X70" s="18">
        <f>+tbl_Bonds[[#This Row],[Quantidade]]*tbl_Bonds[[#This Row],[𝛿P/𝛿r_real]]</f>
        <v>-572.44828237992772</v>
      </c>
      <c r="Y70" s="18">
        <f>tbl_Bonds[[#This Row],[Quantidade]]*tbl_Bonds[[#This Row],[𝛿P/𝛿r_pre]]</f>
        <v>-541.85071379957469</v>
      </c>
      <c r="Z70" s="18">
        <f>tbl_Bonds[[#This Row],[Quantidade]]*tbl_Bonds[[#This Row],[𝛿P/𝛿r_implicita]]</f>
        <v>572.71277860921782</v>
      </c>
      <c r="AA70" s="18">
        <f>tbl_Bonds[[#This Row],[Quantidade]]*tbl_Bonds[[#This Row],[𝛿P/𝛿du]]</f>
        <v>272.99199149849943</v>
      </c>
    </row>
    <row r="71" spans="1:27">
      <c r="A71" s="2" t="s">
        <v>83</v>
      </c>
      <c r="B71" s="3">
        <v>48442</v>
      </c>
      <c r="C71" s="3">
        <v>46798</v>
      </c>
      <c r="D71" s="4">
        <f>NETWORKDAYS(Dashboard!$C$10,bonds!C71,feriados)-1</f>
        <v>1355</v>
      </c>
      <c r="E71" s="2">
        <f>IF(tbl_Bonds[[#This Row],[Coupon]]&lt;tbl_Bonds[[#This Row],[Maturity]],SQRT(1.06)-1,SQRT(1.06))</f>
        <v>2.9563014098699991E-2</v>
      </c>
      <c r="F71" s="5" cm="1">
        <f t="array" ref="F71">Svensson(betas_pre,tbl_Bonds[[#This Row],[DU]])</f>
        <v>0.11703860353993888</v>
      </c>
      <c r="G71" s="49">
        <f>IF(curve_type="Simulada",_xlfn.XLOOKUP(tbl_Bonds[[#This Row],[Coupon]],Simulador!$B$5:$B$147,Simulador!$H$5:$H$147),0)</f>
        <v>0</v>
      </c>
      <c r="H71" s="5" cm="1">
        <f t="array" ref="H7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0.11703860353993888</v>
      </c>
      <c r="I71" s="5" cm="1">
        <f t="array" ref="I71">Interpola_FF(tbl_Bonds[[#This Row],[DU]],dus_svensson,svensson_implicita)</f>
        <v>5.7054164176732813E-2</v>
      </c>
      <c r="J71" s="49">
        <f>IF(curve_type="Simulada",_xlfn.XLOOKUP(tbl_Bonds[[#This Row],[Coupon]],Simulador!$B$5:$B$147,Simulador!$N$5:$N$147),0)</f>
        <v>0</v>
      </c>
      <c r="K71" s="5" cm="1">
        <f t="array" ref="K7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5.7054164176732813E-2</v>
      </c>
      <c r="L71" s="5" cm="1">
        <f t="array" ref="L71">Interpola_FF(tbl_Bonds[[#This Row],[DU]],dus_svensson,svensson_real_spot)</f>
        <v>5.675390529669766E-2</v>
      </c>
      <c r="M71" s="49">
        <f>IF(curve_type="Simulada",_xlfn.XLOOKUP(tbl_Bonds[[#This Row],[Coupon]],Simulador!$B$5:$B$147,Simulador!$K$5:$K$147),0)</f>
        <v>0</v>
      </c>
      <c r="N71" s="5" cm="1">
        <f t="array" ref="N7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5.675390529669766E-2</v>
      </c>
      <c r="O71" s="6">
        <f>IF(curve_type="Mercado",tbl_Bonds[[#This Row],[FC]]/(1+tbl_Bonds[[#This Row],[Real Mercado]])^(tbl_Bonds[[#This Row],[DU]]/252),tbl_Bonds[[#This Row],[FC]]/(1+tbl_Bonds[[#This Row],[Real Simulada]])^(tbl_Bonds[[#This Row],[DU]]/252))</f>
        <v>2.1970585865922678E-2</v>
      </c>
      <c r="P71" s="7">
        <f>tbl_Bonds[[#This Row],[Cotação]]*VNA</f>
        <v>86.900352752170633</v>
      </c>
      <c r="Q71" s="18">
        <f>tbl_Bonds[[#This Row],[Cotação]]%%*VNA</f>
        <v>8.6900352752170631E-3</v>
      </c>
      <c r="R7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-4.4216710724769265E-2</v>
      </c>
      <c r="S7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-4.1831921789729297E-2</v>
      </c>
      <c r="T7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4.4205749414727782E-2</v>
      </c>
      <c r="U71" s="18">
        <f>IF(curve_type="Mercado",tbl_Bonds[[#This Row],[VP Cupom]]*LN(1+tbl_Bonds[[#This Row],[Real Mercado]])/252,tbl_Bonds[[#This Row],[VP Cupom]]*LN(1+tbl_Bonds[[#This Row],[Real Simulada]])/252)</f>
        <v>1.9035955403400421E-2</v>
      </c>
      <c r="V71" s="18">
        <f>SUMIF(Dashboard!$B$28:$B$42,tbl_Bonds[[#This Row],[Bond]],Dashboard!$C$28:$C$42)</f>
        <v>13910</v>
      </c>
      <c r="W71" s="18">
        <f>tbl_Bonds[[#This Row],[Quantidade]]*tbl_Bonds[[#This Row],[𝛿P/𝛿VNA]]</f>
        <v>120.87839067826935</v>
      </c>
      <c r="X71" s="18">
        <f>+tbl_Bonds[[#This Row],[Quantidade]]*tbl_Bonds[[#This Row],[𝛿P/𝛿r_real]]</f>
        <v>-615.05444618154047</v>
      </c>
      <c r="Y71" s="18">
        <f>tbl_Bonds[[#This Row],[Quantidade]]*tbl_Bonds[[#This Row],[𝛿P/𝛿r_pre]]</f>
        <v>-581.88203209513449</v>
      </c>
      <c r="Z71" s="18">
        <f>tbl_Bonds[[#This Row],[Quantidade]]*tbl_Bonds[[#This Row],[𝛿P/𝛿r_implicita]]</f>
        <v>614.90197435886341</v>
      </c>
      <c r="AA71" s="18">
        <f>tbl_Bonds[[#This Row],[Quantidade]]*tbl_Bonds[[#This Row],[𝛿P/𝛿du]]</f>
        <v>264.79013966129986</v>
      </c>
    </row>
    <row r="72" spans="1:27">
      <c r="A72" s="2" t="s">
        <v>83</v>
      </c>
      <c r="B72" s="3">
        <v>48442</v>
      </c>
      <c r="C72" s="3">
        <v>46980</v>
      </c>
      <c r="D72" s="4">
        <f>NETWORKDAYS(Dashboard!$C$10,bonds!C72,feriados)-1</f>
        <v>1479</v>
      </c>
      <c r="E72" s="2">
        <f>IF(tbl_Bonds[[#This Row],[Coupon]]&lt;tbl_Bonds[[#This Row],[Maturity]],SQRT(1.06)-1,SQRT(1.06))</f>
        <v>2.9563014098699991E-2</v>
      </c>
      <c r="F72" s="5" cm="1">
        <f t="array" ref="F72">Svensson(betas_pre,tbl_Bonds[[#This Row],[DU]])</f>
        <v>0.11736890213289761</v>
      </c>
      <c r="G72" s="49">
        <f>IF(curve_type="Simulada",_xlfn.XLOOKUP(tbl_Bonds[[#This Row],[Coupon]],Simulador!$B$5:$B$147,Simulador!$H$5:$H$147),0)</f>
        <v>0</v>
      </c>
      <c r="H72" s="5" cm="1">
        <f t="array" ref="H7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0.11736890213289761</v>
      </c>
      <c r="I72" s="5" cm="1">
        <f t="array" ref="I72">Interpola_FF(tbl_Bonds[[#This Row],[DU]],dus_svensson,svensson_implicita)</f>
        <v>5.742304317837621E-2</v>
      </c>
      <c r="J72" s="49">
        <f>IF(curve_type="Simulada",_xlfn.XLOOKUP(tbl_Bonds[[#This Row],[Coupon]],Simulador!$B$5:$B$147,Simulador!$N$5:$N$147),0)</f>
        <v>0</v>
      </c>
      <c r="K72" s="5" cm="1">
        <f t="array" ref="K7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5.742304317837621E-2</v>
      </c>
      <c r="L72" s="5" cm="1">
        <f t="array" ref="L72">Interpola_FF(tbl_Bonds[[#This Row],[DU]],dus_svensson,svensson_real_spot)</f>
        <v>5.6694932019935917E-2</v>
      </c>
      <c r="M72" s="49">
        <f>IF(curve_type="Simulada",_xlfn.XLOOKUP(tbl_Bonds[[#This Row],[Coupon]],Simulador!$B$5:$B$147,Simulador!$K$5:$K$147),0)</f>
        <v>0</v>
      </c>
      <c r="N72" s="5" cm="1">
        <f t="array" ref="N7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5.6694932019935917E-2</v>
      </c>
      <c r="O72" s="6">
        <f>IF(curve_type="Mercado",tbl_Bonds[[#This Row],[FC]]/(1+tbl_Bonds[[#This Row],[Real Mercado]])^(tbl_Bonds[[#This Row],[DU]]/252),tbl_Bonds[[#This Row],[FC]]/(1+tbl_Bonds[[#This Row],[Real Simulada]])^(tbl_Bonds[[#This Row],[DU]]/252))</f>
        <v>2.1388839605212852E-2</v>
      </c>
      <c r="P72" s="7">
        <f>tbl_Bonds[[#This Row],[Cotação]]*VNA</f>
        <v>84.599369265592273</v>
      </c>
      <c r="Q72" s="18">
        <f>tbl_Bonds[[#This Row],[Cotação]]%%*VNA</f>
        <v>8.4599369265592264E-3</v>
      </c>
      <c r="R7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-4.6987802412568697E-2</v>
      </c>
      <c r="S7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-4.4437419153390778E-2</v>
      </c>
      <c r="T7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4.6956599417200047E-2</v>
      </c>
      <c r="U72" s="18">
        <f>IF(curve_type="Mercado",tbl_Bonds[[#This Row],[VP Cupom]]*LN(1+tbl_Bonds[[#This Row],[Real Mercado]])/252,tbl_Bonds[[#This Row],[VP Cupom]]*LN(1+tbl_Bonds[[#This Row],[Real Simulada]])/252)</f>
        <v>1.851317822575797E-2</v>
      </c>
      <c r="V72" s="18">
        <f>SUMIF(Dashboard!$B$28:$B$42,tbl_Bonds[[#This Row],[Bond]],Dashboard!$C$28:$C$42)</f>
        <v>13910</v>
      </c>
      <c r="W72" s="18">
        <f>tbl_Bonds[[#This Row],[Quantidade]]*tbl_Bonds[[#This Row],[𝛿P/𝛿VNA]]</f>
        <v>117.67772264843884</v>
      </c>
      <c r="X72" s="18">
        <f>+tbl_Bonds[[#This Row],[Quantidade]]*tbl_Bonds[[#This Row],[𝛿P/𝛿r_real]]</f>
        <v>-653.60033155883059</v>
      </c>
      <c r="Y72" s="18">
        <f>tbl_Bonds[[#This Row],[Quantidade]]*tbl_Bonds[[#This Row],[𝛿P/𝛿r_pre]]</f>
        <v>-618.12450042366572</v>
      </c>
      <c r="Z72" s="18">
        <f>tbl_Bonds[[#This Row],[Quantidade]]*tbl_Bonds[[#This Row],[𝛿P/𝛿r_implicita]]</f>
        <v>653.1662978932527</v>
      </c>
      <c r="AA72" s="18">
        <f>tbl_Bonds[[#This Row],[Quantidade]]*tbl_Bonds[[#This Row],[𝛿P/𝛿du]]</f>
        <v>257.51830912029334</v>
      </c>
    </row>
    <row r="73" spans="1:27">
      <c r="A73" s="2" t="s">
        <v>83</v>
      </c>
      <c r="B73" s="3">
        <v>48442</v>
      </c>
      <c r="C73" s="3">
        <v>47164</v>
      </c>
      <c r="D73" s="4">
        <f>NETWORKDAYS(Dashboard!$C$10,bonds!C73,feriados)-1</f>
        <v>1603</v>
      </c>
      <c r="E73" s="2">
        <f>IF(tbl_Bonds[[#This Row],[Coupon]]&lt;tbl_Bonds[[#This Row],[Maturity]],SQRT(1.06)-1,SQRT(1.06))</f>
        <v>2.9563014098699991E-2</v>
      </c>
      <c r="F73" s="5" cm="1">
        <f t="array" ref="F73">Svensson(betas_pre,tbl_Bonds[[#This Row],[DU]])</f>
        <v>0.11768880617970637</v>
      </c>
      <c r="G73" s="49">
        <f>IF(curve_type="Simulada",_xlfn.XLOOKUP(tbl_Bonds[[#This Row],[Coupon]],Simulador!$B$5:$B$147,Simulador!$H$5:$H$147),0)</f>
        <v>0</v>
      </c>
      <c r="H73" s="5" cm="1">
        <f t="array" ref="H7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0.11768880617970637</v>
      </c>
      <c r="I73" s="5" cm="1">
        <f t="array" ref="I73">Interpola_FF(tbl_Bonds[[#This Row],[DU]],dus_svensson,svensson_implicita)</f>
        <v>5.7683163424037343E-2</v>
      </c>
      <c r="J73" s="49">
        <f>IF(curve_type="Simulada",_xlfn.XLOOKUP(tbl_Bonds[[#This Row],[Coupon]],Simulador!$B$5:$B$147,Simulador!$N$5:$N$147),0)</f>
        <v>0</v>
      </c>
      <c r="K73" s="5" cm="1">
        <f t="array" ref="K7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5.7683163424037343E-2</v>
      </c>
      <c r="L73" s="5" cm="1">
        <f t="array" ref="L73">Interpola_FF(tbl_Bonds[[#This Row],[DU]],dus_svensson,svensson_real_spot)</f>
        <v>5.6735781893983983E-2</v>
      </c>
      <c r="M73" s="49">
        <f>IF(curve_type="Simulada",_xlfn.XLOOKUP(tbl_Bonds[[#This Row],[Coupon]],Simulador!$B$5:$B$147,Simulador!$K$5:$K$147),0)</f>
        <v>0</v>
      </c>
      <c r="N73" s="5" cm="1">
        <f t="array" ref="N7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5.6735781893983983E-2</v>
      </c>
      <c r="O73" s="6">
        <f>IF(curve_type="Mercado",tbl_Bonds[[#This Row],[FC]]/(1+tbl_Bonds[[#This Row],[Real Mercado]])^(tbl_Bonds[[#This Row],[DU]]/252),tbl_Bonds[[#This Row],[FC]]/(1+tbl_Bonds[[#This Row],[Real Simulada]])^(tbl_Bonds[[#This Row],[DU]]/252))</f>
        <v>2.0811131483075736E-2</v>
      </c>
      <c r="P73" s="7">
        <f>tbl_Bonds[[#This Row],[Cotação]]*VNA</f>
        <v>82.314357845875122</v>
      </c>
      <c r="Q73" s="18">
        <f>tbl_Bonds[[#This Row],[Cotação]]%%*VNA</f>
        <v>8.2314357845875118E-3</v>
      </c>
      <c r="R7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-4.9549829320523861E-2</v>
      </c>
      <c r="S7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-4.6848392175617516E-2</v>
      </c>
      <c r="T7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4.9506246608571704E-2</v>
      </c>
      <c r="U73" s="18">
        <f>IF(curve_type="Mercado",tbl_Bonds[[#This Row],[VP Cupom]]*LN(1+tbl_Bonds[[#This Row],[Real Mercado]])/252,tbl_Bonds[[#This Row],[VP Cupom]]*LN(1+tbl_Bonds[[#This Row],[Real Simulada]])/252)</f>
        <v>1.8025768341404708E-2</v>
      </c>
      <c r="V73" s="18">
        <f>SUMIF(Dashboard!$B$28:$B$42,tbl_Bonds[[#This Row],[Bond]],Dashboard!$C$28:$C$42)</f>
        <v>13910</v>
      </c>
      <c r="W73" s="18">
        <f>tbl_Bonds[[#This Row],[Quantidade]]*tbl_Bonds[[#This Row],[𝛿P/𝛿VNA]]</f>
        <v>114.49927176361228</v>
      </c>
      <c r="X73" s="18">
        <f>+tbl_Bonds[[#This Row],[Quantidade]]*tbl_Bonds[[#This Row],[𝛿P/𝛿r_real]]</f>
        <v>-689.2381258484869</v>
      </c>
      <c r="Y73" s="18">
        <f>tbl_Bonds[[#This Row],[Quantidade]]*tbl_Bonds[[#This Row],[𝛿P/𝛿r_pre]]</f>
        <v>-651.66113516283963</v>
      </c>
      <c r="Z73" s="18">
        <f>tbl_Bonds[[#This Row],[Quantidade]]*tbl_Bonds[[#This Row],[𝛿P/𝛿r_implicita]]</f>
        <v>688.63189032523235</v>
      </c>
      <c r="AA73" s="18">
        <f>tbl_Bonds[[#This Row],[Quantidade]]*tbl_Bonds[[#This Row],[𝛿P/𝛿du]]</f>
        <v>250.73843762893949</v>
      </c>
    </row>
    <row r="74" spans="1:27">
      <c r="A74" s="2" t="s">
        <v>83</v>
      </c>
      <c r="B74" s="3">
        <v>48442</v>
      </c>
      <c r="C74" s="3">
        <v>47345</v>
      </c>
      <c r="D74" s="4">
        <f>NETWORKDAYS(Dashboard!$C$10,bonds!C74,feriados)-1</f>
        <v>1729</v>
      </c>
      <c r="E74" s="2">
        <f>IF(tbl_Bonds[[#This Row],[Coupon]]&lt;tbl_Bonds[[#This Row],[Maturity]],SQRT(1.06)-1,SQRT(1.06))</f>
        <v>2.9563014098699991E-2</v>
      </c>
      <c r="F74" s="5" cm="1">
        <f t="array" ref="F74">Svensson(betas_pre,tbl_Bonds[[#This Row],[DU]])</f>
        <v>0.11799146123194351</v>
      </c>
      <c r="G74" s="49">
        <f>IF(curve_type="Simulada",_xlfn.XLOOKUP(tbl_Bonds[[#This Row],[Coupon]],Simulador!$B$5:$B$147,Simulador!$H$5:$H$147),0)</f>
        <v>0</v>
      </c>
      <c r="H74" s="5" cm="1">
        <f t="array" ref="H7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0.11799146123194351</v>
      </c>
      <c r="I74" s="5" cm="1">
        <f t="array" ref="I74">Interpola_FF(tbl_Bonds[[#This Row],[DU]],dus_svensson,svensson_implicita)</f>
        <v>5.7860887908244507E-2</v>
      </c>
      <c r="J74" s="49">
        <f>IF(curve_type="Simulada",_xlfn.XLOOKUP(tbl_Bonds[[#This Row],[Coupon]],Simulador!$B$5:$B$147,Simulador!$N$5:$N$147),0)</f>
        <v>0</v>
      </c>
      <c r="K74" s="5" cm="1">
        <f t="array" ref="K7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5.7860887908244507E-2</v>
      </c>
      <c r="L74" s="5" cm="1">
        <f t="array" ref="L74">Interpola_FF(tbl_Bonds[[#This Row],[DU]],dus_svensson,svensson_real_spot)</f>
        <v>5.6843208866909523E-2</v>
      </c>
      <c r="M74" s="49">
        <f>IF(curve_type="Simulada",_xlfn.XLOOKUP(tbl_Bonds[[#This Row],[Coupon]],Simulador!$B$5:$B$147,Simulador!$K$5:$K$147),0)</f>
        <v>0</v>
      </c>
      <c r="N74" s="5" cm="1">
        <f t="array" ref="N7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5.6843208866909523E-2</v>
      </c>
      <c r="O74" s="6">
        <f>IF(curve_type="Mercado",tbl_Bonds[[#This Row],[FC]]/(1+tbl_Bonds[[#This Row],[Real Mercado]])^(tbl_Bonds[[#This Row],[DU]]/252),tbl_Bonds[[#This Row],[FC]]/(1+tbl_Bonds[[#This Row],[Real Simulada]])^(tbl_Bonds[[#This Row],[DU]]/252))</f>
        <v>2.0230638204419435E-2</v>
      </c>
      <c r="P74" s="7">
        <f>tbl_Bonds[[#This Row],[Cotação]]*VNA</f>
        <v>80.018330284601063</v>
      </c>
      <c r="Q74" s="18">
        <f>tbl_Bonds[[#This Row],[Cotação]]%%*VNA</f>
        <v>8.0018330284601074E-3</v>
      </c>
      <c r="R7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-5.1948543587355685E-2</v>
      </c>
      <c r="S7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-4.910772396550566E-2</v>
      </c>
      <c r="T7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5.1899088719057192E-2</v>
      </c>
      <c r="U74" s="18">
        <f>IF(curve_type="Mercado",tbl_Bonds[[#This Row],[VP Cupom]]*LN(1+tbl_Bonds[[#This Row],[Real Mercado]])/252,tbl_Bonds[[#This Row],[VP Cupom]]*LN(1+tbl_Bonds[[#This Row],[Real Simulada]])/252)</f>
        <v>1.7555246853020717E-2</v>
      </c>
      <c r="V74" s="18">
        <f>SUMIF(Dashboard!$B$28:$B$42,tbl_Bonds[[#This Row],[Bond]],Dashboard!$C$28:$C$42)</f>
        <v>13910</v>
      </c>
      <c r="W74" s="18">
        <f>tbl_Bonds[[#This Row],[Quantidade]]*tbl_Bonds[[#This Row],[𝛿P/𝛿VNA]]</f>
        <v>111.30549742588009</v>
      </c>
      <c r="X74" s="18">
        <f>+tbl_Bonds[[#This Row],[Quantidade]]*tbl_Bonds[[#This Row],[𝛿P/𝛿r_real]]</f>
        <v>-722.60424130011756</v>
      </c>
      <c r="Y74" s="18">
        <f>tbl_Bonds[[#This Row],[Quantidade]]*tbl_Bonds[[#This Row],[𝛿P/𝛿r_pre]]</f>
        <v>-683.08844036018377</v>
      </c>
      <c r="Z74" s="18">
        <f>tbl_Bonds[[#This Row],[Quantidade]]*tbl_Bonds[[#This Row],[𝛿P/𝛿r_implicita]]</f>
        <v>721.91632408208557</v>
      </c>
      <c r="AA74" s="18">
        <f>tbl_Bonds[[#This Row],[Quantidade]]*tbl_Bonds[[#This Row],[𝛿P/𝛿du]]</f>
        <v>244.19348372551818</v>
      </c>
    </row>
    <row r="75" spans="1:27">
      <c r="A75" s="2" t="s">
        <v>83</v>
      </c>
      <c r="B75" s="3">
        <v>48442</v>
      </c>
      <c r="C75" s="3">
        <v>47529</v>
      </c>
      <c r="D75" s="4">
        <f>NETWORKDAYS(Dashboard!$C$10,bonds!C75,feriados)-1</f>
        <v>1855</v>
      </c>
      <c r="E75" s="2">
        <f>IF(tbl_Bonds[[#This Row],[Coupon]]&lt;tbl_Bonds[[#This Row],[Maturity]],SQRT(1.06)-1,SQRT(1.06))</f>
        <v>2.9563014098699991E-2</v>
      </c>
      <c r="F75" s="5" cm="1">
        <f t="array" ref="F75">Svensson(betas_pre,tbl_Bonds[[#This Row],[DU]])</f>
        <v>0.11826738921135904</v>
      </c>
      <c r="G75" s="49">
        <f>IF(curve_type="Simulada",_xlfn.XLOOKUP(tbl_Bonds[[#This Row],[Coupon]],Simulador!$B$5:$B$147,Simulador!$H$5:$H$147),0)</f>
        <v>0</v>
      </c>
      <c r="H75" s="5" cm="1">
        <f t="array" ref="H7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0.11826738921135904</v>
      </c>
      <c r="I75" s="5" cm="1">
        <f t="array" ref="I75">Interpola_FF(tbl_Bonds[[#This Row],[DU]],dus_svensson,svensson_implicita)</f>
        <v>5.7973532188232424E-2</v>
      </c>
      <c r="J75" s="49">
        <f>IF(curve_type="Simulada",_xlfn.XLOOKUP(tbl_Bonds[[#This Row],[Coupon]],Simulador!$B$5:$B$147,Simulador!$N$5:$N$147),0)</f>
        <v>0</v>
      </c>
      <c r="K75" s="5" cm="1">
        <f t="array" ref="K7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5.7973532188232424E-2</v>
      </c>
      <c r="L75" s="5" cm="1">
        <f t="array" ref="L75">Interpola_FF(tbl_Bonds[[#This Row],[DU]],dus_svensson,svensson_real_spot)</f>
        <v>5.699082751972151E-2</v>
      </c>
      <c r="M75" s="49">
        <f>IF(curve_type="Simulada",_xlfn.XLOOKUP(tbl_Bonds[[#This Row],[Coupon]],Simulador!$B$5:$B$147,Simulador!$K$5:$K$147),0)</f>
        <v>0</v>
      </c>
      <c r="N75" s="5" cm="1">
        <f t="array" ref="N7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5.699082751972151E-2</v>
      </c>
      <c r="O75" s="6">
        <f>IF(curve_type="Mercado",tbl_Bonds[[#This Row],[FC]]/(1+tbl_Bonds[[#This Row],[Real Mercado]])^(tbl_Bonds[[#This Row],[DU]]/252),tbl_Bonds[[#This Row],[FC]]/(1+tbl_Bonds[[#This Row],[Real Simulada]])^(tbl_Bonds[[#This Row],[DU]]/252))</f>
        <v>1.9658835840888039E-2</v>
      </c>
      <c r="P75" s="7">
        <f>tbl_Bonds[[#This Row],[Cotação]]*VNA</f>
        <v>77.756677937292736</v>
      </c>
      <c r="Q75" s="18">
        <f>tbl_Bonds[[#This Row],[Cotação]]%%*VNA</f>
        <v>7.7756677937292733E-3</v>
      </c>
      <c r="R7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-5.415142033639022E-2</v>
      </c>
      <c r="S7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-5.1184453352055591E-2</v>
      </c>
      <c r="T7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5.4101452708204559E-2</v>
      </c>
      <c r="U75" s="18">
        <f>IF(curve_type="Mercado",tbl_Bonds[[#This Row],[VP Cupom]]*LN(1+tbl_Bonds[[#This Row],[Real Mercado]])/252,tbl_Bonds[[#This Row],[VP Cupom]]*LN(1+tbl_Bonds[[#This Row],[Real Simulada]])/252)</f>
        <v>1.7102158281184266E-2</v>
      </c>
      <c r="V75" s="18">
        <f>SUMIF(Dashboard!$B$28:$B$42,tbl_Bonds[[#This Row],[Bond]],Dashboard!$C$28:$C$42)</f>
        <v>13910</v>
      </c>
      <c r="W75" s="18">
        <f>tbl_Bonds[[#This Row],[Quantidade]]*tbl_Bonds[[#This Row],[𝛿P/𝛿VNA]]</f>
        <v>108.1595390107742</v>
      </c>
      <c r="X75" s="18">
        <f>+tbl_Bonds[[#This Row],[Quantidade]]*tbl_Bonds[[#This Row],[𝛿P/𝛿r_real]]</f>
        <v>-753.24625687918797</v>
      </c>
      <c r="Y75" s="18">
        <f>tbl_Bonds[[#This Row],[Quantidade]]*tbl_Bonds[[#This Row],[𝛿P/𝛿r_pre]]</f>
        <v>-711.97574612709332</v>
      </c>
      <c r="Z75" s="18">
        <f>tbl_Bonds[[#This Row],[Quantidade]]*tbl_Bonds[[#This Row],[𝛿P/𝛿r_implicita]]</f>
        <v>752.55120717112538</v>
      </c>
      <c r="AA75" s="18">
        <f>tbl_Bonds[[#This Row],[Quantidade]]*tbl_Bonds[[#This Row],[𝛿P/𝛿du]]</f>
        <v>237.89102169127315</v>
      </c>
    </row>
    <row r="76" spans="1:27">
      <c r="A76" s="2" t="s">
        <v>83</v>
      </c>
      <c r="B76" s="3">
        <v>48442</v>
      </c>
      <c r="C76" s="3">
        <v>47710</v>
      </c>
      <c r="D76" s="4">
        <f>NETWORKDAYS(Dashboard!$C$10,bonds!C76,feriados)-1</f>
        <v>1979</v>
      </c>
      <c r="E76" s="2">
        <f>IF(tbl_Bonds[[#This Row],[Coupon]]&lt;tbl_Bonds[[#This Row],[Maturity]],SQRT(1.06)-1,SQRT(1.06))</f>
        <v>2.9563014098699991E-2</v>
      </c>
      <c r="F76" s="5" cm="1">
        <f t="array" ref="F76">Svensson(betas_pre,tbl_Bonds[[#This Row],[DU]])</f>
        <v>0.11851270064571921</v>
      </c>
      <c r="G76" s="49">
        <f>IF(curve_type="Simulada",_xlfn.XLOOKUP(tbl_Bonds[[#This Row],[Coupon]],Simulador!$B$5:$B$147,Simulador!$H$5:$H$147),0)</f>
        <v>0</v>
      </c>
      <c r="H76" s="5" cm="1">
        <f t="array" ref="H7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0.11851270064571921</v>
      </c>
      <c r="I76" s="5" cm="1">
        <f t="array" ref="I76">Interpola_FF(tbl_Bonds[[#This Row],[DU]],dus_svensson,svensson_implicita)</f>
        <v>5.8039061744824538E-2</v>
      </c>
      <c r="J76" s="49">
        <f>IF(curve_type="Simulada",_xlfn.XLOOKUP(tbl_Bonds[[#This Row],[Coupon]],Simulador!$B$5:$B$147,Simulador!$N$5:$N$147),0)</f>
        <v>0</v>
      </c>
      <c r="K76" s="5" cm="1">
        <f t="array" ref="K7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5.8039061744824538E-2</v>
      </c>
      <c r="L76" s="5" cm="1">
        <f t="array" ref="L76">Interpola_FF(tbl_Bonds[[#This Row],[DU]],dus_svensson,svensson_real_spot)</f>
        <v>5.7156852715572137E-2</v>
      </c>
      <c r="M76" s="49">
        <f>IF(curve_type="Simulada",_xlfn.XLOOKUP(tbl_Bonds[[#This Row],[Coupon]],Simulador!$B$5:$B$147,Simulador!$K$5:$K$147),0)</f>
        <v>0</v>
      </c>
      <c r="N76" s="5" cm="1">
        <f t="array" ref="N7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5.7156852715572137E-2</v>
      </c>
      <c r="O76" s="6">
        <f>IF(curve_type="Mercado",tbl_Bonds[[#This Row],[FC]]/(1+tbl_Bonds[[#This Row],[Real Mercado]])^(tbl_Bonds[[#This Row],[DU]]/252),tbl_Bonds[[#This Row],[FC]]/(1+tbl_Bonds[[#This Row],[Real Simulada]])^(tbl_Bonds[[#This Row],[DU]]/252))</f>
        <v>1.9106342435482381E-2</v>
      </c>
      <c r="P76" s="7">
        <f>tbl_Bonds[[#This Row],[Cotação]]*VNA</f>
        <v>75.571398395090441</v>
      </c>
      <c r="Q76" s="18">
        <f>tbl_Bonds[[#This Row],[Cotação]]%%*VNA</f>
        <v>7.5571398395090448E-3</v>
      </c>
      <c r="R7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-5.6138820372608284E-2</v>
      </c>
      <c r="S7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-5.3059536354545626E-2</v>
      </c>
      <c r="T7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5.6092225182179427E-2</v>
      </c>
      <c r="U76" s="18">
        <f>IF(curve_type="Mercado",tbl_Bonds[[#This Row],[VP Cupom]]*LN(1+tbl_Bonds[[#This Row],[Real Mercado]])/252,tbl_Bonds[[#This Row],[VP Cupom]]*LN(1+tbl_Bonds[[#This Row],[Real Simulada]])/252)</f>
        <v>1.6668618443149198E-2</v>
      </c>
      <c r="V76" s="18">
        <f>SUMIF(Dashboard!$B$28:$B$42,tbl_Bonds[[#This Row],[Bond]],Dashboard!$C$28:$C$42)</f>
        <v>13910</v>
      </c>
      <c r="W76" s="18">
        <f>tbl_Bonds[[#This Row],[Quantidade]]*tbl_Bonds[[#This Row],[𝛿P/𝛿VNA]]</f>
        <v>105.11981516757081</v>
      </c>
      <c r="X76" s="18">
        <f>+tbl_Bonds[[#This Row],[Quantidade]]*tbl_Bonds[[#This Row],[𝛿P/𝛿r_real]]</f>
        <v>-780.89099138298127</v>
      </c>
      <c r="Y76" s="18">
        <f>tbl_Bonds[[#This Row],[Quantidade]]*tbl_Bonds[[#This Row],[𝛿P/𝛿r_pre]]</f>
        <v>-738.05815069172968</v>
      </c>
      <c r="Z76" s="18">
        <f>tbl_Bonds[[#This Row],[Quantidade]]*tbl_Bonds[[#This Row],[𝛿P/𝛿r_implicita]]</f>
        <v>780.24285228411588</v>
      </c>
      <c r="AA76" s="18">
        <f>tbl_Bonds[[#This Row],[Quantidade]]*tbl_Bonds[[#This Row],[𝛿P/𝛿du]]</f>
        <v>231.86048254420533</v>
      </c>
    </row>
    <row r="77" spans="1:27">
      <c r="A77" s="2" t="s">
        <v>83</v>
      </c>
      <c r="B77" s="3">
        <v>48442</v>
      </c>
      <c r="C77" s="3">
        <v>47896</v>
      </c>
      <c r="D77" s="4">
        <f>NETWORKDAYS(Dashboard!$C$10,bonds!C77,feriados)-1</f>
        <v>2108</v>
      </c>
      <c r="E77" s="2">
        <f>IF(tbl_Bonds[[#This Row],[Coupon]]&lt;tbl_Bonds[[#This Row],[Maturity]],SQRT(1.06)-1,SQRT(1.06))</f>
        <v>2.9563014098699991E-2</v>
      </c>
      <c r="F77" s="5" cm="1">
        <f t="array" ref="F77">Svensson(betas_pre,tbl_Bonds[[#This Row],[DU]])</f>
        <v>0.1187420783777112</v>
      </c>
      <c r="G77" s="49">
        <f>IF(curve_type="Simulada",_xlfn.XLOOKUP(tbl_Bonds[[#This Row],[Coupon]],Simulador!$B$5:$B$147,Simulador!$H$5:$H$147),0)</f>
        <v>0</v>
      </c>
      <c r="H77" s="5" cm="1">
        <f t="array" ref="H7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0.1187420783777112</v>
      </c>
      <c r="I77" s="5" cm="1">
        <f t="array" ref="I77">Interpola_FF(tbl_Bonds[[#This Row],[DU]],dus_svensson,svensson_implicita)</f>
        <v>5.8075178529090499E-2</v>
      </c>
      <c r="J77" s="49">
        <f>IF(curve_type="Simulada",_xlfn.XLOOKUP(tbl_Bonds[[#This Row],[Coupon]],Simulador!$B$5:$B$147,Simulador!$N$5:$N$147),0)</f>
        <v>0</v>
      </c>
      <c r="K77" s="5" cm="1">
        <f t="array" ref="K7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5.8075178529090499E-2</v>
      </c>
      <c r="L77" s="5" cm="1">
        <f t="array" ref="L77">Interpola_FF(tbl_Bonds[[#This Row],[DU]],dus_svensson,svensson_real_spot)</f>
        <v>5.7337312092009096E-2</v>
      </c>
      <c r="M77" s="49">
        <f>IF(curve_type="Simulada",_xlfn.XLOOKUP(tbl_Bonds[[#This Row],[Coupon]],Simulador!$B$5:$B$147,Simulador!$K$5:$K$147),0)</f>
        <v>0</v>
      </c>
      <c r="N77" s="5" cm="1">
        <f t="array" ref="N7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5.7337312092009096E-2</v>
      </c>
      <c r="O77" s="6">
        <f>IF(curve_type="Mercado",tbl_Bonds[[#This Row],[FC]]/(1+tbl_Bonds[[#This Row],[Real Mercado]])^(tbl_Bonds[[#This Row],[DU]]/252),tbl_Bonds[[#This Row],[FC]]/(1+tbl_Bonds[[#This Row],[Real Simulada]])^(tbl_Bonds[[#This Row],[DU]]/252))</f>
        <v>1.8543870024465087E-2</v>
      </c>
      <c r="P77" s="7">
        <f>tbl_Bonds[[#This Row],[Cotação]]*VNA</f>
        <v>73.346648849081291</v>
      </c>
      <c r="Q77" s="18">
        <f>tbl_Bonds[[#This Row],[Cotação]]%%*VNA</f>
        <v>7.3346648849081288E-3</v>
      </c>
      <c r="R7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-5.8027890604865094E-2</v>
      </c>
      <c r="S7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-5.4843012232040744E-2</v>
      </c>
      <c r="T7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5.7987548270683316E-2</v>
      </c>
      <c r="U77" s="18">
        <f>IF(curve_type="Mercado",tbl_Bonds[[#This Row],[VP Cupom]]*LN(1+tbl_Bonds[[#This Row],[Real Mercado]])/252,tbl_Bonds[[#This Row],[VP Cupom]]*LN(1+tbl_Bonds[[#This Row],[Real Simulada]])/252)</f>
        <v>1.622759041684927E-2</v>
      </c>
      <c r="V77" s="18">
        <f>SUMIF(Dashboard!$B$28:$B$42,tbl_Bonds[[#This Row],[Bond]],Dashboard!$C$28:$C$42)</f>
        <v>13910</v>
      </c>
      <c r="W77" s="18">
        <f>tbl_Bonds[[#This Row],[Quantidade]]*tbl_Bonds[[#This Row],[𝛿P/𝛿VNA]]</f>
        <v>102.02518854907207</v>
      </c>
      <c r="X77" s="18">
        <f>+tbl_Bonds[[#This Row],[Quantidade]]*tbl_Bonds[[#This Row],[𝛿P/𝛿r_real]]</f>
        <v>-807.16795831367347</v>
      </c>
      <c r="Y77" s="18">
        <f>tbl_Bonds[[#This Row],[Quantidade]]*tbl_Bonds[[#This Row],[𝛿P/𝛿r_pre]]</f>
        <v>-762.86630014768673</v>
      </c>
      <c r="Z77" s="18">
        <f>tbl_Bonds[[#This Row],[Quantidade]]*tbl_Bonds[[#This Row],[𝛿P/𝛿r_implicita]]</f>
        <v>806.60679644520496</v>
      </c>
      <c r="AA77" s="18">
        <f>tbl_Bonds[[#This Row],[Quantidade]]*tbl_Bonds[[#This Row],[𝛿P/𝛿du]]</f>
        <v>225.72578269837337</v>
      </c>
    </row>
    <row r="78" spans="1:27">
      <c r="A78" s="2" t="s">
        <v>83</v>
      </c>
      <c r="B78" s="3">
        <v>48442</v>
      </c>
      <c r="C78" s="3">
        <v>48075</v>
      </c>
      <c r="D78" s="4">
        <f>NETWORKDAYS(Dashboard!$C$10,bonds!C78,feriados)-1</f>
        <v>2231</v>
      </c>
      <c r="E78" s="2">
        <f>IF(tbl_Bonds[[#This Row],[Coupon]]&lt;tbl_Bonds[[#This Row],[Maturity]],SQRT(1.06)-1,SQRT(1.06))</f>
        <v>2.9563014098699991E-2</v>
      </c>
      <c r="F78" s="5" cm="1">
        <f t="array" ref="F78">Svensson(betas_pre,tbl_Bonds[[#This Row],[DU]])</f>
        <v>0.11893865889866469</v>
      </c>
      <c r="G78" s="49">
        <f>IF(curve_type="Simulada",_xlfn.XLOOKUP(tbl_Bonds[[#This Row],[Coupon]],Simulador!$B$5:$B$147,Simulador!$H$5:$H$147),0)</f>
        <v>0</v>
      </c>
      <c r="H78" s="5" cm="1">
        <f t="array" ref="H7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0.11893865889866469</v>
      </c>
      <c r="I78" s="5" cm="1">
        <f t="array" ref="I78">Interpola_FF(tbl_Bonds[[#This Row],[DU]],dus_svensson,svensson_implicita)</f>
        <v>5.8089895028151872E-2</v>
      </c>
      <c r="J78" s="49">
        <f>IF(curve_type="Simulada",_xlfn.XLOOKUP(tbl_Bonds[[#This Row],[Coupon]],Simulador!$B$5:$B$147,Simulador!$N$5:$N$147),0)</f>
        <v>0</v>
      </c>
      <c r="K78" s="5" cm="1">
        <f t="array" ref="K7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5.8089895028151872E-2</v>
      </c>
      <c r="L78" s="5" cm="1">
        <f t="array" ref="L78">Interpola_FF(tbl_Bonds[[#This Row],[DU]],dus_svensson,svensson_real_spot)</f>
        <v>5.7508281745383361E-2</v>
      </c>
      <c r="M78" s="49">
        <f>IF(curve_type="Simulada",_xlfn.XLOOKUP(tbl_Bonds[[#This Row],[Coupon]],Simulador!$B$5:$B$147,Simulador!$K$5:$K$147),0)</f>
        <v>0</v>
      </c>
      <c r="N78" s="5" cm="1">
        <f t="array" ref="N7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5.7508281745383361E-2</v>
      </c>
      <c r="O78" s="6">
        <f>IF(curve_type="Mercado",tbl_Bonds[[#This Row],[FC]]/(1+tbl_Bonds[[#This Row],[Real Mercado]])^(tbl_Bonds[[#This Row],[DU]]/252),tbl_Bonds[[#This Row],[FC]]/(1+tbl_Bonds[[#This Row],[Real Simulada]])^(tbl_Bonds[[#This Row],[DU]]/252))</f>
        <v>1.8020224244759638E-2</v>
      </c>
      <c r="P78" s="7">
        <f>tbl_Bonds[[#This Row],[Cotação]]*VNA</f>
        <v>71.275470444859977</v>
      </c>
      <c r="Q78" s="18">
        <f>tbl_Bonds[[#This Row],[Cotação]]%%*VNA</f>
        <v>7.1275470444859971E-3</v>
      </c>
      <c r="R7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-5.9669904781292853E-2</v>
      </c>
      <c r="S7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-5.6394067551843036E-2</v>
      </c>
      <c r="T7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5.963718452733266E-2</v>
      </c>
      <c r="U78" s="18">
        <f>IF(curve_type="Mercado",tbl_Bonds[[#This Row],[VP Cupom]]*LN(1+tbl_Bonds[[#This Row],[Real Mercado]])/252,tbl_Bonds[[#This Row],[VP Cupom]]*LN(1+tbl_Bonds[[#This Row],[Real Simulada]])/252)</f>
        <v>1.5815083155086521E-2</v>
      </c>
      <c r="V78" s="18">
        <f>SUMIF(Dashboard!$B$28:$B$42,tbl_Bonds[[#This Row],[Bond]],Dashboard!$C$28:$C$42)</f>
        <v>13910</v>
      </c>
      <c r="W78" s="18">
        <f>tbl_Bonds[[#This Row],[Quantidade]]*tbl_Bonds[[#This Row],[𝛿P/𝛿VNA]]</f>
        <v>99.144179388800225</v>
      </c>
      <c r="X78" s="18">
        <f>+tbl_Bonds[[#This Row],[Quantidade]]*tbl_Bonds[[#This Row],[𝛿P/𝛿r_real]]</f>
        <v>-830.00837550778363</v>
      </c>
      <c r="Y78" s="18">
        <f>tbl_Bonds[[#This Row],[Quantidade]]*tbl_Bonds[[#This Row],[𝛿P/𝛿r_pre]]</f>
        <v>-784.4414796461366</v>
      </c>
      <c r="Z78" s="18">
        <f>tbl_Bonds[[#This Row],[Quantidade]]*tbl_Bonds[[#This Row],[𝛿P/𝛿r_implicita]]</f>
        <v>829.55323677519732</v>
      </c>
      <c r="AA78" s="18">
        <f>tbl_Bonds[[#This Row],[Quantidade]]*tbl_Bonds[[#This Row],[𝛿P/𝛿du]]</f>
        <v>219.98780668725351</v>
      </c>
    </row>
    <row r="79" spans="1:27">
      <c r="A79" s="2" t="s">
        <v>83</v>
      </c>
      <c r="B79" s="3">
        <v>48442</v>
      </c>
      <c r="C79" s="3">
        <v>48260</v>
      </c>
      <c r="D79" s="4">
        <f>NETWORKDAYS(Dashboard!$C$10,bonds!C79,feriados)-1</f>
        <v>2358</v>
      </c>
      <c r="E79" s="2">
        <f>IF(tbl_Bonds[[#This Row],[Coupon]]&lt;tbl_Bonds[[#This Row],[Maturity]],SQRT(1.06)-1,SQRT(1.06))</f>
        <v>2.9563014098699991E-2</v>
      </c>
      <c r="F79" s="5" cm="1">
        <f t="array" ref="F79">Svensson(betas_pre,tbl_Bonds[[#This Row],[DU]])</f>
        <v>0.11912158088679581</v>
      </c>
      <c r="G79" s="49">
        <f>IF(curve_type="Simulada",_xlfn.XLOOKUP(tbl_Bonds[[#This Row],[Coupon]],Simulador!$B$5:$B$147,Simulador!$H$5:$H$147),0)</f>
        <v>0</v>
      </c>
      <c r="H79" s="5" cm="1">
        <f t="array" ref="H7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0.11912158088679581</v>
      </c>
      <c r="I79" s="5" cm="1">
        <f t="array" ref="I79">Interpola_FF(tbl_Bonds[[#This Row],[DU]],dus_svensson,svensson_implicita)</f>
        <v>5.8093588183373734E-2</v>
      </c>
      <c r="J79" s="49">
        <f>IF(curve_type="Simulada",_xlfn.XLOOKUP(tbl_Bonds[[#This Row],[Coupon]],Simulador!$B$5:$B$147,Simulador!$N$5:$N$147),0)</f>
        <v>0</v>
      </c>
      <c r="K79" s="5" cm="1">
        <f t="array" ref="K7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5.8093588183373734E-2</v>
      </c>
      <c r="L79" s="5" cm="1">
        <f t="array" ref="L79">Interpola_FF(tbl_Bonds[[#This Row],[DU]],dus_svensson,svensson_real_spot)</f>
        <v>5.7677395986454938E-2</v>
      </c>
      <c r="M79" s="49">
        <f>IF(curve_type="Simulada",_xlfn.XLOOKUP(tbl_Bonds[[#This Row],[Coupon]],Simulador!$B$5:$B$147,Simulador!$K$5:$K$147),0)</f>
        <v>0</v>
      </c>
      <c r="N79" s="5" cm="1">
        <f t="array" ref="N7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5.7677395986454938E-2</v>
      </c>
      <c r="O79" s="6">
        <f>IF(curve_type="Mercado",tbl_Bonds[[#This Row],[FC]]/(1+tbl_Bonds[[#This Row],[Real Mercado]])^(tbl_Bonds[[#This Row],[DU]]/252),tbl_Bonds[[#This Row],[FC]]/(1+tbl_Bonds[[#This Row],[Real Simulada]])^(tbl_Bonds[[#This Row],[DU]]/252))</f>
        <v>1.7493315301939292E-2</v>
      </c>
      <c r="P79" s="7">
        <f>tbl_Bonds[[#This Row],[Cotação]]*VNA</f>
        <v>69.191385237538242</v>
      </c>
      <c r="Q79" s="18">
        <f>tbl_Bonds[[#This Row],[Cotação]]%%*VNA</f>
        <v>6.9191385237538242E-3</v>
      </c>
      <c r="R7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-6.1212774198262425E-2</v>
      </c>
      <c r="S7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-5.7851995291766566E-2</v>
      </c>
      <c r="T7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6.1188742802547713E-2</v>
      </c>
      <c r="U79" s="18">
        <f>IF(curve_type="Mercado",tbl_Bonds[[#This Row],[VP Cupom]]*LN(1+tbl_Bonds[[#This Row],[Real Mercado]])/252,tbl_Bonds[[#This Row],[VP Cupom]]*LN(1+tbl_Bonds[[#This Row],[Real Simulada]])/252)</f>
        <v>1.5396557159779287E-2</v>
      </c>
      <c r="V79" s="18">
        <f>SUMIF(Dashboard!$B$28:$B$42,tbl_Bonds[[#This Row],[Bond]],Dashboard!$C$28:$C$42)</f>
        <v>13910</v>
      </c>
      <c r="W79" s="18">
        <f>tbl_Bonds[[#This Row],[Quantidade]]*tbl_Bonds[[#This Row],[𝛿P/𝛿VNA]]</f>
        <v>96.245216865415699</v>
      </c>
      <c r="X79" s="18">
        <f>+tbl_Bonds[[#This Row],[Quantidade]]*tbl_Bonds[[#This Row],[𝛿P/𝛿r_real]]</f>
        <v>-851.46968909783038</v>
      </c>
      <c r="Y79" s="18">
        <f>tbl_Bonds[[#This Row],[Quantidade]]*tbl_Bonds[[#This Row],[𝛿P/𝛿r_pre]]</f>
        <v>-804.72125450847295</v>
      </c>
      <c r="Z79" s="18">
        <f>tbl_Bonds[[#This Row],[Quantidade]]*tbl_Bonds[[#This Row],[𝛿P/𝛿r_implicita]]</f>
        <v>851.13541238343873</v>
      </c>
      <c r="AA79" s="18">
        <f>tbl_Bonds[[#This Row],[Quantidade]]*tbl_Bonds[[#This Row],[𝛿P/𝛿du]]</f>
        <v>214.16611009252989</v>
      </c>
    </row>
    <row r="80" spans="1:27">
      <c r="A80" s="2" t="s">
        <v>83</v>
      </c>
      <c r="B80" s="3">
        <v>48442</v>
      </c>
      <c r="C80" s="3">
        <v>48442</v>
      </c>
      <c r="D80" s="4">
        <f>NETWORKDAYS(Dashboard!$C$10,bonds!C80,feriados)-1</f>
        <v>2485</v>
      </c>
      <c r="E80" s="2">
        <f>IF(tbl_Bonds[[#This Row],[Coupon]]&lt;tbl_Bonds[[#This Row],[Maturity]],SQRT(1.06)-1,SQRT(1.06))</f>
        <v>1.0295630140987</v>
      </c>
      <c r="F80" s="5" cm="1">
        <f t="array" ref="F80">Svensson(betas_pre,tbl_Bonds[[#This Row],[DU]])</f>
        <v>0.11928663253884547</v>
      </c>
      <c r="G80" s="49">
        <f>IF(curve_type="Simulada",_xlfn.XLOOKUP(tbl_Bonds[[#This Row],[Coupon]],Simulador!$B$5:$B$147,Simulador!$H$5:$H$147),0)</f>
        <v>0</v>
      </c>
      <c r="H80" s="5" cm="1">
        <f t="array" ref="H8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0.11928663253884547</v>
      </c>
      <c r="I80" s="5" cm="1">
        <f t="array" ref="I80">Interpola_FF(tbl_Bonds[[#This Row],[DU]],dus_svensson,svensson_implicita)</f>
        <v>5.8091578017454903E-2</v>
      </c>
      <c r="J80" s="49">
        <f>IF(curve_type="Simulada",_xlfn.XLOOKUP(tbl_Bonds[[#This Row],[Coupon]],Simulador!$B$5:$B$147,Simulador!$N$5:$N$147),0)</f>
        <v>0</v>
      </c>
      <c r="K80" s="5" cm="1">
        <f t="array" ref="K8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5.8091578017454903E-2</v>
      </c>
      <c r="L80" s="5" cm="1">
        <f t="array" ref="L80">Interpola_FF(tbl_Bonds[[#This Row],[DU]],dus_svensson,svensson_real_spot)</f>
        <v>5.7835355150152479E-2</v>
      </c>
      <c r="M80" s="49">
        <f>IF(curve_type="Simulada",_xlfn.XLOOKUP(tbl_Bonds[[#This Row],[Coupon]],Simulador!$B$5:$B$147,Simulador!$K$5:$K$147),0)</f>
        <v>0</v>
      </c>
      <c r="N80" s="5" cm="1">
        <f t="array" ref="N8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5.7835355150152479E-2</v>
      </c>
      <c r="O80" s="6">
        <f>IF(curve_type="Mercado",tbl_Bonds[[#This Row],[FC]]/(1+tbl_Bonds[[#This Row],[Real Mercado]])^(tbl_Bonds[[#This Row],[DU]]/252),tbl_Bonds[[#This Row],[FC]]/(1+tbl_Bonds[[#This Row],[Real Simulada]])^(tbl_Bonds[[#This Row],[DU]]/252))</f>
        <v>0.59137580532242606</v>
      </c>
      <c r="P80" s="7">
        <f>tbl_Bonds[[#This Row],[Cotação]]*VNA</f>
        <v>2339.0712657930117</v>
      </c>
      <c r="Q80" s="18">
        <f>tbl_Bonds[[#This Row],[Cotação]]%%*VNA</f>
        <v>0.23390712657930118</v>
      </c>
      <c r="R8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-2.1804755850231685</v>
      </c>
      <c r="S8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-2.0607635851624857</v>
      </c>
      <c r="T8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2.1799484861386418</v>
      </c>
      <c r="U80" s="18">
        <f>IF(curve_type="Mercado",tbl_Bonds[[#This Row],[VP Cupom]]*LN(1+tbl_Bonds[[#This Row],[Real Mercado]])/252,tbl_Bonds[[#This Row],[VP Cupom]]*LN(1+tbl_Bonds[[#This Row],[Real Simulada]])/252)</f>
        <v>0.52187930854894105</v>
      </c>
      <c r="V80" s="18">
        <f>SUMIF(Dashboard!$B$28:$B$42,tbl_Bonds[[#This Row],[Bond]],Dashboard!$C$28:$C$42)</f>
        <v>13910</v>
      </c>
      <c r="W80" s="18">
        <f>tbl_Bonds[[#This Row],[Quantidade]]*tbl_Bonds[[#This Row],[𝛿P/𝛿VNA]]</f>
        <v>3253.6481307180793</v>
      </c>
      <c r="X80" s="18">
        <f>+tbl_Bonds[[#This Row],[Quantidade]]*tbl_Bonds[[#This Row],[𝛿P/𝛿r_real]]</f>
        <v>-30330.415387672274</v>
      </c>
      <c r="Y80" s="18">
        <f>tbl_Bonds[[#This Row],[Quantidade]]*tbl_Bonds[[#This Row],[𝛿P/𝛿r_pre]]</f>
        <v>-28665.221469610176</v>
      </c>
      <c r="Z80" s="18">
        <f>tbl_Bonds[[#This Row],[Quantidade]]*tbl_Bonds[[#This Row],[𝛿P/𝛿r_implicita]]</f>
        <v>30323.083442188508</v>
      </c>
      <c r="AA80" s="18">
        <f>tbl_Bonds[[#This Row],[Quantidade]]*tbl_Bonds[[#This Row],[𝛿P/𝛿du]]</f>
        <v>7259.34118191577</v>
      </c>
    </row>
    <row r="81" spans="1:27">
      <c r="A81" s="2" t="s">
        <v>84</v>
      </c>
      <c r="B81" s="3">
        <v>49444</v>
      </c>
      <c r="C81" s="3">
        <v>44881</v>
      </c>
      <c r="D81" s="4">
        <f>NETWORKDAYS(Dashboard!$C$10,bonds!C81,feriados)-1</f>
        <v>34</v>
      </c>
      <c r="E81" s="2">
        <f>IF(tbl_Bonds[[#This Row],[Coupon]]&lt;tbl_Bonds[[#This Row],[Maturity]],SQRT(1.06)-1,SQRT(1.06))</f>
        <v>2.9563014098699991E-2</v>
      </c>
      <c r="F81" s="5" cm="1">
        <f t="array" ref="F81">Svensson(betas_pre,tbl_Bonds[[#This Row],[DU]])</f>
        <v>0.13709542415198134</v>
      </c>
      <c r="G81" s="49">
        <f>IF(curve_type="Simulada",_xlfn.XLOOKUP(tbl_Bonds[[#This Row],[Coupon]],Simulador!$B$5:$B$147,Simulador!$H$5:$H$147),0)</f>
        <v>0</v>
      </c>
      <c r="H81" s="5" cm="1">
        <f t="array" ref="H8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0.13709542415198134</v>
      </c>
      <c r="I81" s="5" cm="1">
        <f t="array" ref="I81">Interpola_FF(tbl_Bonds[[#This Row],[DU]],dus_svensson,svensson_implicita)</f>
        <v>3.9260043860060989E-2</v>
      </c>
      <c r="J81" s="49">
        <f>IF(curve_type="Simulada",_xlfn.XLOOKUP(tbl_Bonds[[#This Row],[Coupon]],Simulador!$B$5:$B$147,Simulador!$N$5:$N$147),0)</f>
        <v>0</v>
      </c>
      <c r="K81" s="5" cm="1">
        <f t="array" ref="K8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3.9260043860060989E-2</v>
      </c>
      <c r="L81" s="5" cm="1">
        <f t="array" ref="L81">Interpola_FF(tbl_Bonds[[#This Row],[DU]],dus_svensson,svensson_real_spot)</f>
        <v>9.4238501847281109E-2</v>
      </c>
      <c r="M81" s="49">
        <f>IF(curve_type="Simulada",_xlfn.XLOOKUP(tbl_Bonds[[#This Row],[Coupon]],Simulador!$B$5:$B$147,Simulador!$K$5:$K$147),0)</f>
        <v>0</v>
      </c>
      <c r="N81" s="5" cm="1">
        <f t="array" ref="N8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9.4238501847281109E-2</v>
      </c>
      <c r="O81" s="6">
        <f>IF(curve_type="Mercado",tbl_Bonds[[#This Row],[FC]]/(1+tbl_Bonds[[#This Row],[Real Mercado]])^(tbl_Bonds[[#This Row],[DU]]/252),tbl_Bonds[[#This Row],[FC]]/(1+tbl_Bonds[[#This Row],[Real Simulada]])^(tbl_Bonds[[#This Row],[DU]]/252))</f>
        <v>2.9205974099578352E-2</v>
      </c>
      <c r="P81" s="7">
        <f>tbl_Bonds[[#This Row],[Cotação]]*VNA</f>
        <v>115.51851494596143</v>
      </c>
      <c r="Q81" s="18">
        <f>tbl_Bonds[[#This Row],[Cotação]]%%*VNA</f>
        <v>1.1551851494596142E-2</v>
      </c>
      <c r="R8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-1.4243541380865455E-3</v>
      </c>
      <c r="S8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-1.3706872257140204E-3</v>
      </c>
      <c r="T8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1.4997229822422155E-3</v>
      </c>
      <c r="U81" s="18">
        <f>IF(curve_type="Mercado",tbl_Bonds[[#This Row],[VP Cupom]]*LN(1+tbl_Bonds[[#This Row],[Real Mercado]])/252,tbl_Bonds[[#This Row],[VP Cupom]]*LN(1+tbl_Bonds[[#This Row],[Real Simulada]])/252)</f>
        <v>4.1283516027923767E-2</v>
      </c>
      <c r="V81" s="18">
        <f>SUMIF(Dashboard!$B$28:$B$42,tbl_Bonds[[#This Row],[Bond]],Dashboard!$C$28:$C$42)</f>
        <v>3670</v>
      </c>
      <c r="W81" s="18">
        <f>tbl_Bonds[[#This Row],[Quantidade]]*tbl_Bonds[[#This Row],[𝛿P/𝛿VNA]]</f>
        <v>42.395294985167844</v>
      </c>
      <c r="X81" s="18">
        <f>+tbl_Bonds[[#This Row],[Quantidade]]*tbl_Bonds[[#This Row],[𝛿P/𝛿r_real]]</f>
        <v>-5.2273796867776223</v>
      </c>
      <c r="Y81" s="18">
        <f>tbl_Bonds[[#This Row],[Quantidade]]*tbl_Bonds[[#This Row],[𝛿P/𝛿r_pre]]</f>
        <v>-5.0304221183704545</v>
      </c>
      <c r="Z81" s="18">
        <f>tbl_Bonds[[#This Row],[Quantidade]]*tbl_Bonds[[#This Row],[𝛿P/𝛿r_implicita]]</f>
        <v>5.5039833448289306</v>
      </c>
      <c r="AA81" s="18">
        <f>tbl_Bonds[[#This Row],[Quantidade]]*tbl_Bonds[[#This Row],[𝛿P/𝛿du]]</f>
        <v>151.51050382248022</v>
      </c>
    </row>
    <row r="82" spans="1:27">
      <c r="A82" s="2" t="s">
        <v>84</v>
      </c>
      <c r="B82" s="3">
        <v>49444</v>
      </c>
      <c r="C82" s="3">
        <v>45061</v>
      </c>
      <c r="D82" s="4">
        <f>NETWORKDAYS(Dashboard!$C$10,bonds!C82,feriados)-1</f>
        <v>157</v>
      </c>
      <c r="E82" s="2">
        <f>IF(tbl_Bonds[[#This Row],[Coupon]]&lt;tbl_Bonds[[#This Row],[Maturity]],SQRT(1.06)-1,SQRT(1.06))</f>
        <v>2.9563014098699991E-2</v>
      </c>
      <c r="F82" s="5" cm="1">
        <f t="array" ref="F82">Svensson(betas_pre,tbl_Bonds[[#This Row],[DU]])</f>
        <v>0.1367085106174083</v>
      </c>
      <c r="G82" s="49">
        <f>IF(curve_type="Simulada",_xlfn.XLOOKUP(tbl_Bonds[[#This Row],[Coupon]],Simulador!$B$5:$B$147,Simulador!$H$5:$H$147),0)</f>
        <v>0</v>
      </c>
      <c r="H82" s="5" cm="1">
        <f t="array" ref="H8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0.1367085106174083</v>
      </c>
      <c r="I82" s="5" cm="1">
        <f t="array" ref="I82">Interpola_FF(tbl_Bonds[[#This Row],[DU]],dus_svensson,svensson_implicita)</f>
        <v>4.8774403248048603E-2</v>
      </c>
      <c r="J82" s="49">
        <f>IF(curve_type="Simulada",_xlfn.XLOOKUP(tbl_Bonds[[#This Row],[Coupon]],Simulador!$B$5:$B$147,Simulador!$N$5:$N$147),0)</f>
        <v>0</v>
      </c>
      <c r="K82" s="5" cm="1">
        <f t="array" ref="K8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4.8774403248048603E-2</v>
      </c>
      <c r="L82" s="5" cm="1">
        <f t="array" ref="L82">Interpola_FF(tbl_Bonds[[#This Row],[DU]],dus_svensson,svensson_real_spot)</f>
        <v>8.3802406981866362E-2</v>
      </c>
      <c r="M82" s="49">
        <f>IF(curve_type="Simulada",_xlfn.XLOOKUP(tbl_Bonds[[#This Row],[Coupon]],Simulador!$B$5:$B$147,Simulador!$K$5:$K$147),0)</f>
        <v>0</v>
      </c>
      <c r="N82" s="5" cm="1">
        <f t="array" ref="N8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8.3802406981866362E-2</v>
      </c>
      <c r="O82" s="6">
        <f>IF(curve_type="Mercado",tbl_Bonds[[#This Row],[FC]]/(1+tbl_Bonds[[#This Row],[Real Mercado]])^(tbl_Bonds[[#This Row],[DU]]/252),tbl_Bonds[[#This Row],[FC]]/(1+tbl_Bonds[[#This Row],[Real Simulada]])^(tbl_Bonds[[#This Row],[DU]]/252))</f>
        <v>2.811734025699774E-2</v>
      </c>
      <c r="P82" s="7">
        <f>tbl_Bonds[[#This Row],[Cotação]]*VNA</f>
        <v>111.21263682711987</v>
      </c>
      <c r="Q82" s="18">
        <f>tbl_Bonds[[#This Row],[Cotação]]%%*VNA</f>
        <v>1.1121263682711989E-2</v>
      </c>
      <c r="R8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-6.3929769464337967E-3</v>
      </c>
      <c r="S8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-6.0952790892216937E-3</v>
      </c>
      <c r="T8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6.6063355416083073E-3</v>
      </c>
      <c r="U82" s="18">
        <f>IF(curve_type="Mercado",tbl_Bonds[[#This Row],[VP Cupom]]*LN(1+tbl_Bonds[[#This Row],[Real Mercado]])/252,tbl_Bonds[[#This Row],[VP Cupom]]*LN(1+tbl_Bonds[[#This Row],[Real Simulada]])/252)</f>
        <v>3.5515492994237334E-2</v>
      </c>
      <c r="V82" s="18">
        <f>SUMIF(Dashboard!$B$28:$B$42,tbl_Bonds[[#This Row],[Bond]],Dashboard!$C$28:$C$42)</f>
        <v>3670</v>
      </c>
      <c r="W82" s="18">
        <f>tbl_Bonds[[#This Row],[Quantidade]]*tbl_Bonds[[#This Row],[𝛿P/𝛿VNA]]</f>
        <v>40.815037715552997</v>
      </c>
      <c r="X82" s="18">
        <f>+tbl_Bonds[[#This Row],[Quantidade]]*tbl_Bonds[[#This Row],[𝛿P/𝛿r_real]]</f>
        <v>-23.462225393412034</v>
      </c>
      <c r="Y82" s="18">
        <f>tbl_Bonds[[#This Row],[Quantidade]]*tbl_Bonds[[#This Row],[𝛿P/𝛿r_pre]]</f>
        <v>-22.369674257443616</v>
      </c>
      <c r="Z82" s="18">
        <f>tbl_Bonds[[#This Row],[Quantidade]]*tbl_Bonds[[#This Row],[𝛿P/𝛿r_implicita]]</f>
        <v>24.245251437702489</v>
      </c>
      <c r="AA82" s="18">
        <f>tbl_Bonds[[#This Row],[Quantidade]]*tbl_Bonds[[#This Row],[𝛿P/𝛿du]]</f>
        <v>130.34185928885103</v>
      </c>
    </row>
    <row r="83" spans="1:27">
      <c r="A83" s="2" t="s">
        <v>84</v>
      </c>
      <c r="B83" s="3">
        <v>49444</v>
      </c>
      <c r="C83" s="3">
        <v>45246</v>
      </c>
      <c r="D83" s="4">
        <f>NETWORKDAYS(Dashboard!$C$10,bonds!C83,feriados)-1</f>
        <v>285</v>
      </c>
      <c r="E83" s="2">
        <f>IF(tbl_Bonds[[#This Row],[Coupon]]&lt;tbl_Bonds[[#This Row],[Maturity]],SQRT(1.06)-1,SQRT(1.06))</f>
        <v>2.9563014098699991E-2</v>
      </c>
      <c r="F83" s="5" cm="1">
        <f t="array" ref="F83">Svensson(betas_pre,tbl_Bonds[[#This Row],[DU]])</f>
        <v>0.13048300825828854</v>
      </c>
      <c r="G83" s="49">
        <f>IF(curve_type="Simulada",_xlfn.XLOOKUP(tbl_Bonds[[#This Row],[Coupon]],Simulador!$B$5:$B$147,Simulador!$H$5:$H$147),0)</f>
        <v>0</v>
      </c>
      <c r="H83" s="5" cm="1">
        <f t="array" ref="H8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0.13048300825828854</v>
      </c>
      <c r="I83" s="5" cm="1">
        <f t="array" ref="I83">Interpola_FF(tbl_Bonds[[#This Row],[DU]],dus_svensson,svensson_implicita)</f>
        <v>5.1052336771006734E-2</v>
      </c>
      <c r="J83" s="49">
        <f>IF(curve_type="Simulada",_xlfn.XLOOKUP(tbl_Bonds[[#This Row],[Coupon]],Simulador!$B$5:$B$147,Simulador!$N$5:$N$147),0)</f>
        <v>0</v>
      </c>
      <c r="K83" s="5" cm="1">
        <f t="array" ref="K8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5.1052336771006734E-2</v>
      </c>
      <c r="L83" s="5" cm="1">
        <f t="array" ref="L83">Interpola_FF(tbl_Bonds[[#This Row],[DU]],dus_svensson,svensson_real_spot)</f>
        <v>7.5555946570935895E-2</v>
      </c>
      <c r="M83" s="49">
        <f>IF(curve_type="Simulada",_xlfn.XLOOKUP(tbl_Bonds[[#This Row],[Coupon]],Simulador!$B$5:$B$147,Simulador!$K$5:$K$147),0)</f>
        <v>0</v>
      </c>
      <c r="N83" s="5" cm="1">
        <f t="array" ref="N8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7.5555946570935895E-2</v>
      </c>
      <c r="O83" s="6">
        <f>IF(curve_type="Mercado",tbl_Bonds[[#This Row],[FC]]/(1+tbl_Bonds[[#This Row],[Real Mercado]])^(tbl_Bonds[[#This Row],[DU]]/252),tbl_Bonds[[#This Row],[FC]]/(1+tbl_Bonds[[#This Row],[Real Simulada]])^(tbl_Bonds[[#This Row],[DU]]/252))</f>
        <v>2.7225338447297978E-2</v>
      </c>
      <c r="P83" s="7">
        <f>tbl_Bonds[[#This Row],[Cotação]]*VNA</f>
        <v>107.68449823347802</v>
      </c>
      <c r="Q83" s="18">
        <f>tbl_Bonds[[#This Row],[Cotação]]%%*VNA</f>
        <v>1.0768449823347803E-2</v>
      </c>
      <c r="R8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-1.1323078084137794E-2</v>
      </c>
      <c r="S8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-1.0772733134262443E-2</v>
      </c>
      <c r="T8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1.1586855701399822E-2</v>
      </c>
      <c r="U83" s="18">
        <f>IF(curve_type="Mercado",tbl_Bonds[[#This Row],[VP Cupom]]*LN(1+tbl_Bonds[[#This Row],[Real Mercado]])/252,tbl_Bonds[[#This Row],[VP Cupom]]*LN(1+tbl_Bonds[[#This Row],[Real Simulada]])/252)</f>
        <v>3.1124959646336391E-2</v>
      </c>
      <c r="V83" s="18">
        <f>SUMIF(Dashboard!$B$28:$B$42,tbl_Bonds[[#This Row],[Bond]],Dashboard!$C$28:$C$42)</f>
        <v>3670</v>
      </c>
      <c r="W83" s="18">
        <f>tbl_Bonds[[#This Row],[Quantidade]]*tbl_Bonds[[#This Row],[𝛿P/𝛿VNA]]</f>
        <v>39.520210851686436</v>
      </c>
      <c r="X83" s="18">
        <f>+tbl_Bonds[[#This Row],[Quantidade]]*tbl_Bonds[[#This Row],[𝛿P/𝛿r_real]]</f>
        <v>-41.555696568785706</v>
      </c>
      <c r="Y83" s="18">
        <f>tbl_Bonds[[#This Row],[Quantidade]]*tbl_Bonds[[#This Row],[𝛿P/𝛿r_pre]]</f>
        <v>-39.535930602743164</v>
      </c>
      <c r="Z83" s="18">
        <f>tbl_Bonds[[#This Row],[Quantidade]]*tbl_Bonds[[#This Row],[𝛿P/𝛿r_implicita]]</f>
        <v>42.523760424137343</v>
      </c>
      <c r="AA83" s="18">
        <f>tbl_Bonds[[#This Row],[Quantidade]]*tbl_Bonds[[#This Row],[𝛿P/𝛿du]]</f>
        <v>114.22860190205455</v>
      </c>
    </row>
    <row r="84" spans="1:27">
      <c r="A84" s="2" t="s">
        <v>84</v>
      </c>
      <c r="B84" s="3">
        <v>49444</v>
      </c>
      <c r="C84" s="3">
        <v>45427</v>
      </c>
      <c r="D84" s="4">
        <f>NETWORKDAYS(Dashboard!$C$10,bonds!C84,feriados)-1</f>
        <v>408</v>
      </c>
      <c r="E84" s="2">
        <f>IF(tbl_Bonds[[#This Row],[Coupon]]&lt;tbl_Bonds[[#This Row],[Maturity]],SQRT(1.06)-1,SQRT(1.06))</f>
        <v>2.9563014098699991E-2</v>
      </c>
      <c r="F84" s="5" cm="1">
        <f t="array" ref="F84">Svensson(betas_pre,tbl_Bonds[[#This Row],[DU]])</f>
        <v>0.12477200252598092</v>
      </c>
      <c r="G84" s="49">
        <f>IF(curve_type="Simulada",_xlfn.XLOOKUP(tbl_Bonds[[#This Row],[Coupon]],Simulador!$B$5:$B$147,Simulador!$H$5:$H$147),0)</f>
        <v>0</v>
      </c>
      <c r="H84" s="5" cm="1">
        <f t="array" ref="H8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0.12477200252598092</v>
      </c>
      <c r="I84" s="5" cm="1">
        <f t="array" ref="I84">Interpola_FF(tbl_Bonds[[#This Row],[DU]],dus_svensson,svensson_implicita)</f>
        <v>5.145750573058927E-2</v>
      </c>
      <c r="J84" s="49">
        <f>IF(curve_type="Simulada",_xlfn.XLOOKUP(tbl_Bonds[[#This Row],[Coupon]],Simulador!$B$5:$B$147,Simulador!$N$5:$N$147),0)</f>
        <v>0</v>
      </c>
      <c r="K84" s="5" cm="1">
        <f t="array" ref="K8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5.145750573058927E-2</v>
      </c>
      <c r="L84" s="5" cm="1">
        <f t="array" ref="L84">Interpola_FF(tbl_Bonds[[#This Row],[DU]],dus_svensson,svensson_real_spot)</f>
        <v>6.9722414488002649E-2</v>
      </c>
      <c r="M84" s="49">
        <f>IF(curve_type="Simulada",_xlfn.XLOOKUP(tbl_Bonds[[#This Row],[Coupon]],Simulador!$B$5:$B$147,Simulador!$K$5:$K$147),0)</f>
        <v>0</v>
      </c>
      <c r="N84" s="5" cm="1">
        <f t="array" ref="N8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6.9722414488002649E-2</v>
      </c>
      <c r="O84" s="6">
        <f>IF(curve_type="Mercado",tbl_Bonds[[#This Row],[FC]]/(1+tbl_Bonds[[#This Row],[Real Mercado]])^(tbl_Bonds[[#This Row],[DU]]/252),tbl_Bonds[[#This Row],[FC]]/(1+tbl_Bonds[[#This Row],[Real Simulada]])^(tbl_Bonds[[#This Row],[DU]]/252))</f>
        <v>2.6506806781420551E-2</v>
      </c>
      <c r="P84" s="7">
        <f>tbl_Bonds[[#This Row],[Cotação]]*VNA</f>
        <v>104.84248684564328</v>
      </c>
      <c r="Q84" s="18">
        <f>tbl_Bonds[[#This Row],[Cotação]]%%*VNA</f>
        <v>1.0484248684564327E-2</v>
      </c>
      <c r="R8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-1.5868133302947989E-2</v>
      </c>
      <c r="S8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-1.5091406765664775E-2</v>
      </c>
      <c r="T8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1.6143678385705663E-2</v>
      </c>
      <c r="U84" s="18">
        <f>IF(curve_type="Mercado",tbl_Bonds[[#This Row],[VP Cupom]]*LN(1+tbl_Bonds[[#This Row],[Real Mercado]])/252,tbl_Bonds[[#This Row],[VP Cupom]]*LN(1+tbl_Bonds[[#This Row],[Real Simulada]])/252)</f>
        <v>2.804086744899854E-2</v>
      </c>
      <c r="V84" s="18">
        <f>SUMIF(Dashboard!$B$28:$B$42,tbl_Bonds[[#This Row],[Bond]],Dashboard!$C$28:$C$42)</f>
        <v>3670</v>
      </c>
      <c r="W84" s="18">
        <f>tbl_Bonds[[#This Row],[Quantidade]]*tbl_Bonds[[#This Row],[𝛿P/𝛿VNA]]</f>
        <v>38.47719267235108</v>
      </c>
      <c r="X84" s="18">
        <f>+tbl_Bonds[[#This Row],[Quantidade]]*tbl_Bonds[[#This Row],[𝛿P/𝛿r_real]]</f>
        <v>-58.236049221819123</v>
      </c>
      <c r="Y84" s="18">
        <f>tbl_Bonds[[#This Row],[Quantidade]]*tbl_Bonds[[#This Row],[𝛿P/𝛿r_pre]]</f>
        <v>-55.38546282998972</v>
      </c>
      <c r="Z84" s="18">
        <f>tbl_Bonds[[#This Row],[Quantidade]]*tbl_Bonds[[#This Row],[𝛿P/𝛿r_implicita]]</f>
        <v>59.247299675539786</v>
      </c>
      <c r="AA84" s="18">
        <f>tbl_Bonds[[#This Row],[Quantidade]]*tbl_Bonds[[#This Row],[𝛿P/𝛿du]]</f>
        <v>102.90998353782464</v>
      </c>
    </row>
    <row r="85" spans="1:27">
      <c r="A85" s="2" t="s">
        <v>84</v>
      </c>
      <c r="B85" s="3">
        <v>49444</v>
      </c>
      <c r="C85" s="3">
        <v>45614</v>
      </c>
      <c r="D85" s="4">
        <f>NETWORKDAYS(Dashboard!$C$10,bonds!C85,feriados)-1</f>
        <v>539</v>
      </c>
      <c r="E85" s="2">
        <f>IF(tbl_Bonds[[#This Row],[Coupon]]&lt;tbl_Bonds[[#This Row],[Maturity]],SQRT(1.06)-1,SQRT(1.06))</f>
        <v>2.9563014098699991E-2</v>
      </c>
      <c r="F85" s="5" cm="1">
        <f t="array" ref="F85">Svensson(betas_pre,tbl_Bonds[[#This Row],[DU]])</f>
        <v>0.1205205679154658</v>
      </c>
      <c r="G85" s="49">
        <f>IF(curve_type="Simulada",_xlfn.XLOOKUP(tbl_Bonds[[#This Row],[Coupon]],Simulador!$B$5:$B$147,Simulador!$H$5:$H$147),0)</f>
        <v>0</v>
      </c>
      <c r="H85" s="5" cm="1">
        <f t="array" ref="H8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0.1205205679154658</v>
      </c>
      <c r="I85" s="5" cm="1">
        <f t="array" ref="I85">Interpola_FF(tbl_Bonds[[#This Row],[DU]],dus_svensson,svensson_implicita)</f>
        <v>5.1902571978476253E-2</v>
      </c>
      <c r="J85" s="49">
        <f>IF(curve_type="Simulada",_xlfn.XLOOKUP(tbl_Bonds[[#This Row],[Coupon]],Simulador!$B$5:$B$147,Simulador!$N$5:$N$147),0)</f>
        <v>0</v>
      </c>
      <c r="K85" s="5" cm="1">
        <f t="array" ref="K8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5.1902571978476253E-2</v>
      </c>
      <c r="L85" s="5" cm="1">
        <f t="array" ref="L85">Interpola_FF(tbl_Bonds[[#This Row],[DU]],dus_svensson,svensson_real_spot)</f>
        <v>6.5232770467420487E-2</v>
      </c>
      <c r="M85" s="49">
        <f>IF(curve_type="Simulada",_xlfn.XLOOKUP(tbl_Bonds[[#This Row],[Coupon]],Simulador!$B$5:$B$147,Simulador!$K$5:$K$147),0)</f>
        <v>0</v>
      </c>
      <c r="N85" s="5" cm="1">
        <f t="array" ref="N8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6.5232770467420487E-2</v>
      </c>
      <c r="O85" s="6">
        <f>IF(curve_type="Mercado",tbl_Bonds[[#This Row],[FC]]/(1+tbl_Bonds[[#This Row],[Real Mercado]])^(tbl_Bonds[[#This Row],[DU]]/252),tbl_Bonds[[#This Row],[FC]]/(1+tbl_Bonds[[#This Row],[Real Simulada]])^(tbl_Bonds[[#This Row],[DU]]/252))</f>
        <v>2.582545221198981E-2</v>
      </c>
      <c r="P85" s="7">
        <f>tbl_Bonds[[#This Row],[Cotação]]*VNA</f>
        <v>102.147522187251</v>
      </c>
      <c r="Q85" s="18">
        <f>tbl_Bonds[[#This Row],[Cotação]]%%*VNA</f>
        <v>1.0214752218725099E-2</v>
      </c>
      <c r="R8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-2.0510277780693243E-2</v>
      </c>
      <c r="S8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-1.9498296117425307E-2</v>
      </c>
      <c r="T8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2.0770214296356313E-2</v>
      </c>
      <c r="U85" s="18">
        <f>IF(curve_type="Mercado",tbl_Bonds[[#This Row],[VP Cupom]]*LN(1+tbl_Bonds[[#This Row],[Real Mercado]])/252,tbl_Bonds[[#This Row],[VP Cupom]]*LN(1+tbl_Bonds[[#This Row],[Real Simulada]])/252)</f>
        <v>2.5615250030549975E-2</v>
      </c>
      <c r="V85" s="18">
        <f>SUMIF(Dashboard!$B$28:$B$42,tbl_Bonds[[#This Row],[Bond]],Dashboard!$C$28:$C$42)</f>
        <v>3670</v>
      </c>
      <c r="W85" s="18">
        <f>tbl_Bonds[[#This Row],[Quantidade]]*tbl_Bonds[[#This Row],[𝛿P/𝛿VNA]]</f>
        <v>37.488140642721113</v>
      </c>
      <c r="X85" s="18">
        <f>+tbl_Bonds[[#This Row],[Quantidade]]*tbl_Bonds[[#This Row],[𝛿P/𝛿r_real]]</f>
        <v>-75.272719455144198</v>
      </c>
      <c r="Y85" s="18">
        <f>tbl_Bonds[[#This Row],[Quantidade]]*tbl_Bonds[[#This Row],[𝛿P/𝛿r_pre]]</f>
        <v>-71.558746750950874</v>
      </c>
      <c r="Z85" s="18">
        <f>tbl_Bonds[[#This Row],[Quantidade]]*tbl_Bonds[[#This Row],[𝛿P/𝛿r_implicita]]</f>
        <v>76.226686467627673</v>
      </c>
      <c r="AA85" s="18">
        <f>tbl_Bonds[[#This Row],[Quantidade]]*tbl_Bonds[[#This Row],[𝛿P/𝛿du]]</f>
        <v>94.007967612118406</v>
      </c>
    </row>
    <row r="86" spans="1:27">
      <c r="A86" s="2" t="s">
        <v>84</v>
      </c>
      <c r="B86" s="3">
        <v>49444</v>
      </c>
      <c r="C86" s="3">
        <v>45792</v>
      </c>
      <c r="D86" s="4">
        <f>NETWORKDAYS(Dashboard!$C$10,bonds!C86,feriados)-1</f>
        <v>660</v>
      </c>
      <c r="E86" s="2">
        <f>IF(tbl_Bonds[[#This Row],[Coupon]]&lt;tbl_Bonds[[#This Row],[Maturity]],SQRT(1.06)-1,SQRT(1.06))</f>
        <v>2.9563014098699991E-2</v>
      </c>
      <c r="F86" s="5" cm="1">
        <f t="array" ref="F86">Svensson(betas_pre,tbl_Bonds[[#This Row],[DU]])</f>
        <v>0.11818582291207119</v>
      </c>
      <c r="G86" s="49">
        <f>IF(curve_type="Simulada",_xlfn.XLOOKUP(tbl_Bonds[[#This Row],[Coupon]],Simulador!$B$5:$B$147,Simulador!$H$5:$H$147),0)</f>
        <v>0</v>
      </c>
      <c r="H86" s="5" cm="1">
        <f t="array" ref="H8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0.11818582291207119</v>
      </c>
      <c r="I86" s="5" cm="1">
        <f t="array" ref="I86">Interpola_FF(tbl_Bonds[[#This Row],[DU]],dus_svensson,svensson_implicita)</f>
        <v>5.2626601395276529E-2</v>
      </c>
      <c r="J86" s="49">
        <f>IF(curve_type="Simulada",_xlfn.XLOOKUP(tbl_Bonds[[#This Row],[Coupon]],Simulador!$B$5:$B$147,Simulador!$N$5:$N$147),0)</f>
        <v>0</v>
      </c>
      <c r="K86" s="5" cm="1">
        <f t="array" ref="K8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5.2626601395276529E-2</v>
      </c>
      <c r="L86" s="5" cm="1">
        <f t="array" ref="L86">Interpola_FF(tbl_Bonds[[#This Row],[DU]],dus_svensson,svensson_real_spot)</f>
        <v>6.2283233879442124E-2</v>
      </c>
      <c r="M86" s="49">
        <f>IF(curve_type="Simulada",_xlfn.XLOOKUP(tbl_Bonds[[#This Row],[Coupon]],Simulador!$B$5:$B$147,Simulador!$K$5:$K$147),0)</f>
        <v>0</v>
      </c>
      <c r="N86" s="5" cm="1">
        <f t="array" ref="N8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6.2283233879442124E-2</v>
      </c>
      <c r="O86" s="6">
        <f>IF(curve_type="Mercado",tbl_Bonds[[#This Row],[FC]]/(1+tbl_Bonds[[#This Row],[Real Mercado]])^(tbl_Bonds[[#This Row],[DU]]/252),tbl_Bonds[[#This Row],[FC]]/(1+tbl_Bonds[[#This Row],[Real Simulada]])^(tbl_Bonds[[#This Row],[DU]]/252))</f>
        <v>2.5236204875844076E-2</v>
      </c>
      <c r="P86" s="7">
        <f>tbl_Bonds[[#This Row],[Cotação]]*VNA</f>
        <v>99.816869664745283</v>
      </c>
      <c r="Q86" s="18">
        <f>tbl_Bonds[[#This Row],[Cotação]]%%*VNA</f>
        <v>9.9816869664745272E-3</v>
      </c>
      <c r="R8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-2.4609739333032402E-2</v>
      </c>
      <c r="S8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-2.3379496647249337E-2</v>
      </c>
      <c r="T8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2.4835608052391964E-2</v>
      </c>
      <c r="U86" s="18">
        <f>IF(curve_type="Mercado",tbl_Bonds[[#This Row],[VP Cupom]]*LN(1+tbl_Bonds[[#This Row],[Real Mercado]])/252,tbl_Bonds[[#This Row],[VP Cupom]]*LN(1+tbl_Bonds[[#This Row],[Real Simulada]])/252)</f>
        <v>2.3932514844771872E-2</v>
      </c>
      <c r="V86" s="18">
        <f>SUMIF(Dashboard!$B$28:$B$42,tbl_Bonds[[#This Row],[Bond]],Dashboard!$C$28:$C$42)</f>
        <v>3670</v>
      </c>
      <c r="W86" s="18">
        <f>tbl_Bonds[[#This Row],[Quantidade]]*tbl_Bonds[[#This Row],[𝛿P/𝛿VNA]]</f>
        <v>36.632791166961518</v>
      </c>
      <c r="X86" s="18">
        <f>+tbl_Bonds[[#This Row],[Quantidade]]*tbl_Bonds[[#This Row],[𝛿P/𝛿r_real]]</f>
        <v>-90.317743352228916</v>
      </c>
      <c r="Y86" s="18">
        <f>tbl_Bonds[[#This Row],[Quantidade]]*tbl_Bonds[[#This Row],[𝛿P/𝛿r_pre]]</f>
        <v>-85.802752695405061</v>
      </c>
      <c r="Z86" s="18">
        <f>tbl_Bonds[[#This Row],[Quantidade]]*tbl_Bonds[[#This Row],[𝛿P/𝛿r_implicita]]</f>
        <v>91.146681552278508</v>
      </c>
      <c r="AA86" s="18">
        <f>tbl_Bonds[[#This Row],[Quantidade]]*tbl_Bonds[[#This Row],[𝛿P/𝛿du]]</f>
        <v>87.832329480312765</v>
      </c>
    </row>
    <row r="87" spans="1:27">
      <c r="A87" s="2" t="s">
        <v>84</v>
      </c>
      <c r="B87" s="3">
        <v>49444</v>
      </c>
      <c r="C87" s="3">
        <v>45978</v>
      </c>
      <c r="D87" s="4">
        <f>NETWORKDAYS(Dashboard!$C$10,bonds!C87,feriados)-1</f>
        <v>791</v>
      </c>
      <c r="E87" s="2">
        <f>IF(tbl_Bonds[[#This Row],[Coupon]]&lt;tbl_Bonds[[#This Row],[Maturity]],SQRT(1.06)-1,SQRT(1.06))</f>
        <v>2.9563014098699991E-2</v>
      </c>
      <c r="F87" s="5" cm="1">
        <f t="array" ref="F87">Svensson(betas_pre,tbl_Bonds[[#This Row],[DU]])</f>
        <v>0.11689729255746713</v>
      </c>
      <c r="G87" s="49">
        <f>IF(curve_type="Simulada",_xlfn.XLOOKUP(tbl_Bonds[[#This Row],[Coupon]],Simulador!$B$5:$B$147,Simulador!$H$5:$H$147),0)</f>
        <v>0</v>
      </c>
      <c r="H87" s="5" cm="1">
        <f t="array" ref="H8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0.11689729255746713</v>
      </c>
      <c r="I87" s="5" cm="1">
        <f t="array" ref="I87">Interpola_FF(tbl_Bonds[[#This Row],[DU]],dus_svensson,svensson_implicita)</f>
        <v>5.3651431773697356E-2</v>
      </c>
      <c r="J87" s="49">
        <f>IF(curve_type="Simulada",_xlfn.XLOOKUP(tbl_Bonds[[#This Row],[Coupon]],Simulador!$B$5:$B$147,Simulador!$N$5:$N$147),0)</f>
        <v>0</v>
      </c>
      <c r="K87" s="5" cm="1">
        <f t="array" ref="K8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5.3651431773697356E-2</v>
      </c>
      <c r="L87" s="5" cm="1">
        <f t="array" ref="L87">Interpola_FF(tbl_Bonds[[#This Row],[DU]],dus_svensson,svensson_real_spot)</f>
        <v>6.0071388550429816E-2</v>
      </c>
      <c r="M87" s="49">
        <f>IF(curve_type="Simulada",_xlfn.XLOOKUP(tbl_Bonds[[#This Row],[Coupon]],Simulador!$B$5:$B$147,Simulador!$K$5:$K$147),0)</f>
        <v>0</v>
      </c>
      <c r="N87" s="5" cm="1">
        <f t="array" ref="N8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6.0071388550429816E-2</v>
      </c>
      <c r="O87" s="6">
        <f>IF(curve_type="Mercado",tbl_Bonds[[#This Row],[FC]]/(1+tbl_Bonds[[#This Row],[Real Mercado]])^(tbl_Bonds[[#This Row],[DU]]/252),tbl_Bonds[[#This Row],[FC]]/(1+tbl_Bonds[[#This Row],[Real Simulada]])^(tbl_Bonds[[#This Row],[DU]]/252))</f>
        <v>2.4616403711601106E-2</v>
      </c>
      <c r="P87" s="7">
        <f>tbl_Bonds[[#This Row],[Cotação]]*VNA</f>
        <v>97.365367454580706</v>
      </c>
      <c r="Q87" s="18">
        <f>tbl_Bonds[[#This Row],[Cotação]]%%*VNA</f>
        <v>9.7365367454580708E-3</v>
      </c>
      <c r="R8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-2.883004610507213E-2</v>
      </c>
      <c r="S8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-2.7366946131968849E-2</v>
      </c>
      <c r="T8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2.9009658335401964E-2</v>
      </c>
      <c r="U87" s="18">
        <f>IF(curve_type="Mercado",tbl_Bonds[[#This Row],[VP Cupom]]*LN(1+tbl_Bonds[[#This Row],[Real Mercado]])/252,tbl_Bonds[[#This Row],[VP Cupom]]*LN(1+tbl_Bonds[[#This Row],[Real Simulada]])/252)</f>
        <v>2.2539407787152282E-2</v>
      </c>
      <c r="V87" s="18">
        <f>SUMIF(Dashboard!$B$28:$B$42,tbl_Bonds[[#This Row],[Bond]],Dashboard!$C$28:$C$42)</f>
        <v>3670</v>
      </c>
      <c r="W87" s="18">
        <f>tbl_Bonds[[#This Row],[Quantidade]]*tbl_Bonds[[#This Row],[𝛿P/𝛿VNA]]</f>
        <v>35.733089855831118</v>
      </c>
      <c r="X87" s="18">
        <f>+tbl_Bonds[[#This Row],[Quantidade]]*tbl_Bonds[[#This Row],[𝛿P/𝛿r_real]]</f>
        <v>-105.80626920561471</v>
      </c>
      <c r="Y87" s="18">
        <f>tbl_Bonds[[#This Row],[Quantidade]]*tbl_Bonds[[#This Row],[𝛿P/𝛿r_pre]]</f>
        <v>-100.43669230432567</v>
      </c>
      <c r="Z87" s="18">
        <f>tbl_Bonds[[#This Row],[Quantidade]]*tbl_Bonds[[#This Row],[𝛿P/𝛿r_implicita]]</f>
        <v>106.46544609092521</v>
      </c>
      <c r="AA87" s="18">
        <f>tbl_Bonds[[#This Row],[Quantidade]]*tbl_Bonds[[#This Row],[𝛿P/𝛿du]]</f>
        <v>82.719626578848874</v>
      </c>
    </row>
    <row r="88" spans="1:27">
      <c r="A88" s="2" t="s">
        <v>84</v>
      </c>
      <c r="B88" s="3">
        <v>49444</v>
      </c>
      <c r="C88" s="3">
        <v>46157</v>
      </c>
      <c r="D88" s="4">
        <f>NETWORKDAYS(Dashboard!$C$10,bonds!C88,feriados)-1</f>
        <v>913</v>
      </c>
      <c r="E88" s="2">
        <f>IF(tbl_Bonds[[#This Row],[Coupon]]&lt;tbl_Bonds[[#This Row],[Maturity]],SQRT(1.06)-1,SQRT(1.06))</f>
        <v>2.9563014098699991E-2</v>
      </c>
      <c r="F88" s="5" cm="1">
        <f t="array" ref="F88">Svensson(betas_pre,tbl_Bonds[[#This Row],[DU]])</f>
        <v>0.11643527123250733</v>
      </c>
      <c r="G88" s="49">
        <f>IF(curve_type="Simulada",_xlfn.XLOOKUP(tbl_Bonds[[#This Row],[Coupon]],Simulador!$B$5:$B$147,Simulador!$H$5:$H$147),0)</f>
        <v>0</v>
      </c>
      <c r="H88" s="5" cm="1">
        <f t="array" ref="H8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0.11643527123250733</v>
      </c>
      <c r="I88" s="5" cm="1">
        <f t="array" ref="I88">Interpola_FF(tbl_Bonds[[#This Row],[DU]],dus_svensson,svensson_implicita)</f>
        <v>5.4589692520684352E-2</v>
      </c>
      <c r="J88" s="49">
        <f>IF(curve_type="Simulada",_xlfn.XLOOKUP(tbl_Bonds[[#This Row],[Coupon]],Simulador!$B$5:$B$147,Simulador!$N$5:$N$147),0)</f>
        <v>0</v>
      </c>
      <c r="K88" s="5" cm="1">
        <f t="array" ref="K8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5.4589692520684352E-2</v>
      </c>
      <c r="L88" s="5" cm="1">
        <f t="array" ref="L88">Interpola_FF(tbl_Bonds[[#This Row],[DU]],dus_svensson,svensson_real_spot)</f>
        <v>5.8675502773394728E-2</v>
      </c>
      <c r="M88" s="49">
        <f>IF(curve_type="Simulada",_xlfn.XLOOKUP(tbl_Bonds[[#This Row],[Coupon]],Simulador!$B$5:$B$147,Simulador!$K$5:$K$147),0)</f>
        <v>0</v>
      </c>
      <c r="N88" s="5" cm="1">
        <f t="array" ref="N8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5.8675502773394728E-2</v>
      </c>
      <c r="O88" s="6">
        <f>IF(curve_type="Mercado",tbl_Bonds[[#This Row],[FC]]/(1+tbl_Bonds[[#This Row],[Real Mercado]])^(tbl_Bonds[[#This Row],[DU]]/252),tbl_Bonds[[#This Row],[FC]]/(1+tbl_Bonds[[#This Row],[Real Simulada]])^(tbl_Bonds[[#This Row],[DU]]/252))</f>
        <v>2.4045425231161977E-2</v>
      </c>
      <c r="P88" s="7">
        <f>tbl_Bonds[[#This Row],[Cotação]]*VNA</f>
        <v>95.106973815610033</v>
      </c>
      <c r="Q88" s="18">
        <f>tbl_Bonds[[#This Row],[Cotação]]%%*VNA</f>
        <v>9.5106973815610035E-3</v>
      </c>
      <c r="R8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-3.2547657413984278E-2</v>
      </c>
      <c r="S8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-3.0867081019489678E-2</v>
      </c>
      <c r="T8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3.2677256580974812E-2</v>
      </c>
      <c r="U88" s="18">
        <f>IF(curve_type="Mercado",tbl_Bonds[[#This Row],[VP Cupom]]*LN(1+tbl_Bonds[[#This Row],[Real Mercado]])/252,tbl_Bonds[[#This Row],[VP Cupom]]*LN(1+tbl_Bonds[[#This Row],[Real Simulada]])/252)</f>
        <v>2.1519311923447255E-2</v>
      </c>
      <c r="V88" s="18">
        <f>SUMIF(Dashboard!$B$28:$B$42,tbl_Bonds[[#This Row],[Bond]],Dashboard!$C$28:$C$42)</f>
        <v>3670</v>
      </c>
      <c r="W88" s="18">
        <f>tbl_Bonds[[#This Row],[Quantidade]]*tbl_Bonds[[#This Row],[𝛿P/𝛿VNA]]</f>
        <v>34.904259390328882</v>
      </c>
      <c r="X88" s="18">
        <f>+tbl_Bonds[[#This Row],[Quantidade]]*tbl_Bonds[[#This Row],[𝛿P/𝛿r_real]]</f>
        <v>-119.4499027093223</v>
      </c>
      <c r="Y88" s="18">
        <f>tbl_Bonds[[#This Row],[Quantidade]]*tbl_Bonds[[#This Row],[𝛿P/𝛿r_pre]]</f>
        <v>-113.28218734152712</v>
      </c>
      <c r="Z88" s="18">
        <f>tbl_Bonds[[#This Row],[Quantidade]]*tbl_Bonds[[#This Row],[𝛿P/𝛿r_implicita]]</f>
        <v>119.92553165217755</v>
      </c>
      <c r="AA88" s="18">
        <f>tbl_Bonds[[#This Row],[Quantidade]]*tbl_Bonds[[#This Row],[𝛿P/𝛿du]]</f>
        <v>78.975874759051422</v>
      </c>
    </row>
    <row r="89" spans="1:27">
      <c r="A89" s="2" t="s">
        <v>84</v>
      </c>
      <c r="B89" s="3">
        <v>49444</v>
      </c>
      <c r="C89" s="3">
        <v>46342</v>
      </c>
      <c r="D89" s="4">
        <f>NETWORKDAYS(Dashboard!$C$10,bonds!C89,feriados)-1</f>
        <v>1040</v>
      </c>
      <c r="E89" s="2">
        <f>IF(tbl_Bonds[[#This Row],[Coupon]]&lt;tbl_Bonds[[#This Row],[Maturity]],SQRT(1.06)-1,SQRT(1.06))</f>
        <v>2.9563014098699991E-2</v>
      </c>
      <c r="F89" s="5" cm="1">
        <f t="array" ref="F89">Svensson(betas_pre,tbl_Bonds[[#This Row],[DU]])</f>
        <v>0.11639008955215797</v>
      </c>
      <c r="G89" s="49">
        <f>IF(curve_type="Simulada",_xlfn.XLOOKUP(tbl_Bonds[[#This Row],[Coupon]],Simulador!$B$5:$B$147,Simulador!$H$5:$H$147),0)</f>
        <v>0</v>
      </c>
      <c r="H89" s="5" cm="1">
        <f t="array" ref="H8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0.11639008955215797</v>
      </c>
      <c r="I89" s="5" cm="1">
        <f t="array" ref="I89">Interpola_FF(tbl_Bonds[[#This Row],[DU]],dus_svensson,svensson_implicita)</f>
        <v>5.5484848781022444E-2</v>
      </c>
      <c r="J89" s="49">
        <f>IF(curve_type="Simulada",_xlfn.XLOOKUP(tbl_Bonds[[#This Row],[Coupon]],Simulador!$B$5:$B$147,Simulador!$N$5:$N$147),0)</f>
        <v>0</v>
      </c>
      <c r="K89" s="5" cm="1">
        <f t="array" ref="K8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5.5484848781022444E-2</v>
      </c>
      <c r="L89" s="5" cm="1">
        <f t="array" ref="L89">Interpola_FF(tbl_Bonds[[#This Row],[DU]],dus_svensson,svensson_real_spot)</f>
        <v>5.7724810900317891E-2</v>
      </c>
      <c r="M89" s="49">
        <f>IF(curve_type="Simulada",_xlfn.XLOOKUP(tbl_Bonds[[#This Row],[Coupon]],Simulador!$B$5:$B$147,Simulador!$K$5:$K$147),0)</f>
        <v>0</v>
      </c>
      <c r="N89" s="5" cm="1">
        <f t="array" ref="N8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5.7724810900317891E-2</v>
      </c>
      <c r="O89" s="6">
        <f>IF(curve_type="Mercado",tbl_Bonds[[#This Row],[FC]]/(1+tbl_Bonds[[#This Row],[Real Mercado]])^(tbl_Bonds[[#This Row],[DU]]/252),tbl_Bonds[[#This Row],[FC]]/(1+tbl_Bonds[[#This Row],[Real Simulada]])^(tbl_Bonds[[#This Row],[DU]]/252))</f>
        <v>2.3451088136767103E-2</v>
      </c>
      <c r="P89" s="7">
        <f>tbl_Bonds[[#This Row],[Cotação]]*VNA</f>
        <v>92.756189750414791</v>
      </c>
      <c r="Q89" s="18">
        <f>tbl_Bonds[[#This Row],[Cotação]]%%*VNA</f>
        <v>9.2756189750414809E-3</v>
      </c>
      <c r="R8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-3.6191201986994492E-2</v>
      </c>
      <c r="S8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-3.429222973932803E-2</v>
      </c>
      <c r="T8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3.6271013718335375E-2</v>
      </c>
      <c r="U89" s="18">
        <f>IF(curve_type="Mercado",tbl_Bonds[[#This Row],[VP Cupom]]*LN(1+tbl_Bonds[[#This Row],[Real Mercado]])/252,tbl_Bonds[[#This Row],[VP Cupom]]*LN(1+tbl_Bonds[[#This Row],[Real Simulada]])/252)</f>
        <v>2.0656728547456874E-2</v>
      </c>
      <c r="V89" s="18">
        <f>SUMIF(Dashboard!$B$28:$B$42,tbl_Bonds[[#This Row],[Bond]],Dashboard!$C$28:$C$42)</f>
        <v>3670</v>
      </c>
      <c r="W89" s="18">
        <f>tbl_Bonds[[#This Row],[Quantidade]]*tbl_Bonds[[#This Row],[𝛿P/𝛿VNA]]</f>
        <v>34.041521638402237</v>
      </c>
      <c r="X89" s="18">
        <f>+tbl_Bonds[[#This Row],[Quantidade]]*tbl_Bonds[[#This Row],[𝛿P/𝛿r_real]]</f>
        <v>-132.82171129226978</v>
      </c>
      <c r="Y89" s="18">
        <f>tbl_Bonds[[#This Row],[Quantidade]]*tbl_Bonds[[#This Row],[𝛿P/𝛿r_pre]]</f>
        <v>-125.85248314333387</v>
      </c>
      <c r="Z89" s="18">
        <f>tbl_Bonds[[#This Row],[Quantidade]]*tbl_Bonds[[#This Row],[𝛿P/𝛿r_implicita]]</f>
        <v>133.11462034629082</v>
      </c>
      <c r="AA89" s="18">
        <f>tbl_Bonds[[#This Row],[Quantidade]]*tbl_Bonds[[#This Row],[𝛿P/𝛿du]]</f>
        <v>75.81019376916673</v>
      </c>
    </row>
    <row r="90" spans="1:27">
      <c r="A90" s="2" t="s">
        <v>84</v>
      </c>
      <c r="B90" s="3">
        <v>49444</v>
      </c>
      <c r="C90" s="3">
        <v>46524</v>
      </c>
      <c r="D90" s="4">
        <f>NETWORKDAYS(Dashboard!$C$10,bonds!C90,feriados)-1</f>
        <v>1164</v>
      </c>
      <c r="E90" s="2">
        <f>IF(tbl_Bonds[[#This Row],[Coupon]]&lt;tbl_Bonds[[#This Row],[Maturity]],SQRT(1.06)-1,SQRT(1.06))</f>
        <v>2.9563014098699991E-2</v>
      </c>
      <c r="F90" s="5" cm="1">
        <f t="array" ref="F90">Svensson(betas_pre,tbl_Bonds[[#This Row],[DU]])</f>
        <v>0.11657438368857059</v>
      </c>
      <c r="G90" s="49">
        <f>IF(curve_type="Simulada",_xlfn.XLOOKUP(tbl_Bonds[[#This Row],[Coupon]],Simulador!$B$5:$B$147,Simulador!$H$5:$H$147),0)</f>
        <v>0</v>
      </c>
      <c r="H90" s="5" cm="1">
        <f t="array" ref="H9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0.11657438368857059</v>
      </c>
      <c r="I90" s="5" cm="1">
        <f t="array" ref="I90">Interpola_FF(tbl_Bonds[[#This Row],[DU]],dus_svensson,svensson_implicita)</f>
        <v>5.6218908932760714E-2</v>
      </c>
      <c r="J90" s="49">
        <f>IF(curve_type="Simulada",_xlfn.XLOOKUP(tbl_Bonds[[#This Row],[Coupon]],Simulador!$B$5:$B$147,Simulador!$N$5:$N$147),0)</f>
        <v>0</v>
      </c>
      <c r="K90" s="5" cm="1">
        <f t="array" ref="K9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5.6218908932760714E-2</v>
      </c>
      <c r="L90" s="5" cm="1">
        <f t="array" ref="L90">Interpola_FF(tbl_Bonds[[#This Row],[DU]],dus_svensson,svensson_real_spot)</f>
        <v>5.715583461245699E-2</v>
      </c>
      <c r="M90" s="49">
        <f>IF(curve_type="Simulada",_xlfn.XLOOKUP(tbl_Bonds[[#This Row],[Coupon]],Simulador!$B$5:$B$147,Simulador!$K$5:$K$147),0)</f>
        <v>0</v>
      </c>
      <c r="N90" s="5" cm="1">
        <f t="array" ref="N9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5.715583461245699E-2</v>
      </c>
      <c r="O90" s="6">
        <f>IF(curve_type="Mercado",tbl_Bonds[[#This Row],[FC]]/(1+tbl_Bonds[[#This Row],[Real Mercado]])^(tbl_Bonds[[#This Row],[DU]]/252),tbl_Bonds[[#This Row],[FC]]/(1+tbl_Bonds[[#This Row],[Real Simulada]])^(tbl_Bonds[[#This Row],[DU]]/252))</f>
        <v>2.2869120816788407E-2</v>
      </c>
      <c r="P90" s="7">
        <f>tbl_Bonds[[#This Row],[Cotação]]*VNA</f>
        <v>90.454331907159684</v>
      </c>
      <c r="Q90" s="18">
        <f>tbl_Bonds[[#This Row],[Cotação]]%%*VNA</f>
        <v>9.0454331907159676E-3</v>
      </c>
      <c r="R9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-3.9522353540381784E-2</v>
      </c>
      <c r="S9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-3.7421275004550628E-2</v>
      </c>
      <c r="T9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3.9559637421437782E-2</v>
      </c>
      <c r="U90" s="18">
        <f>IF(curve_type="Mercado",tbl_Bonds[[#This Row],[VP Cupom]]*LN(1+tbl_Bonds[[#This Row],[Real Mercado]])/252,tbl_Bonds[[#This Row],[VP Cupom]]*LN(1+tbl_Bonds[[#This Row],[Real Simulada]])/252)</f>
        <v>1.9950968926875819E-2</v>
      </c>
      <c r="V90" s="18">
        <f>SUMIF(Dashboard!$B$28:$B$42,tbl_Bonds[[#This Row],[Bond]],Dashboard!$C$28:$C$42)</f>
        <v>3670</v>
      </c>
      <c r="W90" s="18">
        <f>tbl_Bonds[[#This Row],[Quantidade]]*tbl_Bonds[[#This Row],[𝛿P/𝛿VNA]]</f>
        <v>33.1967398099276</v>
      </c>
      <c r="X90" s="18">
        <f>+tbl_Bonds[[#This Row],[Quantidade]]*tbl_Bonds[[#This Row],[𝛿P/𝛿r_real]]</f>
        <v>-145.04703749320115</v>
      </c>
      <c r="Y90" s="18">
        <f>tbl_Bonds[[#This Row],[Quantidade]]*tbl_Bonds[[#This Row],[𝛿P/𝛿r_pre]]</f>
        <v>-137.33607926670081</v>
      </c>
      <c r="Z90" s="18">
        <f>tbl_Bonds[[#This Row],[Quantidade]]*tbl_Bonds[[#This Row],[𝛿P/𝛿r_implicita]]</f>
        <v>145.18386933667665</v>
      </c>
      <c r="AA90" s="18">
        <f>tbl_Bonds[[#This Row],[Quantidade]]*tbl_Bonds[[#This Row],[𝛿P/𝛿du]]</f>
        <v>73.220055961634259</v>
      </c>
    </row>
    <row r="91" spans="1:27">
      <c r="A91" s="2" t="s">
        <v>84</v>
      </c>
      <c r="B91" s="3">
        <v>49444</v>
      </c>
      <c r="C91" s="3">
        <v>46707</v>
      </c>
      <c r="D91" s="4">
        <f>NETWORKDAYS(Dashboard!$C$10,bonds!C91,feriados)-1</f>
        <v>1290</v>
      </c>
      <c r="E91" s="2">
        <f>IF(tbl_Bonds[[#This Row],[Coupon]]&lt;tbl_Bonds[[#This Row],[Maturity]],SQRT(1.06)-1,SQRT(1.06))</f>
        <v>2.9563014098699991E-2</v>
      </c>
      <c r="F91" s="5" cm="1">
        <f t="array" ref="F91">Svensson(betas_pre,tbl_Bonds[[#This Row],[DU]])</f>
        <v>0.11686894003503029</v>
      </c>
      <c r="G91" s="49">
        <f>IF(curve_type="Simulada",_xlfn.XLOOKUP(tbl_Bonds[[#This Row],[Coupon]],Simulador!$B$5:$B$147,Simulador!$H$5:$H$147),0)</f>
        <v>0</v>
      </c>
      <c r="H91" s="5" cm="1">
        <f t="array" ref="H9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0.11686894003503029</v>
      </c>
      <c r="I91" s="5" cm="1">
        <f t="array" ref="I91">Interpola_FF(tbl_Bonds[[#This Row],[DU]],dus_svensson,svensson_implicita)</f>
        <v>5.6808529739978075E-2</v>
      </c>
      <c r="J91" s="49">
        <f>IF(curve_type="Simulada",_xlfn.XLOOKUP(tbl_Bonds[[#This Row],[Coupon]],Simulador!$B$5:$B$147,Simulador!$N$5:$N$147),0)</f>
        <v>0</v>
      </c>
      <c r="K91" s="5" cm="1">
        <f t="array" ref="K9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5.6808529739978075E-2</v>
      </c>
      <c r="L91" s="5" cm="1">
        <f t="array" ref="L91">Interpola_FF(tbl_Bonds[[#This Row],[DU]],dus_svensson,svensson_real_spot)</f>
        <v>5.6839715309690009E-2</v>
      </c>
      <c r="M91" s="49">
        <f>IF(curve_type="Simulada",_xlfn.XLOOKUP(tbl_Bonds[[#This Row],[Coupon]],Simulador!$B$5:$B$147,Simulador!$K$5:$K$147),0)</f>
        <v>0</v>
      </c>
      <c r="N91" s="5" cm="1">
        <f t="array" ref="N9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5.6839715309690009E-2</v>
      </c>
      <c r="O91" s="6">
        <f>IF(curve_type="Mercado",tbl_Bonds[[#This Row],[FC]]/(1+tbl_Bonds[[#This Row],[Real Mercado]])^(tbl_Bonds[[#This Row],[DU]]/252),tbl_Bonds[[#This Row],[FC]]/(1+tbl_Bonds[[#This Row],[Real Simulada]])^(tbl_Bonds[[#This Row],[DU]]/252))</f>
        <v>2.2276392136812775E-2</v>
      </c>
      <c r="P91" s="7">
        <f>tbl_Bonds[[#This Row],[Cotação]]*VNA</f>
        <v>88.109909610433292</v>
      </c>
      <c r="Q91" s="18">
        <f>tbl_Bonds[[#This Row],[Cotação]]%%*VNA</f>
        <v>8.8109909610433277E-3</v>
      </c>
      <c r="R9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-4.2678072793055445E-2</v>
      </c>
      <c r="S9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-4.0385754851421457E-2</v>
      </c>
      <c r="T9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4.2680953024214943E-2</v>
      </c>
      <c r="U91" s="18">
        <f>IF(curve_type="Mercado",tbl_Bonds[[#This Row],[VP Cupom]]*LN(1+tbl_Bonds[[#This Row],[Real Mercado]])/252,tbl_Bonds[[#This Row],[VP Cupom]]*LN(1+tbl_Bonds[[#This Row],[Real Simulada]])/252)</f>
        <v>1.9329305208177574E-2</v>
      </c>
      <c r="V91" s="18">
        <f>SUMIF(Dashboard!$B$28:$B$42,tbl_Bonds[[#This Row],[Bond]],Dashboard!$C$28:$C$42)</f>
        <v>3670</v>
      </c>
      <c r="W91" s="18">
        <f>tbl_Bonds[[#This Row],[Quantidade]]*tbl_Bonds[[#This Row],[𝛿P/𝛿VNA]]</f>
        <v>32.336336827029015</v>
      </c>
      <c r="X91" s="18">
        <f>+tbl_Bonds[[#This Row],[Quantidade]]*tbl_Bonds[[#This Row],[𝛿P/𝛿r_real]]</f>
        <v>-156.62852715051349</v>
      </c>
      <c r="Y91" s="18">
        <f>tbl_Bonds[[#This Row],[Quantidade]]*tbl_Bonds[[#This Row],[𝛿P/𝛿r_pre]]</f>
        <v>-148.21572030471674</v>
      </c>
      <c r="Z91" s="18">
        <f>tbl_Bonds[[#This Row],[Quantidade]]*tbl_Bonds[[#This Row],[𝛿P/𝛿r_implicita]]</f>
        <v>156.63909759886883</v>
      </c>
      <c r="AA91" s="18">
        <f>tbl_Bonds[[#This Row],[Quantidade]]*tbl_Bonds[[#This Row],[𝛿P/𝛿du]]</f>
        <v>70.93855011401169</v>
      </c>
    </row>
    <row r="92" spans="1:27">
      <c r="A92" s="2" t="s">
        <v>84</v>
      </c>
      <c r="B92" s="3">
        <v>49444</v>
      </c>
      <c r="C92" s="3">
        <v>46888</v>
      </c>
      <c r="D92" s="4">
        <f>NETWORKDAYS(Dashboard!$C$10,bonds!C92,feriados)-1</f>
        <v>1414</v>
      </c>
      <c r="E92" s="2">
        <f>IF(tbl_Bonds[[#This Row],[Coupon]]&lt;tbl_Bonds[[#This Row],[Maturity]],SQRT(1.06)-1,SQRT(1.06))</f>
        <v>2.9563014098699991E-2</v>
      </c>
      <c r="F92" s="5" cm="1">
        <f t="array" ref="F92">Svensson(betas_pre,tbl_Bonds[[#This Row],[DU]])</f>
        <v>0.11719588464999479</v>
      </c>
      <c r="G92" s="49">
        <f>IF(curve_type="Simulada",_xlfn.XLOOKUP(tbl_Bonds[[#This Row],[Coupon]],Simulador!$B$5:$B$147,Simulador!$H$5:$H$147),0)</f>
        <v>0</v>
      </c>
      <c r="H92" s="5" cm="1">
        <f t="array" ref="H9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0.11719588464999479</v>
      </c>
      <c r="I92" s="5" cm="1">
        <f t="array" ref="I92">Interpola_FF(tbl_Bonds[[#This Row],[DU]],dus_svensson,svensson_implicita)</f>
        <v>5.724503337137854E-2</v>
      </c>
      <c r="J92" s="49">
        <f>IF(curve_type="Simulada",_xlfn.XLOOKUP(tbl_Bonds[[#This Row],[Coupon]],Simulador!$B$5:$B$147,Simulador!$N$5:$N$147),0)</f>
        <v>0</v>
      </c>
      <c r="K92" s="5" cm="1">
        <f t="array" ref="K9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5.724503337137854E-2</v>
      </c>
      <c r="L92" s="5" cm="1">
        <f t="array" ref="L92">Interpola_FF(tbl_Bonds[[#This Row],[DU]],dus_svensson,svensson_real_spot)</f>
        <v>5.6709240208270062E-2</v>
      </c>
      <c r="M92" s="49">
        <f>IF(curve_type="Simulada",_xlfn.XLOOKUP(tbl_Bonds[[#This Row],[Coupon]],Simulador!$B$5:$B$147,Simulador!$K$5:$K$147),0)</f>
        <v>0</v>
      </c>
      <c r="N92" s="5" cm="1">
        <f t="array" ref="N9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5.6709240208270062E-2</v>
      </c>
      <c r="O92" s="6">
        <f>IF(curve_type="Mercado",tbl_Bonds[[#This Row],[FC]]/(1+tbl_Bonds[[#This Row],[Real Mercado]])^(tbl_Bonds[[#This Row],[DU]]/252),tbl_Bonds[[#This Row],[FC]]/(1+tbl_Bonds[[#This Row],[Real Simulada]])^(tbl_Bonds[[#This Row],[DU]]/252))</f>
        <v>2.1693604087250247E-2</v>
      </c>
      <c r="P92" s="7">
        <f>tbl_Bonds[[#This Row],[Cotação]]*VNA</f>
        <v>85.804805531925993</v>
      </c>
      <c r="Q92" s="18">
        <f>tbl_Bonds[[#This Row],[Cotação]]%%*VNA</f>
        <v>8.5804805531925973E-3</v>
      </c>
      <c r="R9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-4.5562230307745345E-2</v>
      </c>
      <c r="S9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-4.3096443240183024E-2</v>
      </c>
      <c r="T9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4.5540217746354646E-2</v>
      </c>
      <c r="U92" s="18">
        <f>IF(curve_type="Mercado",tbl_Bonds[[#This Row],[VP Cupom]]*LN(1+tbl_Bonds[[#This Row],[Real Mercado]])/252,tbl_Bonds[[#This Row],[VP Cupom]]*LN(1+tbl_Bonds[[#This Row],[Real Simulada]])/252)</f>
        <v>1.8781578541876735E-2</v>
      </c>
      <c r="V92" s="18">
        <f>SUMIF(Dashboard!$B$28:$B$42,tbl_Bonds[[#This Row],[Bond]],Dashboard!$C$28:$C$42)</f>
        <v>3670</v>
      </c>
      <c r="W92" s="18">
        <f>tbl_Bonds[[#This Row],[Quantidade]]*tbl_Bonds[[#This Row],[𝛿P/𝛿VNA]]</f>
        <v>31.490363630216834</v>
      </c>
      <c r="X92" s="18">
        <f>+tbl_Bonds[[#This Row],[Quantidade]]*tbl_Bonds[[#This Row],[𝛿P/𝛿r_real]]</f>
        <v>-167.21338522942543</v>
      </c>
      <c r="Y92" s="18">
        <f>tbl_Bonds[[#This Row],[Quantidade]]*tbl_Bonds[[#This Row],[𝛿P/𝛿r_pre]]</f>
        <v>-158.16394669147169</v>
      </c>
      <c r="Z92" s="18">
        <f>tbl_Bonds[[#This Row],[Quantidade]]*tbl_Bonds[[#This Row],[𝛿P/𝛿r_implicita]]</f>
        <v>167.13259912912156</v>
      </c>
      <c r="AA92" s="18">
        <f>tbl_Bonds[[#This Row],[Quantidade]]*tbl_Bonds[[#This Row],[𝛿P/𝛿du]]</f>
        <v>68.928393248687613</v>
      </c>
    </row>
    <row r="93" spans="1:27">
      <c r="A93" s="2" t="s">
        <v>84</v>
      </c>
      <c r="B93" s="3">
        <v>49444</v>
      </c>
      <c r="C93" s="3">
        <v>47073</v>
      </c>
      <c r="D93" s="4">
        <f>NETWORKDAYS(Dashboard!$C$10,bonds!C93,feriados)-1</f>
        <v>1542</v>
      </c>
      <c r="E93" s="2">
        <f>IF(tbl_Bonds[[#This Row],[Coupon]]&lt;tbl_Bonds[[#This Row],[Maturity]],SQRT(1.06)-1,SQRT(1.06))</f>
        <v>2.9563014098699991E-2</v>
      </c>
      <c r="F93" s="5" cm="1">
        <f t="array" ref="F93">Svensson(betas_pre,tbl_Bonds[[#This Row],[DU]])</f>
        <v>0.11753368327278076</v>
      </c>
      <c r="G93" s="49">
        <f>IF(curve_type="Simulada",_xlfn.XLOOKUP(tbl_Bonds[[#This Row],[Coupon]],Simulador!$B$5:$B$147,Simulador!$H$5:$H$147),0)</f>
        <v>0</v>
      </c>
      <c r="H93" s="5" cm="1">
        <f t="array" ref="H9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0.11753368327278076</v>
      </c>
      <c r="I93" s="5" cm="1">
        <f t="array" ref="I93">Interpola_FF(tbl_Bonds[[#This Row],[DU]],dus_svensson,svensson_implicita)</f>
        <v>5.7567744841153123E-2</v>
      </c>
      <c r="J93" s="49">
        <f>IF(curve_type="Simulada",_xlfn.XLOOKUP(tbl_Bonds[[#This Row],[Coupon]],Simulador!$B$5:$B$147,Simulador!$N$5:$N$147),0)</f>
        <v>0</v>
      </c>
      <c r="K93" s="5" cm="1">
        <f t="array" ref="K9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5.7567744841153123E-2</v>
      </c>
      <c r="L93" s="5" cm="1">
        <f t="array" ref="L93">Interpola_FF(tbl_Bonds[[#This Row],[DU]],dus_svensson,svensson_real_spot)</f>
        <v>5.6704466377620388E-2</v>
      </c>
      <c r="M93" s="49">
        <f>IF(curve_type="Simulada",_xlfn.XLOOKUP(tbl_Bonds[[#This Row],[Coupon]],Simulador!$B$5:$B$147,Simulador!$K$5:$K$147),0)</f>
        <v>0</v>
      </c>
      <c r="N93" s="5" cm="1">
        <f t="array" ref="N9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5.6704466377620388E-2</v>
      </c>
      <c r="O93" s="6">
        <f>IF(curve_type="Mercado",tbl_Bonds[[#This Row],[FC]]/(1+tbl_Bonds[[#This Row],[Real Mercado]])^(tbl_Bonds[[#This Row],[DU]]/252),tbl_Bonds[[#This Row],[FC]]/(1+tbl_Bonds[[#This Row],[Real Simulada]])^(tbl_Bonds[[#This Row],[DU]]/252))</f>
        <v>2.1094820773065563E-2</v>
      </c>
      <c r="P93" s="7">
        <f>tbl_Bonds[[#This Row],[Cotação]]*VNA</f>
        <v>83.436435314476739</v>
      </c>
      <c r="Q93" s="18">
        <f>tbl_Bonds[[#This Row],[Cotação]]%%*VNA</f>
        <v>8.3436435314476719E-3</v>
      </c>
      <c r="R9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-4.831545026047241E-2</v>
      </c>
      <c r="S9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-4.5686279440131455E-2</v>
      </c>
      <c r="T9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4.8276771286579125E-2</v>
      </c>
      <c r="U93" s="18">
        <f>IF(curve_type="Mercado",tbl_Bonds[[#This Row],[VP Cupom]]*LN(1+tbl_Bonds[[#This Row],[Real Mercado]])/252,tbl_Bonds[[#This Row],[VP Cupom]]*LN(1+tbl_Bonds[[#This Row],[Real Simulada]])/252)</f>
        <v>1.8261676700950958E-2</v>
      </c>
      <c r="V93" s="18">
        <f>SUMIF(Dashboard!$B$28:$B$42,tbl_Bonds[[#This Row],[Bond]],Dashboard!$C$28:$C$42)</f>
        <v>3670</v>
      </c>
      <c r="W93" s="18">
        <f>tbl_Bonds[[#This Row],[Quantidade]]*tbl_Bonds[[#This Row],[𝛿P/𝛿VNA]]</f>
        <v>30.621171760412956</v>
      </c>
      <c r="X93" s="18">
        <f>+tbl_Bonds[[#This Row],[Quantidade]]*tbl_Bonds[[#This Row],[𝛿P/𝛿r_real]]</f>
        <v>-177.31770245593376</v>
      </c>
      <c r="Y93" s="18">
        <f>tbl_Bonds[[#This Row],[Quantidade]]*tbl_Bonds[[#This Row],[𝛿P/𝛿r_pre]]</f>
        <v>-167.66864554528243</v>
      </c>
      <c r="Z93" s="18">
        <f>tbl_Bonds[[#This Row],[Quantidade]]*tbl_Bonds[[#This Row],[𝛿P/𝛿r_implicita]]</f>
        <v>177.17575062174538</v>
      </c>
      <c r="AA93" s="18">
        <f>tbl_Bonds[[#This Row],[Quantidade]]*tbl_Bonds[[#This Row],[𝛿P/𝛿du]]</f>
        <v>67.020353492490017</v>
      </c>
    </row>
    <row r="94" spans="1:27">
      <c r="A94" s="2" t="s">
        <v>84</v>
      </c>
      <c r="B94" s="3">
        <v>49444</v>
      </c>
      <c r="C94" s="3">
        <v>47253</v>
      </c>
      <c r="D94" s="4">
        <f>NETWORKDAYS(Dashboard!$C$10,bonds!C94,feriados)-1</f>
        <v>1664</v>
      </c>
      <c r="E94" s="2">
        <f>IF(tbl_Bonds[[#This Row],[Coupon]]&lt;tbl_Bonds[[#This Row],[Maturity]],SQRT(1.06)-1,SQRT(1.06))</f>
        <v>2.9563014098699991E-2</v>
      </c>
      <c r="F94" s="5" cm="1">
        <f t="array" ref="F94">Svensson(betas_pre,tbl_Bonds[[#This Row],[DU]])</f>
        <v>0.1178385328920409</v>
      </c>
      <c r="G94" s="49">
        <f>IF(curve_type="Simulada",_xlfn.XLOOKUP(tbl_Bonds[[#This Row],[Coupon]],Simulador!$B$5:$B$147,Simulador!$H$5:$H$147),0)</f>
        <v>0</v>
      </c>
      <c r="H94" s="5" cm="1">
        <f t="array" ref="H9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0.1178385328920409</v>
      </c>
      <c r="I94" s="5" cm="1">
        <f t="array" ref="I94">Interpola_FF(tbl_Bonds[[#This Row],[DU]],dus_svensson,svensson_implicita)</f>
        <v>5.7779762342214047E-2</v>
      </c>
      <c r="J94" s="49">
        <f>IF(curve_type="Simulada",_xlfn.XLOOKUP(tbl_Bonds[[#This Row],[Coupon]],Simulador!$B$5:$B$147,Simulador!$N$5:$N$147),0)</f>
        <v>0</v>
      </c>
      <c r="K94" s="5" cm="1">
        <f t="array" ref="K9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5.7779762342214047E-2</v>
      </c>
      <c r="L94" s="5" cm="1">
        <f t="array" ref="L94">Interpola_FF(tbl_Bonds[[#This Row],[DU]],dus_svensson,svensson_real_spot)</f>
        <v>5.6779566995880826E-2</v>
      </c>
      <c r="M94" s="49">
        <f>IF(curve_type="Simulada",_xlfn.XLOOKUP(tbl_Bonds[[#This Row],[Coupon]],Simulador!$B$5:$B$147,Simulador!$K$5:$K$147),0)</f>
        <v>0</v>
      </c>
      <c r="N94" s="5" cm="1">
        <f t="array" ref="N9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5.6779566995880826E-2</v>
      </c>
      <c r="O94" s="6">
        <f>IF(curve_type="Mercado",tbl_Bonds[[#This Row],[FC]]/(1+tbl_Bonds[[#This Row],[Real Mercado]])^(tbl_Bonds[[#This Row],[DU]]/252),tbl_Bonds[[#This Row],[FC]]/(1+tbl_Bonds[[#This Row],[Real Simulada]])^(tbl_Bonds[[#This Row],[DU]]/252))</f>
        <v>2.0529363275372938E-2</v>
      </c>
      <c r="P94" s="7">
        <f>tbl_Bonds[[#This Row],[Cotação]]*VNA</f>
        <v>81.199878842304329</v>
      </c>
      <c r="Q94" s="18">
        <f>tbl_Bonds[[#This Row],[Cotação]]%%*VNA</f>
        <v>8.1199878842304323E-3</v>
      </c>
      <c r="R9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-5.0736879714333896E-2</v>
      </c>
      <c r="S9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-4.7965938990404196E-2</v>
      </c>
      <c r="T9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5.068935593085773E-2</v>
      </c>
      <c r="U94" s="18">
        <f>IF(curve_type="Mercado",tbl_Bonds[[#This Row],[VP Cupom]]*LN(1+tbl_Bonds[[#This Row],[Real Mercado]])/252,tbl_Bonds[[#This Row],[VP Cupom]]*LN(1+tbl_Bonds[[#This Row],[Real Simulada]])/252)</f>
        <v>1.7795062762309015E-2</v>
      </c>
      <c r="V94" s="18">
        <f>SUMIF(Dashboard!$B$28:$B$42,tbl_Bonds[[#This Row],[Bond]],Dashboard!$C$28:$C$42)</f>
        <v>3670</v>
      </c>
      <c r="W94" s="18">
        <f>tbl_Bonds[[#This Row],[Quantidade]]*tbl_Bonds[[#This Row],[𝛿P/𝛿VNA]]</f>
        <v>29.800355535125686</v>
      </c>
      <c r="X94" s="18">
        <f>+tbl_Bonds[[#This Row],[Quantidade]]*tbl_Bonds[[#This Row],[𝛿P/𝛿r_real]]</f>
        <v>-186.20434855160539</v>
      </c>
      <c r="Y94" s="18">
        <f>tbl_Bonds[[#This Row],[Quantidade]]*tbl_Bonds[[#This Row],[𝛿P/𝛿r_pre]]</f>
        <v>-176.03499609478339</v>
      </c>
      <c r="Z94" s="18">
        <f>tbl_Bonds[[#This Row],[Quantidade]]*tbl_Bonds[[#This Row],[𝛿P/𝛿r_implicita]]</f>
        <v>186.02993626624786</v>
      </c>
      <c r="AA94" s="18">
        <f>tbl_Bonds[[#This Row],[Quantidade]]*tbl_Bonds[[#This Row],[𝛿P/𝛿du]]</f>
        <v>65.307880337674078</v>
      </c>
    </row>
    <row r="95" spans="1:27">
      <c r="A95" s="2" t="s">
        <v>84</v>
      </c>
      <c r="B95" s="3">
        <v>49444</v>
      </c>
      <c r="C95" s="3">
        <v>47438</v>
      </c>
      <c r="D95" s="4">
        <f>NETWORKDAYS(Dashboard!$C$10,bonds!C95,feriados)-1</f>
        <v>1792</v>
      </c>
      <c r="E95" s="2">
        <f>IF(tbl_Bonds[[#This Row],[Coupon]]&lt;tbl_Bonds[[#This Row],[Maturity]],SQRT(1.06)-1,SQRT(1.06))</f>
        <v>2.9563014098699991E-2</v>
      </c>
      <c r="F95" s="5" cm="1">
        <f t="array" ref="F95">Svensson(betas_pre,tbl_Bonds[[#This Row],[DU]])</f>
        <v>0.1181328379826086</v>
      </c>
      <c r="G95" s="49">
        <f>IF(curve_type="Simulada",_xlfn.XLOOKUP(tbl_Bonds[[#This Row],[Coupon]],Simulador!$B$5:$B$147,Simulador!$H$5:$H$147),0)</f>
        <v>0</v>
      </c>
      <c r="H95" s="5" cm="1">
        <f t="array" ref="H9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0.1181328379826086</v>
      </c>
      <c r="I95" s="5" cm="1">
        <f t="array" ref="I95">Interpola_FF(tbl_Bonds[[#This Row],[DU]],dus_svensson,svensson_implicita)</f>
        <v>5.7924849221559604E-2</v>
      </c>
      <c r="J95" s="49">
        <f>IF(curve_type="Simulada",_xlfn.XLOOKUP(tbl_Bonds[[#This Row],[Coupon]],Simulador!$B$5:$B$147,Simulador!$N$5:$N$147),0)</f>
        <v>0</v>
      </c>
      <c r="K95" s="5" cm="1">
        <f t="array" ref="K9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5.7924849221559604E-2</v>
      </c>
      <c r="L95" s="5" cm="1">
        <f t="array" ref="L95">Interpola_FF(tbl_Bonds[[#This Row],[DU]],dus_svensson,svensson_real_spot)</f>
        <v>5.6912256341070222E-2</v>
      </c>
      <c r="M95" s="49">
        <f>IF(curve_type="Simulada",_xlfn.XLOOKUP(tbl_Bonds[[#This Row],[Coupon]],Simulador!$B$5:$B$147,Simulador!$K$5:$K$147),0)</f>
        <v>0</v>
      </c>
      <c r="N95" s="5" cm="1">
        <f t="array" ref="N9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5.6912256341070222E-2</v>
      </c>
      <c r="O95" s="6">
        <f>IF(curve_type="Mercado",tbl_Bonds[[#This Row],[FC]]/(1+tbl_Bonds[[#This Row],[Real Mercado]])^(tbl_Bonds[[#This Row],[DU]]/252),tbl_Bonds[[#This Row],[FC]]/(1+tbl_Bonds[[#This Row],[Real Simulada]])^(tbl_Bonds[[#This Row],[DU]]/252))</f>
        <v>1.9943674554607205E-2</v>
      </c>
      <c r="P95" s="7">
        <f>tbl_Bonds[[#This Row],[Cotação]]*VNA</f>
        <v>78.883301726513693</v>
      </c>
      <c r="Q95" s="18">
        <f>tbl_Bonds[[#This Row],[Cotação]]%%*VNA</f>
        <v>7.8883301726513678E-3</v>
      </c>
      <c r="R9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-5.307421879376157E-2</v>
      </c>
      <c r="S9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-5.016855960886802E-2</v>
      </c>
      <c r="T9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5.3023722785450263E-2</v>
      </c>
      <c r="U95" s="18">
        <f>IF(curve_type="Mercado",tbl_Bonds[[#This Row],[VP Cupom]]*LN(1+tbl_Bonds[[#This Row],[Real Mercado]])/252,tbl_Bonds[[#This Row],[VP Cupom]]*LN(1+tbl_Bonds[[#This Row],[Real Simulada]])/252)</f>
        <v>1.7326683249983914E-2</v>
      </c>
      <c r="V95" s="18">
        <f>SUMIF(Dashboard!$B$28:$B$42,tbl_Bonds[[#This Row],[Bond]],Dashboard!$C$28:$C$42)</f>
        <v>3670</v>
      </c>
      <c r="W95" s="18">
        <f>tbl_Bonds[[#This Row],[Quantidade]]*tbl_Bonds[[#This Row],[𝛿P/𝛿VNA]]</f>
        <v>28.950171733630519</v>
      </c>
      <c r="X95" s="18">
        <f>+tbl_Bonds[[#This Row],[Quantidade]]*tbl_Bonds[[#This Row],[𝛿P/𝛿r_real]]</f>
        <v>-194.78238297310497</v>
      </c>
      <c r="Y95" s="18">
        <f>tbl_Bonds[[#This Row],[Quantidade]]*tbl_Bonds[[#This Row],[𝛿P/𝛿r_pre]]</f>
        <v>-184.11861376454564</v>
      </c>
      <c r="Z95" s="18">
        <f>tbl_Bonds[[#This Row],[Quantidade]]*tbl_Bonds[[#This Row],[𝛿P/𝛿r_implicita]]</f>
        <v>194.59706262260246</v>
      </c>
      <c r="AA95" s="18">
        <f>tbl_Bonds[[#This Row],[Quantidade]]*tbl_Bonds[[#This Row],[𝛿P/𝛿du]]</f>
        <v>63.588927527440966</v>
      </c>
    </row>
    <row r="96" spans="1:27">
      <c r="A96" s="2" t="s">
        <v>84</v>
      </c>
      <c r="B96" s="3">
        <v>49444</v>
      </c>
      <c r="C96" s="3">
        <v>47618</v>
      </c>
      <c r="D96" s="4">
        <f>NETWORKDAYS(Dashboard!$C$10,bonds!C96,feriados)-1</f>
        <v>1914</v>
      </c>
      <c r="E96" s="2">
        <f>IF(tbl_Bonds[[#This Row],[Coupon]]&lt;tbl_Bonds[[#This Row],[Maturity]],SQRT(1.06)-1,SQRT(1.06))</f>
        <v>2.9563014098699991E-2</v>
      </c>
      <c r="F96" s="5" cm="1">
        <f t="array" ref="F96">Svensson(betas_pre,tbl_Bonds[[#This Row],[DU]])</f>
        <v>0.11838727903530923</v>
      </c>
      <c r="G96" s="49">
        <f>IF(curve_type="Simulada",_xlfn.XLOOKUP(tbl_Bonds[[#This Row],[Coupon]],Simulador!$B$5:$B$147,Simulador!$H$5:$H$147),0)</f>
        <v>0</v>
      </c>
      <c r="H96" s="5" cm="1">
        <f t="array" ref="H9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0.11838727903530923</v>
      </c>
      <c r="I96" s="5" cm="1">
        <f t="array" ref="I96">Interpola_FF(tbl_Bonds[[#This Row],[DU]],dus_svensson,svensson_implicita)</f>
        <v>5.8010297393168875E-2</v>
      </c>
      <c r="J96" s="49">
        <f>IF(curve_type="Simulada",_xlfn.XLOOKUP(tbl_Bonds[[#This Row],[Coupon]],Simulador!$B$5:$B$147,Simulador!$N$5:$N$147),0)</f>
        <v>0</v>
      </c>
      <c r="K96" s="5" cm="1">
        <f t="array" ref="K9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5.8010297393168875E-2</v>
      </c>
      <c r="L96" s="5" cm="1">
        <f t="array" ref="L96">Interpola_FF(tbl_Bonds[[#This Row],[DU]],dus_svensson,svensson_real_spot)</f>
        <v>5.7066966659098606E-2</v>
      </c>
      <c r="M96" s="49">
        <f>IF(curve_type="Simulada",_xlfn.XLOOKUP(tbl_Bonds[[#This Row],[Coupon]],Simulador!$B$5:$B$147,Simulador!$K$5:$K$147),0)</f>
        <v>0</v>
      </c>
      <c r="N96" s="5" cm="1">
        <f t="array" ref="N9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5.7066966659098606E-2</v>
      </c>
      <c r="O96" s="6">
        <f>IF(curve_type="Mercado",tbl_Bonds[[#This Row],[FC]]/(1+tbl_Bonds[[#This Row],[Real Mercado]])^(tbl_Bonds[[#This Row],[DU]]/252),tbl_Bonds[[#This Row],[FC]]/(1+tbl_Bonds[[#This Row],[Real Simulada]])^(tbl_Bonds[[#This Row],[DU]]/252))</f>
        <v>1.9394762873732607E-2</v>
      </c>
      <c r="P96" s="7">
        <f>tbl_Bonds[[#This Row],[Cotação]]*VNA</f>
        <v>76.712188994751031</v>
      </c>
      <c r="Q96" s="18">
        <f>tbl_Bonds[[#This Row],[Cotação]]%%*VNA</f>
        <v>7.6712188994751025E-3</v>
      </c>
      <c r="R9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-5.5119245856628855E-2</v>
      </c>
      <c r="S9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-5.2097261687239438E-2</v>
      </c>
      <c r="T9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5.5070271893516619E-2</v>
      </c>
      <c r="U96" s="18">
        <f>IF(curve_type="Mercado",tbl_Bonds[[#This Row],[VP Cupom]]*LN(1+tbl_Bonds[[#This Row],[Real Mercado]])/252,tbl_Bonds[[#This Row],[VP Cupom]]*LN(1+tbl_Bonds[[#This Row],[Real Simulada]])/252)</f>
        <v>1.6894355909643631E-2</v>
      </c>
      <c r="V96" s="18">
        <f>SUMIF(Dashboard!$B$28:$B$42,tbl_Bonds[[#This Row],[Bond]],Dashboard!$C$28:$C$42)</f>
        <v>3670</v>
      </c>
      <c r="W96" s="18">
        <f>tbl_Bonds[[#This Row],[Quantidade]]*tbl_Bonds[[#This Row],[𝛿P/𝛿VNA]]</f>
        <v>28.153373361073626</v>
      </c>
      <c r="X96" s="18">
        <f>+tbl_Bonds[[#This Row],[Quantidade]]*tbl_Bonds[[#This Row],[𝛿P/𝛿r_real]]</f>
        <v>-202.2876322938279</v>
      </c>
      <c r="Y96" s="18">
        <f>tbl_Bonds[[#This Row],[Quantidade]]*tbl_Bonds[[#This Row],[𝛿P/𝛿r_pre]]</f>
        <v>-191.19695039216873</v>
      </c>
      <c r="Z96" s="18">
        <f>tbl_Bonds[[#This Row],[Quantidade]]*tbl_Bonds[[#This Row],[𝛿P/𝛿r_implicita]]</f>
        <v>202.10789784920598</v>
      </c>
      <c r="AA96" s="18">
        <f>tbl_Bonds[[#This Row],[Quantidade]]*tbl_Bonds[[#This Row],[𝛿P/𝛿du]]</f>
        <v>62.002286188392127</v>
      </c>
    </row>
    <row r="97" spans="1:27">
      <c r="A97" s="2" t="s">
        <v>84</v>
      </c>
      <c r="B97" s="3">
        <v>49444</v>
      </c>
      <c r="C97" s="3">
        <v>47805</v>
      </c>
      <c r="D97" s="4">
        <f>NETWORKDAYS(Dashboard!$C$10,bonds!C97,feriados)-1</f>
        <v>2045</v>
      </c>
      <c r="E97" s="2">
        <f>IF(tbl_Bonds[[#This Row],[Coupon]]&lt;tbl_Bonds[[#This Row],[Maturity]],SQRT(1.06)-1,SQRT(1.06))</f>
        <v>2.9563014098699991E-2</v>
      </c>
      <c r="F97" s="5" cm="1">
        <f t="array" ref="F97">Svensson(betas_pre,tbl_Bonds[[#This Row],[DU]])</f>
        <v>0.11863319273641666</v>
      </c>
      <c r="G97" s="49">
        <f>IF(curve_type="Simulada",_xlfn.XLOOKUP(tbl_Bonds[[#This Row],[Coupon]],Simulador!$B$5:$B$147,Simulador!$H$5:$H$147),0)</f>
        <v>0</v>
      </c>
      <c r="H97" s="5" cm="1">
        <f t="array" ref="H9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0.11863319273641666</v>
      </c>
      <c r="I97" s="5" cm="1">
        <f t="array" ref="I97">Interpola_FF(tbl_Bonds[[#This Row],[DU]],dus_svensson,svensson_implicita)</f>
        <v>5.8061291362325296E-2</v>
      </c>
      <c r="J97" s="49">
        <f>IF(curve_type="Simulada",_xlfn.XLOOKUP(tbl_Bonds[[#This Row],[Coupon]],Simulador!$B$5:$B$147,Simulador!$N$5:$N$147),0)</f>
        <v>0</v>
      </c>
      <c r="K97" s="5" cm="1">
        <f t="array" ref="K9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5.8061291362325296E-2</v>
      </c>
      <c r="L97" s="5" cm="1">
        <f t="array" ref="L97">Interpola_FF(tbl_Bonds[[#This Row],[DU]],dus_svensson,svensson_real_spot)</f>
        <v>5.7248282474742007E-2</v>
      </c>
      <c r="M97" s="49">
        <f>IF(curve_type="Simulada",_xlfn.XLOOKUP(tbl_Bonds[[#This Row],[Coupon]],Simulador!$B$5:$B$147,Simulador!$K$5:$K$147),0)</f>
        <v>0</v>
      </c>
      <c r="N97" s="5" cm="1">
        <f t="array" ref="N9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5.7248282474742007E-2</v>
      </c>
      <c r="O97" s="6">
        <f>IF(curve_type="Mercado",tbl_Bonds[[#This Row],[FC]]/(1+tbl_Bonds[[#This Row],[Real Mercado]])^(tbl_Bonds[[#This Row],[DU]]/252),tbl_Bonds[[#This Row],[FC]]/(1+tbl_Bonds[[#This Row],[Real Simulada]])^(tbl_Bonds[[#This Row],[DU]]/252))</f>
        <v>1.8817006358074834E-2</v>
      </c>
      <c r="P97" s="7">
        <f>tbl_Bonds[[#This Row],[Cotação]]*VNA</f>
        <v>74.426986163933535</v>
      </c>
      <c r="Q97" s="18">
        <f>tbl_Bonds[[#This Row],[Cotação]]%%*VNA</f>
        <v>7.4426986163933532E-3</v>
      </c>
      <c r="R9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-5.7127631194654006E-2</v>
      </c>
      <c r="S9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-5.3992870545379858E-2</v>
      </c>
      <c r="T9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5.7083854835494018E-2</v>
      </c>
      <c r="U97" s="18">
        <f>IF(curve_type="Mercado",tbl_Bonds[[#This Row],[VP Cupom]]*LN(1+tbl_Bonds[[#This Row],[Real Mercado]])/252,tbl_Bonds[[#This Row],[VP Cupom]]*LN(1+tbl_Bonds[[#This Row],[Real Simulada]])/252)</f>
        <v>1.6441740190834858E-2</v>
      </c>
      <c r="V97" s="18">
        <f>SUMIF(Dashboard!$B$28:$B$42,tbl_Bonds[[#This Row],[Bond]],Dashboard!$C$28:$C$42)</f>
        <v>3670</v>
      </c>
      <c r="W97" s="18">
        <f>tbl_Bonds[[#This Row],[Quantidade]]*tbl_Bonds[[#This Row],[𝛿P/𝛿VNA]]</f>
        <v>27.314703922163606</v>
      </c>
      <c r="X97" s="18">
        <f>+tbl_Bonds[[#This Row],[Quantidade]]*tbl_Bonds[[#This Row],[𝛿P/𝛿r_real]]</f>
        <v>-209.65840648438021</v>
      </c>
      <c r="Y97" s="18">
        <f>tbl_Bonds[[#This Row],[Quantidade]]*tbl_Bonds[[#This Row],[𝛿P/𝛿r_pre]]</f>
        <v>-198.15383490154409</v>
      </c>
      <c r="Z97" s="18">
        <f>tbl_Bonds[[#This Row],[Quantidade]]*tbl_Bonds[[#This Row],[𝛿P/𝛿r_implicita]]</f>
        <v>209.49774724626303</v>
      </c>
      <c r="AA97" s="18">
        <f>tbl_Bonds[[#This Row],[Quantidade]]*tbl_Bonds[[#This Row],[𝛿P/𝛿du]]</f>
        <v>60.341186500363932</v>
      </c>
    </row>
    <row r="98" spans="1:27">
      <c r="A98" s="2" t="s">
        <v>84</v>
      </c>
      <c r="B98" s="3">
        <v>49444</v>
      </c>
      <c r="C98" s="3">
        <v>47983</v>
      </c>
      <c r="D98" s="4">
        <f>NETWORKDAYS(Dashboard!$C$10,bonds!C98,feriados)-1</f>
        <v>2166</v>
      </c>
      <c r="E98" s="2">
        <f>IF(tbl_Bonds[[#This Row],[Coupon]]&lt;tbl_Bonds[[#This Row],[Maturity]],SQRT(1.06)-1,SQRT(1.06))</f>
        <v>2.9563014098699991E-2</v>
      </c>
      <c r="F98" s="5" cm="1">
        <f t="array" ref="F98">Svensson(betas_pre,tbl_Bonds[[#This Row],[DU]])</f>
        <v>0.11883731211931328</v>
      </c>
      <c r="G98" s="49">
        <f>IF(curve_type="Simulada",_xlfn.XLOOKUP(tbl_Bonds[[#This Row],[Coupon]],Simulador!$B$5:$B$147,Simulador!$H$5:$H$147),0)</f>
        <v>0</v>
      </c>
      <c r="H98" s="5" cm="1">
        <f t="array" ref="H9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0.11883731211931328</v>
      </c>
      <c r="I98" s="5" cm="1">
        <f t="array" ref="I98">Interpola_FF(tbl_Bonds[[#This Row],[DU]],dus_svensson,svensson_implicita)</f>
        <v>5.8084434014569641E-2</v>
      </c>
      <c r="J98" s="49">
        <f>IF(curve_type="Simulada",_xlfn.XLOOKUP(tbl_Bonds[[#This Row],[Coupon]],Simulador!$B$5:$B$147,Simulador!$N$5:$N$147),0)</f>
        <v>0</v>
      </c>
      <c r="K98" s="5" cm="1">
        <f t="array" ref="K9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5.8084434014569641E-2</v>
      </c>
      <c r="L98" s="5" cm="1">
        <f t="array" ref="L98">Interpola_FF(tbl_Bonds[[#This Row],[DU]],dus_svensson,svensson_real_spot)</f>
        <v>5.7417931184525317E-2</v>
      </c>
      <c r="M98" s="49">
        <f>IF(curve_type="Simulada",_xlfn.XLOOKUP(tbl_Bonds[[#This Row],[Coupon]],Simulador!$B$5:$B$147,Simulador!$K$5:$K$147),0)</f>
        <v>0</v>
      </c>
      <c r="N98" s="5" cm="1">
        <f t="array" ref="N9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5.7417931184525317E-2</v>
      </c>
      <c r="O98" s="6">
        <f>IF(curve_type="Mercado",tbl_Bonds[[#This Row],[FC]]/(1+tbl_Bonds[[#This Row],[Real Mercado]])^(tbl_Bonds[[#This Row],[DU]]/252),tbl_Bonds[[#This Row],[FC]]/(1+tbl_Bonds[[#This Row],[Real Simulada]])^(tbl_Bonds[[#This Row],[DU]]/252))</f>
        <v>1.829543765395282E-2</v>
      </c>
      <c r="P98" s="7">
        <f>tbl_Bonds[[#This Row],[Cotação]]*VNA</f>
        <v>72.364023225699114</v>
      </c>
      <c r="Q98" s="18">
        <f>tbl_Bonds[[#This Row],[Cotação]]%%*VNA</f>
        <v>7.2364023225699103E-3</v>
      </c>
      <c r="R9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-5.8821208796551346E-2</v>
      </c>
      <c r="S9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-5.5592236396100274E-2</v>
      </c>
      <c r="T9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5.8784220185643346E-2</v>
      </c>
      <c r="U98" s="18">
        <f>IF(curve_type="Mercado",tbl_Bonds[[#This Row],[VP Cupom]]*LN(1+tbl_Bonds[[#This Row],[Real Mercado]])/252,tbl_Bonds[[#This Row],[VP Cupom]]*LN(1+tbl_Bonds[[#This Row],[Real Simulada]])/252)</f>
        <v>1.6032083506226615E-2</v>
      </c>
      <c r="V98" s="18">
        <f>SUMIF(Dashboard!$B$28:$B$42,tbl_Bonds[[#This Row],[Bond]],Dashboard!$C$28:$C$42)</f>
        <v>3670</v>
      </c>
      <c r="W98" s="18">
        <f>tbl_Bonds[[#This Row],[Quantidade]]*tbl_Bonds[[#This Row],[𝛿P/𝛿VNA]]</f>
        <v>26.55759652383157</v>
      </c>
      <c r="X98" s="18">
        <f>+tbl_Bonds[[#This Row],[Quantidade]]*tbl_Bonds[[#This Row],[𝛿P/𝛿r_real]]</f>
        <v>-215.87383628334345</v>
      </c>
      <c r="Y98" s="18">
        <f>tbl_Bonds[[#This Row],[Quantidade]]*tbl_Bonds[[#This Row],[𝛿P/𝛿r_pre]]</f>
        <v>-204.02350757368799</v>
      </c>
      <c r="Z98" s="18">
        <f>tbl_Bonds[[#This Row],[Quantidade]]*tbl_Bonds[[#This Row],[𝛿P/𝛿r_implicita]]</f>
        <v>215.73808808131108</v>
      </c>
      <c r="AA98" s="18">
        <f>tbl_Bonds[[#This Row],[Quantidade]]*tbl_Bonds[[#This Row],[𝛿P/𝛿du]]</f>
        <v>58.83774646785168</v>
      </c>
    </row>
    <row r="99" spans="1:27">
      <c r="A99" s="2" t="s">
        <v>84</v>
      </c>
      <c r="B99" s="3">
        <v>49444</v>
      </c>
      <c r="C99" s="3">
        <v>48169</v>
      </c>
      <c r="D99" s="4">
        <f>NETWORKDAYS(Dashboard!$C$10,bonds!C99,feriados)-1</f>
        <v>2297</v>
      </c>
      <c r="E99" s="2">
        <f>IF(tbl_Bonds[[#This Row],[Coupon]]&lt;tbl_Bonds[[#This Row],[Maturity]],SQRT(1.06)-1,SQRT(1.06))</f>
        <v>2.9563014098699991E-2</v>
      </c>
      <c r="F99" s="5" cm="1">
        <f t="array" ref="F99">Svensson(betas_pre,tbl_Bonds[[#This Row],[DU]])</f>
        <v>0.11903610157038018</v>
      </c>
      <c r="G99" s="49">
        <f>IF(curve_type="Simulada",_xlfn.XLOOKUP(tbl_Bonds[[#This Row],[Coupon]],Simulador!$B$5:$B$147,Simulador!$H$5:$H$147),0)</f>
        <v>0</v>
      </c>
      <c r="H99" s="5" cm="1">
        <f t="array" ref="H9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0.11903610157038018</v>
      </c>
      <c r="I99" s="5" cm="1">
        <f t="array" ref="I99">Interpola_FF(tbl_Bonds[[#This Row],[DU]],dus_svensson,svensson_implicita)</f>
        <v>5.8093103419797343E-2</v>
      </c>
      <c r="J99" s="49">
        <f>IF(curve_type="Simulada",_xlfn.XLOOKUP(tbl_Bonds[[#This Row],[Coupon]],Simulador!$B$5:$B$147,Simulador!$N$5:$N$147),0)</f>
        <v>0</v>
      </c>
      <c r="K99" s="5" cm="1">
        <f t="array" ref="K9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5.8093103419797343E-2</v>
      </c>
      <c r="L99" s="5" cm="1">
        <f t="array" ref="L99">Interpola_FF(tbl_Bonds[[#This Row],[DU]],dus_svensson,svensson_real_spot)</f>
        <v>5.7597092218049317E-2</v>
      </c>
      <c r="M99" s="49">
        <f>IF(curve_type="Simulada",_xlfn.XLOOKUP(tbl_Bonds[[#This Row],[Coupon]],Simulador!$B$5:$B$147,Simulador!$K$5:$K$147),0)</f>
        <v>0</v>
      </c>
      <c r="N99" s="5" cm="1">
        <f t="array" ref="N9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5.7597092218049317E-2</v>
      </c>
      <c r="O99" s="6">
        <f>IF(curve_type="Mercado",tbl_Bonds[[#This Row],[FC]]/(1+tbl_Bonds[[#This Row],[Real Mercado]])^(tbl_Bonds[[#This Row],[DU]]/252),tbl_Bonds[[#This Row],[FC]]/(1+tbl_Bonds[[#This Row],[Real Simulada]])^(tbl_Bonds[[#This Row],[DU]]/252))</f>
        <v>1.7744661497660689E-2</v>
      </c>
      <c r="P99" s="7">
        <f>tbl_Bonds[[#This Row],[Cotação]]*VNA</f>
        <v>70.185535926299963</v>
      </c>
      <c r="Q99" s="18">
        <f>tbl_Bonds[[#This Row],[Cotação]]%%*VNA</f>
        <v>7.0185535926299957E-3</v>
      </c>
      <c r="R9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-6.0490590883447118E-2</v>
      </c>
      <c r="S9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-5.7169486079493674E-2</v>
      </c>
      <c r="T9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6.0462277491848293E-2</v>
      </c>
      <c r="U99" s="18">
        <f>IF(curve_type="Mercado",tbl_Bonds[[#This Row],[VP Cupom]]*LN(1+tbl_Bonds[[#This Row],[Real Mercado]])/252,tbl_Bonds[[#This Row],[VP Cupom]]*LN(1+tbl_Bonds[[#This Row],[Real Simulada]])/252)</f>
        <v>1.5596629987358531E-2</v>
      </c>
      <c r="V99" s="18">
        <f>SUMIF(Dashboard!$B$28:$B$42,tbl_Bonds[[#This Row],[Bond]],Dashboard!$C$28:$C$42)</f>
        <v>3670</v>
      </c>
      <c r="W99" s="18">
        <f>tbl_Bonds[[#This Row],[Quantidade]]*tbl_Bonds[[#This Row],[𝛿P/𝛿VNA]]</f>
        <v>25.758091684952085</v>
      </c>
      <c r="X99" s="18">
        <f>+tbl_Bonds[[#This Row],[Quantidade]]*tbl_Bonds[[#This Row],[𝛿P/𝛿r_real]]</f>
        <v>-222.00046854225093</v>
      </c>
      <c r="Y99" s="18">
        <f>tbl_Bonds[[#This Row],[Quantidade]]*tbl_Bonds[[#This Row],[𝛿P/𝛿r_pre]]</f>
        <v>-209.81201391174179</v>
      </c>
      <c r="Z99" s="18">
        <f>tbl_Bonds[[#This Row],[Quantidade]]*tbl_Bonds[[#This Row],[𝛿P/𝛿r_implicita]]</f>
        <v>221.89655839508325</v>
      </c>
      <c r="AA99" s="18">
        <f>tbl_Bonds[[#This Row],[Quantidade]]*tbl_Bonds[[#This Row],[𝛿P/𝛿du]]</f>
        <v>57.23963205360581</v>
      </c>
    </row>
    <row r="100" spans="1:27">
      <c r="A100" s="2" t="s">
        <v>84</v>
      </c>
      <c r="B100" s="3">
        <v>49444</v>
      </c>
      <c r="C100" s="3">
        <v>48351</v>
      </c>
      <c r="D100" s="4">
        <f>NETWORKDAYS(Dashboard!$C$10,bonds!C100,feriados)-1</f>
        <v>2421</v>
      </c>
      <c r="E100" s="2">
        <f>IF(tbl_Bonds[[#This Row],[Coupon]]&lt;tbl_Bonds[[#This Row],[Maturity]],SQRT(1.06)-1,SQRT(1.06))</f>
        <v>2.9563014098699991E-2</v>
      </c>
      <c r="F100" s="5" cm="1">
        <f t="array" ref="F100">Svensson(betas_pre,tbl_Bonds[[#This Row],[DU]])</f>
        <v>0.11920554230632582</v>
      </c>
      <c r="G100" s="49">
        <f>IF(curve_type="Simulada",_xlfn.XLOOKUP(tbl_Bonds[[#This Row],[Coupon]],Simulador!$B$5:$B$147,Simulador!$H$5:$H$147),0)</f>
        <v>0</v>
      </c>
      <c r="H100" s="5" cm="1">
        <f t="array" ref="H10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0.11920554230632582</v>
      </c>
      <c r="I100" s="5" cm="1">
        <f t="array" ref="I100">Interpola_FF(tbl_Bonds[[#This Row],[DU]],dus_svensson,svensson_implicita)</f>
        <v>5.8093166894075399E-2</v>
      </c>
      <c r="J100" s="49">
        <f>IF(curve_type="Simulada",_xlfn.XLOOKUP(tbl_Bonds[[#This Row],[Coupon]],Simulador!$B$5:$B$147,Simulador!$N$5:$N$147),0)</f>
        <v>0</v>
      </c>
      <c r="K100" s="5" cm="1">
        <f t="array" ref="K10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5.8093166894075399E-2</v>
      </c>
      <c r="L100" s="5" cm="1">
        <f t="array" ref="L100">Interpola_FF(tbl_Bonds[[#This Row],[DU]],dus_svensson,svensson_real_spot)</f>
        <v>5.7757126301591022E-2</v>
      </c>
      <c r="M100" s="49">
        <f>IF(curve_type="Simulada",_xlfn.XLOOKUP(tbl_Bonds[[#This Row],[Coupon]],Simulador!$B$5:$B$147,Simulador!$K$5:$K$147),0)</f>
        <v>0</v>
      </c>
      <c r="N100" s="5" cm="1">
        <f t="array" ref="N10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5.7757126301591022E-2</v>
      </c>
      <c r="O100" s="6">
        <f>IF(curve_type="Mercado",tbl_Bonds[[#This Row],[FC]]/(1+tbl_Bonds[[#This Row],[Real Mercado]])^(tbl_Bonds[[#This Row],[DU]]/252),tbl_Bonds[[#This Row],[FC]]/(1+tbl_Bonds[[#This Row],[Real Simulada]])^(tbl_Bonds[[#This Row],[DU]]/252))</f>
        <v>1.7237302758451804E-2</v>
      </c>
      <c r="P100" s="7">
        <f>tbl_Bonds[[#This Row],[Cotação]]*VNA</f>
        <v>68.178777723391335</v>
      </c>
      <c r="Q100" s="18">
        <f>tbl_Bonds[[#This Row],[Cotação]]%%*VNA</f>
        <v>6.8178777723391345E-3</v>
      </c>
      <c r="R10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-6.1923785822573893E-2</v>
      </c>
      <c r="S10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-5.85239696523044E-2</v>
      </c>
      <c r="T10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6.1904143455434942E-2</v>
      </c>
      <c r="U100" s="18">
        <f>IF(curve_type="Mercado",tbl_Bonds[[#This Row],[VP Cupom]]*LN(1+tbl_Bonds[[#This Row],[Real Mercado]])/252,tbl_Bonds[[#This Row],[VP Cupom]]*LN(1+tbl_Bonds[[#This Row],[Real Simulada]])/252)</f>
        <v>1.5191624423668875E-2</v>
      </c>
      <c r="V100" s="18">
        <f>SUMIF(Dashboard!$B$28:$B$42,tbl_Bonds[[#This Row],[Bond]],Dashboard!$C$28:$C$42)</f>
        <v>3670</v>
      </c>
      <c r="W100" s="18">
        <f>tbl_Bonds[[#This Row],[Quantidade]]*tbl_Bonds[[#This Row],[𝛿P/𝛿VNA]]</f>
        <v>25.021611424484622</v>
      </c>
      <c r="X100" s="18">
        <f>+tbl_Bonds[[#This Row],[Quantidade]]*tbl_Bonds[[#This Row],[𝛿P/𝛿r_real]]</f>
        <v>-227.26029396884618</v>
      </c>
      <c r="Y100" s="18">
        <f>tbl_Bonds[[#This Row],[Quantidade]]*tbl_Bonds[[#This Row],[𝛿P/𝛿r_pre]]</f>
        <v>-214.78296862395715</v>
      </c>
      <c r="Z100" s="18">
        <f>tbl_Bonds[[#This Row],[Quantidade]]*tbl_Bonds[[#This Row],[𝛿P/𝛿r_implicita]]</f>
        <v>227.18820648144623</v>
      </c>
      <c r="AA100" s="18">
        <f>tbl_Bonds[[#This Row],[Quantidade]]*tbl_Bonds[[#This Row],[𝛿P/𝛿du]]</f>
        <v>55.753261634864771</v>
      </c>
    </row>
    <row r="101" spans="1:27">
      <c r="A101" s="2" t="s">
        <v>84</v>
      </c>
      <c r="B101" s="3">
        <v>49444</v>
      </c>
      <c r="C101" s="3">
        <v>48534</v>
      </c>
      <c r="D101" s="4">
        <f>NETWORKDAYS(Dashboard!$C$10,bonds!C101,feriados)-1</f>
        <v>2547</v>
      </c>
      <c r="E101" s="2">
        <f>IF(tbl_Bonds[[#This Row],[Coupon]]&lt;tbl_Bonds[[#This Row],[Maturity]],SQRT(1.06)-1,SQRT(1.06))</f>
        <v>2.9563014098699991E-2</v>
      </c>
      <c r="F101" s="5" cm="1">
        <f t="array" ref="F101">Svensson(betas_pre,tbl_Bonds[[#This Row],[DU]])</f>
        <v>0.11936141271582239</v>
      </c>
      <c r="G101" s="49">
        <f>IF(curve_type="Simulada",_xlfn.XLOOKUP(tbl_Bonds[[#This Row],[Coupon]],Simulador!$B$5:$B$147,Simulador!$H$5:$H$147),0)</f>
        <v>0</v>
      </c>
      <c r="H101" s="5" cm="1">
        <f t="array" ref="H10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0.11936141271582239</v>
      </c>
      <c r="I101" s="5" cm="1">
        <f t="array" ref="I101">Interpola_FF(tbl_Bonds[[#This Row],[DU]],dus_svensson,svensson_implicita)</f>
        <v>5.8089951278503804E-2</v>
      </c>
      <c r="J101" s="49">
        <f>IF(curve_type="Simulada",_xlfn.XLOOKUP(tbl_Bonds[[#This Row],[Coupon]],Simulador!$B$5:$B$147,Simulador!$N$5:$N$147),0)</f>
        <v>0</v>
      </c>
      <c r="K101" s="5" cm="1">
        <f t="array" ref="K10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5.8089951278503804E-2</v>
      </c>
      <c r="L101" s="5" cm="1">
        <f t="array" ref="L101">Interpola_FF(tbl_Bonds[[#This Row],[DU]],dus_svensson,svensson_real_spot)</f>
        <v>5.7907633774759049E-2</v>
      </c>
      <c r="M101" s="49">
        <f>IF(curve_type="Simulada",_xlfn.XLOOKUP(tbl_Bonds[[#This Row],[Coupon]],Simulador!$B$5:$B$147,Simulador!$K$5:$K$147),0)</f>
        <v>0</v>
      </c>
      <c r="N101" s="5" cm="1">
        <f t="array" ref="N10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5.7907633774759049E-2</v>
      </c>
      <c r="O101" s="6">
        <f>IF(curve_type="Mercado",tbl_Bonds[[#This Row],[FC]]/(1+tbl_Bonds[[#This Row],[Real Mercado]])^(tbl_Bonds[[#This Row],[DU]]/252),tbl_Bonds[[#This Row],[FC]]/(1+tbl_Bonds[[#This Row],[Real Simulada]])^(tbl_Bonds[[#This Row],[DU]]/252))</f>
        <v>1.6736005073647711E-2</v>
      </c>
      <c r="P101" s="7">
        <f>tbl_Bonds[[#This Row],[Cotação]]*VNA</f>
        <v>66.195992835033394</v>
      </c>
      <c r="Q101" s="18">
        <f>tbl_Bonds[[#This Row],[Cotação]]%%*VNA</f>
        <v>6.6195992835033392E-3</v>
      </c>
      <c r="R10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-6.324298405587804E-2</v>
      </c>
      <c r="S10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-5.9770909851966911E-2</v>
      </c>
      <c r="T10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6.3232100456454832E-2</v>
      </c>
      <c r="U101" s="18">
        <f>IF(curve_type="Mercado",tbl_Bonds[[#This Row],[VP Cupom]]*LN(1+tbl_Bonds[[#This Row],[Real Mercado]])/252,tbl_Bonds[[#This Row],[VP Cupom]]*LN(1+tbl_Bonds[[#This Row],[Real Simulada]])/252)</f>
        <v>1.4787193686318237E-2</v>
      </c>
      <c r="V101" s="18">
        <f>SUMIF(Dashboard!$B$28:$B$42,tbl_Bonds[[#This Row],[Bond]],Dashboard!$C$28:$C$42)</f>
        <v>3670</v>
      </c>
      <c r="W101" s="18">
        <f>tbl_Bonds[[#This Row],[Quantidade]]*tbl_Bonds[[#This Row],[𝛿P/𝛿VNA]]</f>
        <v>24.293929370457256</v>
      </c>
      <c r="X101" s="18">
        <f>+tbl_Bonds[[#This Row],[Quantidade]]*tbl_Bonds[[#This Row],[𝛿P/𝛿r_real]]</f>
        <v>-232.10175148507241</v>
      </c>
      <c r="Y101" s="18">
        <f>tbl_Bonds[[#This Row],[Quantidade]]*tbl_Bonds[[#This Row],[𝛿P/𝛿r_pre]]</f>
        <v>-219.35923915671856</v>
      </c>
      <c r="Z101" s="18">
        <f>tbl_Bonds[[#This Row],[Quantidade]]*tbl_Bonds[[#This Row],[𝛿P/𝛿r_implicita]]</f>
        <v>232.06180867518924</v>
      </c>
      <c r="AA101" s="18">
        <f>tbl_Bonds[[#This Row],[Quantidade]]*tbl_Bonds[[#This Row],[𝛿P/𝛿du]]</f>
        <v>54.269000828787931</v>
      </c>
    </row>
    <row r="102" spans="1:27">
      <c r="A102" s="2" t="s">
        <v>84</v>
      </c>
      <c r="B102" s="3">
        <v>49444</v>
      </c>
      <c r="C102" s="3">
        <v>48715</v>
      </c>
      <c r="D102" s="4">
        <f>NETWORKDAYS(Dashboard!$C$10,bonds!C102,feriados)-1</f>
        <v>2672</v>
      </c>
      <c r="E102" s="2">
        <f>IF(tbl_Bonds[[#This Row],[Coupon]]&lt;tbl_Bonds[[#This Row],[Maturity]],SQRT(1.06)-1,SQRT(1.06))</f>
        <v>2.9563014098699991E-2</v>
      </c>
      <c r="F102" s="5" cm="1">
        <f t="array" ref="F102">Svensson(betas_pre,tbl_Bonds[[#This Row],[DU]])</f>
        <v>0.11950184550850161</v>
      </c>
      <c r="G102" s="49">
        <f>IF(curve_type="Simulada",_xlfn.XLOOKUP(tbl_Bonds[[#This Row],[Coupon]],Simulador!$B$5:$B$147,Simulador!$H$5:$H$147),0)</f>
        <v>0</v>
      </c>
      <c r="H102" s="5" cm="1">
        <f t="array" ref="H10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0.11950184550850161</v>
      </c>
      <c r="I102" s="5" cm="1">
        <f t="array" ref="I102">Interpola_FF(tbl_Bonds[[#This Row],[DU]],dus_svensson,svensson_implicita)</f>
        <v>5.8086840033223508E-2</v>
      </c>
      <c r="J102" s="49">
        <f>IF(curve_type="Simulada",_xlfn.XLOOKUP(tbl_Bonds[[#This Row],[Coupon]],Simulador!$B$5:$B$147,Simulador!$N$5:$N$147),0)</f>
        <v>0</v>
      </c>
      <c r="K102" s="5" cm="1">
        <f t="array" ref="K10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5.8086840033223508E-2</v>
      </c>
      <c r="L102" s="5" cm="1">
        <f t="array" ref="L102">Interpola_FF(tbl_Bonds[[#This Row],[DU]],dus_svensson,svensson_real_spot)</f>
        <v>5.8043456490650902E-2</v>
      </c>
      <c r="M102" s="49">
        <f>IF(curve_type="Simulada",_xlfn.XLOOKUP(tbl_Bonds[[#This Row],[Coupon]],Simulador!$B$5:$B$147,Simulador!$K$5:$K$147),0)</f>
        <v>0</v>
      </c>
      <c r="N102" s="5" cm="1">
        <f t="array" ref="N10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5.8043456490650902E-2</v>
      </c>
      <c r="O102" s="6">
        <f>IF(curve_type="Mercado",tbl_Bonds[[#This Row],[FC]]/(1+tbl_Bonds[[#This Row],[Real Mercado]])^(tbl_Bonds[[#This Row],[DU]]/252),tbl_Bonds[[#This Row],[FC]]/(1+tbl_Bonds[[#This Row],[Real Simulada]])^(tbl_Bonds[[#This Row],[DU]]/252))</f>
        <v>1.6253008480200188E-2</v>
      </c>
      <c r="P102" s="7">
        <f>tbl_Bonds[[#This Row],[Cotação]]*VNA</f>
        <v>64.285594332015421</v>
      </c>
      <c r="Q102" s="18">
        <f>tbl_Bonds[[#This Row],[Cotação]]%%*VNA</f>
        <v>6.4285594332015427E-3</v>
      </c>
      <c r="R10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-6.4423760384291373E-2</v>
      </c>
      <c r="S10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-6.0887033040354657E-2</v>
      </c>
      <c r="T10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6.4421126203661944E-2</v>
      </c>
      <c r="U102" s="18">
        <f>IF(curve_type="Mercado",tbl_Bonds[[#This Row],[VP Cupom]]*LN(1+tbl_Bonds[[#This Row],[Real Mercado]])/252,tbl_Bonds[[#This Row],[VP Cupom]]*LN(1+tbl_Bonds[[#This Row],[Real Simulada]])/252)</f>
        <v>1.4393189158424666E-2</v>
      </c>
      <c r="V102" s="18">
        <f>SUMIF(Dashboard!$B$28:$B$42,tbl_Bonds[[#This Row],[Bond]],Dashboard!$C$28:$C$42)</f>
        <v>3670</v>
      </c>
      <c r="W102" s="18">
        <f>tbl_Bonds[[#This Row],[Quantidade]]*tbl_Bonds[[#This Row],[𝛿P/𝛿VNA]]</f>
        <v>23.592813119849662</v>
      </c>
      <c r="X102" s="18">
        <f>+tbl_Bonds[[#This Row],[Quantidade]]*tbl_Bonds[[#This Row],[𝛿P/𝛿r_real]]</f>
        <v>-236.43520061034934</v>
      </c>
      <c r="Y102" s="18">
        <f>tbl_Bonds[[#This Row],[Quantidade]]*tbl_Bonds[[#This Row],[𝛿P/𝛿r_pre]]</f>
        <v>-223.45541125810161</v>
      </c>
      <c r="Z102" s="18">
        <f>tbl_Bonds[[#This Row],[Quantidade]]*tbl_Bonds[[#This Row],[𝛿P/𝛿r_implicita]]</f>
        <v>236.42553316743934</v>
      </c>
      <c r="AA102" s="18">
        <f>tbl_Bonds[[#This Row],[Quantidade]]*tbl_Bonds[[#This Row],[𝛿P/𝛿du]]</f>
        <v>52.823004211418528</v>
      </c>
    </row>
    <row r="103" spans="1:27">
      <c r="A103" s="2" t="s">
        <v>84</v>
      </c>
      <c r="B103" s="3">
        <v>49444</v>
      </c>
      <c r="C103" s="3">
        <v>48899</v>
      </c>
      <c r="D103" s="4">
        <f>NETWORKDAYS(Dashboard!$C$10,bonds!C103,feriados)-1</f>
        <v>2799</v>
      </c>
      <c r="E103" s="2">
        <f>IF(tbl_Bonds[[#This Row],[Coupon]]&lt;tbl_Bonds[[#This Row],[Maturity]],SQRT(1.06)-1,SQRT(1.06))</f>
        <v>2.9563014098699991E-2</v>
      </c>
      <c r="F103" s="5" cm="1">
        <f t="array" ref="F103">Svensson(betas_pre,tbl_Bonds[[#This Row],[DU]])</f>
        <v>0.11963185756408813</v>
      </c>
      <c r="G103" s="49">
        <f>IF(curve_type="Simulada",_xlfn.XLOOKUP(tbl_Bonds[[#This Row],[Coupon]],Simulador!$B$5:$B$147,Simulador!$H$5:$H$147),0)</f>
        <v>0</v>
      </c>
      <c r="H103" s="5" cm="1">
        <f t="array" ref="H10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0.11963185756408813</v>
      </c>
      <c r="I103" s="5" cm="1">
        <f t="array" ref="I103">Interpola_FF(tbl_Bonds[[#This Row],[DU]],dus_svensson,svensson_implicita)</f>
        <v>5.8085960589666641E-2</v>
      </c>
      <c r="J103" s="49">
        <f>IF(curve_type="Simulada",_xlfn.XLOOKUP(tbl_Bonds[[#This Row],[Coupon]],Simulador!$B$5:$B$147,Simulador!$N$5:$N$147),0)</f>
        <v>0</v>
      </c>
      <c r="K103" s="5" cm="1">
        <f t="array" ref="K10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5.8085960589666641E-2</v>
      </c>
      <c r="L103" s="5" cm="1">
        <f t="array" ref="L103">Interpola_FF(tbl_Bonds[[#This Row],[DU]],dus_svensson,svensson_real_spot)</f>
        <v>5.8167204978008868E-2</v>
      </c>
      <c r="M103" s="49">
        <f>IF(curve_type="Simulada",_xlfn.XLOOKUP(tbl_Bonds[[#This Row],[Coupon]],Simulador!$B$5:$B$147,Simulador!$K$5:$K$147),0)</f>
        <v>0</v>
      </c>
      <c r="N103" s="5" cm="1">
        <f t="array" ref="N10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5.8167204978008868E-2</v>
      </c>
      <c r="O103" s="6">
        <f>IF(curve_type="Mercado",tbl_Bonds[[#This Row],[FC]]/(1+tbl_Bonds[[#This Row],[Real Mercado]])^(tbl_Bonds[[#This Row],[DU]]/252),tbl_Bonds[[#This Row],[FC]]/(1+tbl_Bonds[[#This Row],[Real Simulada]])^(tbl_Bonds[[#This Row],[DU]]/252))</f>
        <v>1.5776861717921441E-2</v>
      </c>
      <c r="P103" s="7">
        <f>tbl_Bonds[[#This Row],[Cotação]]*VNA</f>
        <v>62.402288995674574</v>
      </c>
      <c r="Q103" s="18">
        <f>tbl_Bonds[[#This Row],[Cotação]]%%*VNA</f>
        <v>6.2402288995674574E-3</v>
      </c>
      <c r="R10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-6.5501098052086731E-2</v>
      </c>
      <c r="S10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-6.1905274927641481E-2</v>
      </c>
      <c r="T10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6.5506131393732916E-2</v>
      </c>
      <c r="U103" s="18">
        <f>IF(curve_type="Mercado",tbl_Bonds[[#This Row],[VP Cupom]]*LN(1+tbl_Bonds[[#This Row],[Real Mercado]])/252,tbl_Bonds[[#This Row],[VP Cupom]]*LN(1+tbl_Bonds[[#This Row],[Real Simulada]])/252)</f>
        <v>1.4000488333919387E-2</v>
      </c>
      <c r="V103" s="18">
        <f>SUMIF(Dashboard!$B$28:$B$42,tbl_Bonds[[#This Row],[Bond]],Dashboard!$C$28:$C$42)</f>
        <v>3670</v>
      </c>
      <c r="W103" s="18">
        <f>tbl_Bonds[[#This Row],[Quantidade]]*tbl_Bonds[[#This Row],[𝛿P/𝛿VNA]]</f>
        <v>22.901640061412568</v>
      </c>
      <c r="X103" s="18">
        <f>+tbl_Bonds[[#This Row],[Quantidade]]*tbl_Bonds[[#This Row],[𝛿P/𝛿r_real]]</f>
        <v>-240.38902985115831</v>
      </c>
      <c r="Y103" s="18">
        <f>tbl_Bonds[[#This Row],[Quantidade]]*tbl_Bonds[[#This Row],[𝛿P/𝛿r_pre]]</f>
        <v>-227.19235898444424</v>
      </c>
      <c r="Z103" s="18">
        <f>tbl_Bonds[[#This Row],[Quantidade]]*tbl_Bonds[[#This Row],[𝛿P/𝛿r_implicita]]</f>
        <v>240.40750221499979</v>
      </c>
      <c r="AA103" s="18">
        <f>tbl_Bonds[[#This Row],[Quantidade]]*tbl_Bonds[[#This Row],[𝛿P/𝛿du]]</f>
        <v>51.381792185484152</v>
      </c>
    </row>
    <row r="104" spans="1:27">
      <c r="A104" s="2" t="s">
        <v>84</v>
      </c>
      <c r="B104" s="3">
        <v>49444</v>
      </c>
      <c r="C104" s="3">
        <v>49079</v>
      </c>
      <c r="D104" s="4">
        <f>NETWORKDAYS(Dashboard!$C$10,bonds!C104,feriados)-1</f>
        <v>2922</v>
      </c>
      <c r="E104" s="2">
        <f>IF(tbl_Bonds[[#This Row],[Coupon]]&lt;tbl_Bonds[[#This Row],[Maturity]],SQRT(1.06)-1,SQRT(1.06))</f>
        <v>2.9563014098699991E-2</v>
      </c>
      <c r="F104" s="5" cm="1">
        <f t="array" ref="F104">Svensson(betas_pre,tbl_Bonds[[#This Row],[DU]])</f>
        <v>0.11974709192095902</v>
      </c>
      <c r="G104" s="49">
        <f>IF(curve_type="Simulada",_xlfn.XLOOKUP(tbl_Bonds[[#This Row],[Coupon]],Simulador!$B$5:$B$147,Simulador!$H$5:$H$147),0)</f>
        <v>0</v>
      </c>
      <c r="H104" s="5" cm="1">
        <f t="array" ref="H10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0.11974709192095902</v>
      </c>
      <c r="I104" s="5" cm="1">
        <f t="array" ref="I104">Interpola_FF(tbl_Bonds[[#This Row],[DU]],dus_svensson,svensson_implicita)</f>
        <v>5.8088485012417923E-2</v>
      </c>
      <c r="J104" s="49">
        <f>IF(curve_type="Simulada",_xlfn.XLOOKUP(tbl_Bonds[[#This Row],[Coupon]],Simulador!$B$5:$B$147,Simulador!$N$5:$N$147),0)</f>
        <v>0</v>
      </c>
      <c r="K104" s="5" cm="1">
        <f t="array" ref="K10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5.8088485012417923E-2</v>
      </c>
      <c r="L104" s="5" cm="1">
        <f t="array" ref="L104">Interpola_FF(tbl_Bonds[[#This Row],[DU]],dus_svensson,svensson_real_spot)</f>
        <v>5.8273585043413068E-2</v>
      </c>
      <c r="M104" s="49">
        <f>IF(curve_type="Simulada",_xlfn.XLOOKUP(tbl_Bonds[[#This Row],[Coupon]],Simulador!$B$5:$B$147,Simulador!$K$5:$K$147),0)</f>
        <v>0</v>
      </c>
      <c r="N104" s="5" cm="1">
        <f t="array" ref="N10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5.8273585043413068E-2</v>
      </c>
      <c r="O104" s="6">
        <f>IF(curve_type="Mercado",tbl_Bonds[[#This Row],[FC]]/(1+tbl_Bonds[[#This Row],[Real Mercado]])^(tbl_Bonds[[#This Row],[DU]]/252),tbl_Bonds[[#This Row],[FC]]/(1+tbl_Bonds[[#This Row],[Real Simulada]])^(tbl_Bonds[[#This Row],[DU]]/252))</f>
        <v>1.5329555178395567E-2</v>
      </c>
      <c r="P104" s="7">
        <f>tbl_Bonds[[#This Row],[Cotação]]*VNA</f>
        <v>60.633055516405278</v>
      </c>
      <c r="Q104" s="18">
        <f>tbl_Bonds[[#This Row],[Cotação]]%%*VNA</f>
        <v>6.0633055516405273E-3</v>
      </c>
      <c r="R10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-6.6434117329468037E-2</v>
      </c>
      <c r="S10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-6.2786921952783556E-2</v>
      </c>
      <c r="T10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6.6445740846024309E-2</v>
      </c>
      <c r="U104" s="18">
        <f>IF(curve_type="Mercado",tbl_Bonds[[#This Row],[VP Cupom]]*LN(1+tbl_Bonds[[#This Row],[Real Mercado]])/252,tbl_Bonds[[#This Row],[VP Cupom]]*LN(1+tbl_Bonds[[#This Row],[Real Simulada]])/252)</f>
        <v>1.3627733254803678E-2</v>
      </c>
      <c r="V104" s="18">
        <f>SUMIF(Dashboard!$B$28:$B$42,tbl_Bonds[[#This Row],[Bond]],Dashboard!$C$28:$C$42)</f>
        <v>3670</v>
      </c>
      <c r="W104" s="18">
        <f>tbl_Bonds[[#This Row],[Quantidade]]*tbl_Bonds[[#This Row],[𝛿P/𝛿VNA]]</f>
        <v>22.252331374520736</v>
      </c>
      <c r="X104" s="18">
        <f>+tbl_Bonds[[#This Row],[Quantidade]]*tbl_Bonds[[#This Row],[𝛿P/𝛿r_real]]</f>
        <v>-243.81321059914771</v>
      </c>
      <c r="Y104" s="18">
        <f>tbl_Bonds[[#This Row],[Quantidade]]*tbl_Bonds[[#This Row],[𝛿P/𝛿r_pre]]</f>
        <v>-230.42800356671566</v>
      </c>
      <c r="Z104" s="18">
        <f>tbl_Bonds[[#This Row],[Quantidade]]*tbl_Bonds[[#This Row],[𝛿P/𝛿r_implicita]]</f>
        <v>243.85586890490922</v>
      </c>
      <c r="AA104" s="18">
        <f>tbl_Bonds[[#This Row],[Quantidade]]*tbl_Bonds[[#This Row],[𝛿P/𝛿du]]</f>
        <v>50.013781045129498</v>
      </c>
    </row>
    <row r="105" spans="1:27">
      <c r="A105" s="2" t="s">
        <v>84</v>
      </c>
      <c r="B105" s="3">
        <v>49444</v>
      </c>
      <c r="C105" s="3">
        <v>49264</v>
      </c>
      <c r="D105" s="4">
        <f>NETWORKDAYS(Dashboard!$C$10,bonds!C105,feriados)-1</f>
        <v>3050</v>
      </c>
      <c r="E105" s="2">
        <f>IF(tbl_Bonds[[#This Row],[Coupon]]&lt;tbl_Bonds[[#This Row],[Maturity]],SQRT(1.06)-1,SQRT(1.06))</f>
        <v>2.9563014098699991E-2</v>
      </c>
      <c r="F105" s="5" cm="1">
        <f t="array" ref="F105">Svensson(betas_pre,tbl_Bonds[[#This Row],[DU]])</f>
        <v>0.11985718969671773</v>
      </c>
      <c r="G105" s="49">
        <f>IF(curve_type="Simulada",_xlfn.XLOOKUP(tbl_Bonds[[#This Row],[Coupon]],Simulador!$B$5:$B$147,Simulador!$H$5:$H$147),0)</f>
        <v>0</v>
      </c>
      <c r="H105" s="5" cm="1">
        <f t="array" ref="H10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0.11985718969671773</v>
      </c>
      <c r="I105" s="5" cm="1">
        <f t="array" ref="I105">Interpola_FF(tbl_Bonds[[#This Row],[DU]],dus_svensson,svensson_implicita)</f>
        <v>5.8095387399661913E-2</v>
      </c>
      <c r="J105" s="49">
        <f>IF(curve_type="Simulada",_xlfn.XLOOKUP(tbl_Bonds[[#This Row],[Coupon]],Simulador!$B$5:$B$147,Simulador!$N$5:$N$147),0)</f>
        <v>0</v>
      </c>
      <c r="K105" s="5" cm="1">
        <f t="array" ref="K10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5.8095387399661913E-2</v>
      </c>
      <c r="L105" s="5" cm="1">
        <f t="array" ref="L105">Interpola_FF(tbl_Bonds[[#This Row],[DU]],dus_svensson,svensson_real_spot)</f>
        <v>5.8370732786934276E-2</v>
      </c>
      <c r="M105" s="49">
        <f>IF(curve_type="Simulada",_xlfn.XLOOKUP(tbl_Bonds[[#This Row],[Coupon]],Simulador!$B$5:$B$147,Simulador!$K$5:$K$147),0)</f>
        <v>0</v>
      </c>
      <c r="N105" s="5" cm="1">
        <f t="array" ref="N10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5.8370732786934276E-2</v>
      </c>
      <c r="O105" s="6">
        <f>IF(curve_type="Mercado",tbl_Bonds[[#This Row],[FC]]/(1+tbl_Bonds[[#This Row],[Real Mercado]])^(tbl_Bonds[[#This Row],[DU]]/252),tbl_Bonds[[#This Row],[FC]]/(1+tbl_Bonds[[#This Row],[Real Simulada]])^(tbl_Bonds[[#This Row],[DU]]/252))</f>
        <v>1.4878284256243556E-2</v>
      </c>
      <c r="P105" s="7">
        <f>tbl_Bonds[[#This Row],[Cotação]]*VNA</f>
        <v>58.848141697487407</v>
      </c>
      <c r="Q105" s="18">
        <f>tbl_Bonds[[#This Row],[Cotação]]%%*VNA</f>
        <v>5.8848141697487406E-3</v>
      </c>
      <c r="R10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-6.7296771535011471E-2</v>
      </c>
      <c r="S10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-6.3601800920033341E-2</v>
      </c>
      <c r="T10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6.7314284596777754E-2</v>
      </c>
      <c r="U105" s="18">
        <f>IF(curve_type="Mercado",tbl_Bonds[[#This Row],[VP Cupom]]*LN(1+tbl_Bonds[[#This Row],[Real Mercado]])/252,tbl_Bonds[[#This Row],[VP Cupom]]*LN(1+tbl_Bonds[[#This Row],[Real Simulada]])/252)</f>
        <v>1.3247996670874179E-2</v>
      </c>
      <c r="V105" s="18">
        <f>SUMIF(Dashboard!$B$28:$B$42,tbl_Bonds[[#This Row],[Bond]],Dashboard!$C$28:$C$42)</f>
        <v>3670</v>
      </c>
      <c r="W105" s="18">
        <f>tbl_Bonds[[#This Row],[Quantidade]]*tbl_Bonds[[#This Row],[𝛿P/𝛿VNA]]</f>
        <v>21.597268002977877</v>
      </c>
      <c r="X105" s="18">
        <f>+tbl_Bonds[[#This Row],[Quantidade]]*tbl_Bonds[[#This Row],[𝛿P/𝛿r_real]]</f>
        <v>-246.97915153349209</v>
      </c>
      <c r="Y105" s="18">
        <f>tbl_Bonds[[#This Row],[Quantidade]]*tbl_Bonds[[#This Row],[𝛿P/𝛿r_pre]]</f>
        <v>-233.41860937652237</v>
      </c>
      <c r="Z105" s="18">
        <f>tbl_Bonds[[#This Row],[Quantidade]]*tbl_Bonds[[#This Row],[𝛿P/𝛿r_implicita]]</f>
        <v>247.04342447017436</v>
      </c>
      <c r="AA105" s="18">
        <f>tbl_Bonds[[#This Row],[Quantidade]]*tbl_Bonds[[#This Row],[𝛿P/𝛿du]]</f>
        <v>48.620147782108234</v>
      </c>
    </row>
    <row r="106" spans="1:27">
      <c r="A106" s="2" t="s">
        <v>84</v>
      </c>
      <c r="B106" s="3">
        <v>49444</v>
      </c>
      <c r="C106" s="3">
        <v>49444</v>
      </c>
      <c r="D106" s="4">
        <f>NETWORKDAYS(Dashboard!$C$10,bonds!C106,feriados)-1</f>
        <v>3172</v>
      </c>
      <c r="E106" s="2">
        <f>IF(tbl_Bonds[[#This Row],[Coupon]]&lt;tbl_Bonds[[#This Row],[Maturity]],SQRT(1.06)-1,SQRT(1.06))</f>
        <v>1.0295630140987</v>
      </c>
      <c r="F106" s="5" cm="1">
        <f t="array" ref="F106">Svensson(betas_pre,tbl_Bonds[[#This Row],[DU]])</f>
        <v>0.11995387783157511</v>
      </c>
      <c r="G106" s="49">
        <f>IF(curve_type="Simulada",_xlfn.XLOOKUP(tbl_Bonds[[#This Row],[Coupon]],Simulador!$B$5:$B$147,Simulador!$H$5:$H$147),0)</f>
        <v>0</v>
      </c>
      <c r="H106" s="5" cm="1">
        <f t="array" ref="H10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0.11995387783157511</v>
      </c>
      <c r="I106" s="5" cm="1">
        <f t="array" ref="I106">Interpola_FF(tbl_Bonds[[#This Row],[DU]],dus_svensson,svensson_implicita)</f>
        <v>5.8106093860155639E-2</v>
      </c>
      <c r="J106" s="49">
        <f>IF(curve_type="Simulada",_xlfn.XLOOKUP(tbl_Bonds[[#This Row],[Coupon]],Simulador!$B$5:$B$147,Simulador!$N$5:$N$147),0)</f>
        <v>0</v>
      </c>
      <c r="K106" s="5" cm="1">
        <f t="array" ref="K10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5.8106093860155639E-2</v>
      </c>
      <c r="L106" s="5" cm="1">
        <f t="array" ref="L106">Interpola_FF(tbl_Bonds[[#This Row],[DU]],dus_svensson,svensson_real_spot)</f>
        <v>5.845140132792781E-2</v>
      </c>
      <c r="M106" s="49">
        <f>IF(curve_type="Simulada",_xlfn.XLOOKUP(tbl_Bonds[[#This Row],[Coupon]],Simulador!$B$5:$B$147,Simulador!$K$5:$K$147),0)</f>
        <v>0</v>
      </c>
      <c r="N106" s="5" cm="1">
        <f t="array" ref="N10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5.845140132792781E-2</v>
      </c>
      <c r="O106" s="6">
        <f>IF(curve_type="Mercado",tbl_Bonds[[#This Row],[FC]]/(1+tbl_Bonds[[#This Row],[Real Mercado]])^(tbl_Bonds[[#This Row],[DU]]/252),tbl_Bonds[[#This Row],[FC]]/(1+tbl_Bonds[[#This Row],[Real Simulada]])^(tbl_Bonds[[#This Row],[DU]]/252))</f>
        <v>0.50363116195907887</v>
      </c>
      <c r="P106" s="7">
        <f>tbl_Bonds[[#This Row],[Cotação]]*VNA</f>
        <v>1992.0145005833483</v>
      </c>
      <c r="Q106" s="18">
        <f>tbl_Bonds[[#This Row],[Cotação]]%%*VNA</f>
        <v>0.19920145005833481</v>
      </c>
      <c r="R10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-2.3689408180349836</v>
      </c>
      <c r="S10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-2.2388499894962099</v>
      </c>
      <c r="T10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2.3697139088122983</v>
      </c>
      <c r="U106" s="18">
        <f>IF(curve_type="Mercado",tbl_Bonds[[#This Row],[VP Cupom]]*LN(1+tbl_Bonds[[#This Row],[Real Mercado]])/252,tbl_Bonds[[#This Row],[VP Cupom]]*LN(1+tbl_Bonds[[#This Row],[Real Simulada]])/252)</f>
        <v>0.4490482701550127</v>
      </c>
      <c r="V106" s="18">
        <f>SUMIF(Dashboard!$B$28:$B$42,tbl_Bonds[[#This Row],[Bond]],Dashboard!$C$28:$C$42)</f>
        <v>3670</v>
      </c>
      <c r="W106" s="18">
        <f>tbl_Bonds[[#This Row],[Quantidade]]*tbl_Bonds[[#This Row],[𝛿P/𝛿VNA]]</f>
        <v>731.0693217140888</v>
      </c>
      <c r="X106" s="18">
        <f>+tbl_Bonds[[#This Row],[Quantidade]]*tbl_Bonds[[#This Row],[𝛿P/𝛿r_real]]</f>
        <v>-8694.0128021883902</v>
      </c>
      <c r="Y106" s="18">
        <f>tbl_Bonds[[#This Row],[Quantidade]]*tbl_Bonds[[#This Row],[𝛿P/𝛿r_pre]]</f>
        <v>-8216.5794614510905</v>
      </c>
      <c r="Z106" s="18">
        <f>tbl_Bonds[[#This Row],[Quantidade]]*tbl_Bonds[[#This Row],[𝛿P/𝛿r_implicita]]</f>
        <v>8696.8500453411343</v>
      </c>
      <c r="AA106" s="18">
        <f>tbl_Bonds[[#This Row],[Quantidade]]*tbl_Bonds[[#This Row],[𝛿P/𝛿du]]</f>
        <v>1648.0071514688966</v>
      </c>
    </row>
    <row r="107" spans="1:27">
      <c r="A107" s="2" t="s">
        <v>85</v>
      </c>
      <c r="B107" s="3">
        <v>51363</v>
      </c>
      <c r="C107" s="3">
        <v>44972</v>
      </c>
      <c r="D107" s="4">
        <f>NETWORKDAYS(Dashboard!$C$10,bonds!C107,feriados)-1</f>
        <v>99</v>
      </c>
      <c r="E107" s="2">
        <f>IF(tbl_Bonds[[#This Row],[Coupon]]&lt;tbl_Bonds[[#This Row],[Maturity]],SQRT(1.06)-1,SQRT(1.06))</f>
        <v>2.9563014098699991E-2</v>
      </c>
      <c r="F107" s="5" cm="1">
        <f t="array" ref="F107">Svensson(betas_pre,tbl_Bonds[[#This Row],[DU]])</f>
        <v>0.13824476901041258</v>
      </c>
      <c r="G107" s="49">
        <f>IF(curve_type="Simulada",_xlfn.XLOOKUP(tbl_Bonds[[#This Row],[Coupon]],Simulador!$B$5:$B$147,Simulador!$H$5:$H$147),0)</f>
        <v>0</v>
      </c>
      <c r="H107" s="5" cm="1">
        <f t="array" ref="H10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0.13824476901041258</v>
      </c>
      <c r="I107" s="5" cm="1">
        <f t="array" ref="I107">Interpola_FF(tbl_Bonds[[#This Row],[DU]],dus_svensson,svensson_implicita)</f>
        <v>4.5724704287595008E-2</v>
      </c>
      <c r="J107" s="49">
        <f>IF(curve_type="Simulada",_xlfn.XLOOKUP(tbl_Bonds[[#This Row],[Coupon]],Simulador!$B$5:$B$147,Simulador!$N$5:$N$147),0)</f>
        <v>0</v>
      </c>
      <c r="K107" s="5" cm="1">
        <f t="array" ref="K10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4.5724704287595008E-2</v>
      </c>
      <c r="L107" s="5" cm="1">
        <f t="array" ref="L107">Interpola_FF(tbl_Bonds[[#This Row],[DU]],dus_svensson,svensson_real_spot)</f>
        <v>8.8437815039086765E-2</v>
      </c>
      <c r="M107" s="49">
        <f>IF(curve_type="Simulada",_xlfn.XLOOKUP(tbl_Bonds[[#This Row],[Coupon]],Simulador!$B$5:$B$147,Simulador!$K$5:$K$147),0)</f>
        <v>0</v>
      </c>
      <c r="N107" s="5" cm="1">
        <f t="array" ref="N10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8.8437815039086765E-2</v>
      </c>
      <c r="O107" s="6">
        <f>IF(curve_type="Mercado",tbl_Bonds[[#This Row],[FC]]/(1+tbl_Bonds[[#This Row],[Real Mercado]])^(tbl_Bonds[[#This Row],[DU]]/252),tbl_Bonds[[#This Row],[FC]]/(1+tbl_Bonds[[#This Row],[Real Simulada]])^(tbl_Bonds[[#This Row],[DU]]/252))</f>
        <v>2.8595002889922921E-2</v>
      </c>
      <c r="P107" s="7">
        <f>tbl_Bonds[[#This Row],[Cotação]]*VNA</f>
        <v>113.10193789314702</v>
      </c>
      <c r="Q107" s="18">
        <f>tbl_Bonds[[#This Row],[Cotação]]%%*VNA</f>
        <v>1.1310193789314704E-2</v>
      </c>
      <c r="R10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-4.0822639160797754E-3</v>
      </c>
      <c r="S10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-3.9035816912818782E-3</v>
      </c>
      <c r="T10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4.248949481913014E-3</v>
      </c>
      <c r="U107" s="18">
        <f>IF(curve_type="Mercado",tbl_Bonds[[#This Row],[VP Cupom]]*LN(1+tbl_Bonds[[#This Row],[Real Mercado]])/252,tbl_Bonds[[#This Row],[VP Cupom]]*LN(1+tbl_Bonds[[#This Row],[Real Simulada]])/252)</f>
        <v>3.8034328556047631E-2</v>
      </c>
      <c r="V107" s="18">
        <f>SUMIF(Dashboard!$B$28:$B$42,tbl_Bonds[[#This Row],[Bond]],Dashboard!$C$28:$C$42)</f>
        <v>1839</v>
      </c>
      <c r="W107" s="18">
        <f>tbl_Bonds[[#This Row],[Quantidade]]*tbl_Bonds[[#This Row],[𝛿P/𝛿VNA]]</f>
        <v>20.799446378549739</v>
      </c>
      <c r="X107" s="18">
        <f>+tbl_Bonds[[#This Row],[Quantidade]]*tbl_Bonds[[#This Row],[𝛿P/𝛿r_real]]</f>
        <v>-7.507283341670707</v>
      </c>
      <c r="Y107" s="18">
        <f>tbl_Bonds[[#This Row],[Quantidade]]*tbl_Bonds[[#This Row],[𝛿P/𝛿r_pre]]</f>
        <v>-7.1786867302673745</v>
      </c>
      <c r="Z107" s="18">
        <f>tbl_Bonds[[#This Row],[Quantidade]]*tbl_Bonds[[#This Row],[𝛿P/𝛿r_implicita]]</f>
        <v>7.8138180972380331</v>
      </c>
      <c r="AA107" s="18">
        <f>tbl_Bonds[[#This Row],[Quantidade]]*tbl_Bonds[[#This Row],[𝛿P/𝛿du]]</f>
        <v>69.945130214571591</v>
      </c>
    </row>
    <row r="108" spans="1:27">
      <c r="A108" s="2" t="s">
        <v>85</v>
      </c>
      <c r="B108" s="3">
        <v>51363</v>
      </c>
      <c r="C108" s="3">
        <v>45153</v>
      </c>
      <c r="D108" s="4">
        <f>NETWORKDAYS(Dashboard!$C$10,bonds!C108,feriados)-1</f>
        <v>222</v>
      </c>
      <c r="E108" s="2">
        <f>IF(tbl_Bonds[[#This Row],[Coupon]]&lt;tbl_Bonds[[#This Row],[Maturity]],SQRT(1.06)-1,SQRT(1.06))</f>
        <v>2.9563014098699991E-2</v>
      </c>
      <c r="F108" s="5" cm="1">
        <f t="array" ref="F108">Svensson(betas_pre,tbl_Bonds[[#This Row],[DU]])</f>
        <v>0.13372890379553737</v>
      </c>
      <c r="G108" s="49">
        <f>IF(curve_type="Simulada",_xlfn.XLOOKUP(tbl_Bonds[[#This Row],[Coupon]],Simulador!$B$5:$B$147,Simulador!$H$5:$H$147),0)</f>
        <v>0</v>
      </c>
      <c r="H108" s="5" cm="1">
        <f t="array" ref="H10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0.13372890379553737</v>
      </c>
      <c r="I108" s="5" cm="1">
        <f t="array" ref="I108">Interpola_FF(tbl_Bonds[[#This Row],[DU]],dus_svensson,svensson_implicita)</f>
        <v>5.0400974841755763E-2</v>
      </c>
      <c r="J108" s="49">
        <f>IF(curve_type="Simulada",_xlfn.XLOOKUP(tbl_Bonds[[#This Row],[Coupon]],Simulador!$B$5:$B$147,Simulador!$N$5:$N$147),0)</f>
        <v>0</v>
      </c>
      <c r="K108" s="5" cm="1">
        <f t="array" ref="K10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5.0400974841755763E-2</v>
      </c>
      <c r="L108" s="5" cm="1">
        <f t="array" ref="L108">Interpola_FF(tbl_Bonds[[#This Row],[DU]],dus_svensson,svensson_real_spot)</f>
        <v>7.9302041272826251E-2</v>
      </c>
      <c r="M108" s="49">
        <f>IF(curve_type="Simulada",_xlfn.XLOOKUP(tbl_Bonds[[#This Row],[Coupon]],Simulador!$B$5:$B$147,Simulador!$K$5:$K$147),0)</f>
        <v>0</v>
      </c>
      <c r="N108" s="5" cm="1">
        <f t="array" ref="N10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7.9302041272826251E-2</v>
      </c>
      <c r="O108" s="6">
        <f>IF(curve_type="Mercado",tbl_Bonds[[#This Row],[FC]]/(1+tbl_Bonds[[#This Row],[Real Mercado]])^(tbl_Bonds[[#This Row],[DU]]/252),tbl_Bonds[[#This Row],[FC]]/(1+tbl_Bonds[[#This Row],[Real Simulada]])^(tbl_Bonds[[#This Row],[DU]]/252))</f>
        <v>2.7640844460278355E-2</v>
      </c>
      <c r="P108" s="7">
        <f>tbl_Bonds[[#This Row],[Cotação]]*VNA</f>
        <v>109.32795095335507</v>
      </c>
      <c r="Q108" s="18">
        <f>tbl_Bonds[[#This Row],[Cotação]]%%*VNA</f>
        <v>1.0932795095335505E-2</v>
      </c>
      <c r="R10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-8.9236112796952736E-3</v>
      </c>
      <c r="S10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-8.4950246026016599E-3</v>
      </c>
      <c r="T10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9.1689318280332253E-3</v>
      </c>
      <c r="U108" s="18">
        <f>IF(curve_type="Mercado",tbl_Bonds[[#This Row],[VP Cupom]]*LN(1+tbl_Bonds[[#This Row],[Real Mercado]])/252,tbl_Bonds[[#This Row],[VP Cupom]]*LN(1+tbl_Bonds[[#This Row],[Real Simulada]])/252)</f>
        <v>3.310839689950245E-2</v>
      </c>
      <c r="V108" s="18">
        <f>SUMIF(Dashboard!$B$28:$B$42,tbl_Bonds[[#This Row],[Bond]],Dashboard!$C$28:$C$42)</f>
        <v>1839</v>
      </c>
      <c r="W108" s="18">
        <f>tbl_Bonds[[#This Row],[Quantidade]]*tbl_Bonds[[#This Row],[𝛿P/𝛿VNA]]</f>
        <v>20.105410180321993</v>
      </c>
      <c r="X108" s="18">
        <f>+tbl_Bonds[[#This Row],[Quantidade]]*tbl_Bonds[[#This Row],[𝛿P/𝛿r_real]]</f>
        <v>-16.41052114335961</v>
      </c>
      <c r="Y108" s="18">
        <f>tbl_Bonds[[#This Row],[Quantidade]]*tbl_Bonds[[#This Row],[𝛿P/𝛿r_pre]]</f>
        <v>-15.622350244184453</v>
      </c>
      <c r="Z108" s="18">
        <f>tbl_Bonds[[#This Row],[Quantidade]]*tbl_Bonds[[#This Row],[𝛿P/𝛿r_implicita]]</f>
        <v>16.861665631753102</v>
      </c>
      <c r="AA108" s="18">
        <f>tbl_Bonds[[#This Row],[Quantidade]]*tbl_Bonds[[#This Row],[𝛿P/𝛿du]]</f>
        <v>60.886341898185009</v>
      </c>
    </row>
    <row r="109" spans="1:27">
      <c r="A109" s="2" t="s">
        <v>85</v>
      </c>
      <c r="B109" s="3">
        <v>51363</v>
      </c>
      <c r="C109" s="3">
        <v>45337</v>
      </c>
      <c r="D109" s="4">
        <f>NETWORKDAYS(Dashboard!$C$10,bonds!C109,feriados)-1</f>
        <v>346</v>
      </c>
      <c r="E109" s="2">
        <f>IF(tbl_Bonds[[#This Row],[Coupon]]&lt;tbl_Bonds[[#This Row],[Maturity]],SQRT(1.06)-1,SQRT(1.06))</f>
        <v>2.9563014098699991E-2</v>
      </c>
      <c r="F109" s="5" cm="1">
        <f t="array" ref="F109">Svensson(betas_pre,tbl_Bonds[[#This Row],[DU]])</f>
        <v>0.12747368770436204</v>
      </c>
      <c r="G109" s="49">
        <f>IF(curve_type="Simulada",_xlfn.XLOOKUP(tbl_Bonds[[#This Row],[Coupon]],Simulador!$B$5:$B$147,Simulador!$H$5:$H$147),0)</f>
        <v>0</v>
      </c>
      <c r="H109" s="5" cm="1">
        <f t="array" ref="H10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0.12747368770436204</v>
      </c>
      <c r="I109" s="5" cm="1">
        <f t="array" ref="I109">Interpola_FF(tbl_Bonds[[#This Row],[DU]],dus_svensson,svensson_implicita)</f>
        <v>5.1308537686221012E-2</v>
      </c>
      <c r="J109" s="49">
        <f>IF(curve_type="Simulada",_xlfn.XLOOKUP(tbl_Bonds[[#This Row],[Coupon]],Simulador!$B$5:$B$147,Simulador!$N$5:$N$147),0)</f>
        <v>0</v>
      </c>
      <c r="K109" s="5" cm="1">
        <f t="array" ref="K10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5.1308537686221012E-2</v>
      </c>
      <c r="L109" s="5" cm="1">
        <f t="array" ref="L109">Interpola_FF(tbl_Bonds[[#This Row],[DU]],dus_svensson,svensson_real_spot)</f>
        <v>7.2438747759168143E-2</v>
      </c>
      <c r="M109" s="49">
        <f>IF(curve_type="Simulada",_xlfn.XLOOKUP(tbl_Bonds[[#This Row],[Coupon]],Simulador!$B$5:$B$147,Simulador!$K$5:$K$147),0)</f>
        <v>0</v>
      </c>
      <c r="N109" s="5" cm="1">
        <f t="array" ref="N10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7.2438747759168143E-2</v>
      </c>
      <c r="O109" s="6">
        <f>IF(curve_type="Mercado",tbl_Bonds[[#This Row],[FC]]/(1+tbl_Bonds[[#This Row],[Real Mercado]])^(tbl_Bonds[[#This Row],[DU]]/252),tbl_Bonds[[#This Row],[FC]]/(1+tbl_Bonds[[#This Row],[Real Simulada]])^(tbl_Bonds[[#This Row],[DU]]/252))</f>
        <v>2.6856337759066942E-2</v>
      </c>
      <c r="P109" s="7">
        <f>tbl_Bonds[[#This Row],[Cotação]]*VNA</f>
        <v>106.22498822456166</v>
      </c>
      <c r="Q109" s="18">
        <f>tbl_Bonds[[#This Row],[Cotação]]%%*VNA</f>
        <v>1.0622498822456167E-2</v>
      </c>
      <c r="R10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-1.3599713293462592E-2</v>
      </c>
      <c r="S10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-1.2935723286440097E-2</v>
      </c>
      <c r="T10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1.3872889940554092E-2</v>
      </c>
      <c r="U109" s="18">
        <f>IF(curve_type="Mercado",tbl_Bonds[[#This Row],[VP Cupom]]*LN(1+tbl_Bonds[[#This Row],[Real Mercado]])/252,tbl_Bonds[[#This Row],[VP Cupom]]*LN(1+tbl_Bonds[[#This Row],[Real Simulada]])/252)</f>
        <v>2.947965085386333E-2</v>
      </c>
      <c r="V109" s="18">
        <f>SUMIF(Dashboard!$B$28:$B$42,tbl_Bonds[[#This Row],[Bond]],Dashboard!$C$28:$C$42)</f>
        <v>1839</v>
      </c>
      <c r="W109" s="18">
        <f>tbl_Bonds[[#This Row],[Quantidade]]*tbl_Bonds[[#This Row],[𝛿P/𝛿VNA]]</f>
        <v>19.534775334496892</v>
      </c>
      <c r="X109" s="18">
        <f>+tbl_Bonds[[#This Row],[Quantidade]]*tbl_Bonds[[#This Row],[𝛿P/𝛿r_real]]</f>
        <v>-25.009872746677708</v>
      </c>
      <c r="Y109" s="18">
        <f>tbl_Bonds[[#This Row],[Quantidade]]*tbl_Bonds[[#This Row],[𝛿P/𝛿r_pre]]</f>
        <v>-23.788795123763339</v>
      </c>
      <c r="Z109" s="18">
        <f>tbl_Bonds[[#This Row],[Quantidade]]*tbl_Bonds[[#This Row],[𝛿P/𝛿r_implicita]]</f>
        <v>25.512244600678976</v>
      </c>
      <c r="AA109" s="18">
        <f>tbl_Bonds[[#This Row],[Quantidade]]*tbl_Bonds[[#This Row],[𝛿P/𝛿du]]</f>
        <v>54.213077920254662</v>
      </c>
    </row>
    <row r="110" spans="1:27">
      <c r="A110" s="2" t="s">
        <v>85</v>
      </c>
      <c r="B110" s="3">
        <v>51363</v>
      </c>
      <c r="C110" s="3">
        <v>45519</v>
      </c>
      <c r="D110" s="4">
        <f>NETWORKDAYS(Dashboard!$C$10,bonds!C110,feriados)-1</f>
        <v>473</v>
      </c>
      <c r="E110" s="2">
        <f>IF(tbl_Bonds[[#This Row],[Coupon]]&lt;tbl_Bonds[[#This Row],[Maturity]],SQRT(1.06)-1,SQRT(1.06))</f>
        <v>2.9563014098699991E-2</v>
      </c>
      <c r="F110" s="5" cm="1">
        <f t="array" ref="F110">Svensson(betas_pre,tbl_Bonds[[#This Row],[DU]])</f>
        <v>0.12241457710811354</v>
      </c>
      <c r="G110" s="49">
        <f>IF(curve_type="Simulada",_xlfn.XLOOKUP(tbl_Bonds[[#This Row],[Coupon]],Simulador!$B$5:$B$147,Simulador!$H$5:$H$147),0)</f>
        <v>0</v>
      </c>
      <c r="H110" s="5" cm="1">
        <f t="array" ref="H11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0.12241457710811354</v>
      </c>
      <c r="I110" s="5" cm="1">
        <f t="array" ref="I110">Interpola_FF(tbl_Bonds[[#This Row],[DU]],dus_svensson,svensson_implicita)</f>
        <v>5.1636418386285854E-2</v>
      </c>
      <c r="J110" s="49">
        <f>IF(curve_type="Simulada",_xlfn.XLOOKUP(tbl_Bonds[[#This Row],[Coupon]],Simulador!$B$5:$B$147,Simulador!$N$5:$N$147),0)</f>
        <v>0</v>
      </c>
      <c r="K110" s="5" cm="1">
        <f t="array" ref="K11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5.1636418386285854E-2</v>
      </c>
      <c r="L110" s="5" cm="1">
        <f t="array" ref="L110">Interpola_FF(tbl_Bonds[[#This Row],[DU]],dus_svensson,svensson_real_spot)</f>
        <v>6.730173834988129E-2</v>
      </c>
      <c r="M110" s="49">
        <f>IF(curve_type="Simulada",_xlfn.XLOOKUP(tbl_Bonds[[#This Row],[Coupon]],Simulador!$B$5:$B$147,Simulador!$K$5:$K$147),0)</f>
        <v>0</v>
      </c>
      <c r="N110" s="5" cm="1">
        <f t="array" ref="N11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6.730173834988129E-2</v>
      </c>
      <c r="O110" s="6">
        <f>IF(curve_type="Mercado",tbl_Bonds[[#This Row],[FC]]/(1+tbl_Bonds[[#This Row],[Real Mercado]])^(tbl_Bonds[[#This Row],[DU]]/252),tbl_Bonds[[#This Row],[FC]]/(1+tbl_Bonds[[#This Row],[Real Simulada]])^(tbl_Bonds[[#This Row],[DU]]/252))</f>
        <v>2.6160982699978276E-2</v>
      </c>
      <c r="P110" s="7">
        <f>tbl_Bonds[[#This Row],[Cotação]]*VNA</f>
        <v>103.47464736922124</v>
      </c>
      <c r="Q110" s="18">
        <f>tbl_Bonds[[#This Row],[Cotação]]%%*VNA</f>
        <v>1.0347464736922126E-2</v>
      </c>
      <c r="R11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-1.8197316061490301E-2</v>
      </c>
      <c r="S11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-1.7303756115098563E-2</v>
      </c>
      <c r="T11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1.8468348720856322E-2</v>
      </c>
      <c r="U110" s="18">
        <f>IF(curve_type="Mercado",tbl_Bonds[[#This Row],[VP Cupom]]*LN(1+tbl_Bonds[[#This Row],[Real Mercado]])/252,tbl_Bonds[[#This Row],[VP Cupom]]*LN(1+tbl_Bonds[[#This Row],[Real Simulada]])/252)</f>
        <v>2.6744797971613773E-2</v>
      </c>
      <c r="V110" s="18">
        <f>SUMIF(Dashboard!$B$28:$B$42,tbl_Bonds[[#This Row],[Bond]],Dashboard!$C$28:$C$42)</f>
        <v>1839</v>
      </c>
      <c r="W110" s="18">
        <f>tbl_Bonds[[#This Row],[Quantidade]]*tbl_Bonds[[#This Row],[𝛿P/𝛿VNA]]</f>
        <v>19.028987651199792</v>
      </c>
      <c r="X110" s="18">
        <f>+tbl_Bonds[[#This Row],[Quantidade]]*tbl_Bonds[[#This Row],[𝛿P/𝛿r_real]]</f>
        <v>-33.464864237080661</v>
      </c>
      <c r="Y110" s="18">
        <f>tbl_Bonds[[#This Row],[Quantidade]]*tbl_Bonds[[#This Row],[𝛿P/𝛿r_pre]]</f>
        <v>-31.821607495666257</v>
      </c>
      <c r="Z110" s="18">
        <f>tbl_Bonds[[#This Row],[Quantidade]]*tbl_Bonds[[#This Row],[𝛿P/𝛿r_implicita]]</f>
        <v>33.963293297654772</v>
      </c>
      <c r="AA110" s="18">
        <f>tbl_Bonds[[#This Row],[Quantidade]]*tbl_Bonds[[#This Row],[𝛿P/𝛿du]]</f>
        <v>49.183683469797728</v>
      </c>
    </row>
    <row r="111" spans="1:27">
      <c r="A111" s="2" t="s">
        <v>85</v>
      </c>
      <c r="B111" s="3">
        <v>51363</v>
      </c>
      <c r="C111" s="3">
        <v>45705</v>
      </c>
      <c r="D111" s="4">
        <f>NETWORKDAYS(Dashboard!$C$10,bonds!C111,feriados)-1</f>
        <v>602</v>
      </c>
      <c r="E111" s="2">
        <f>IF(tbl_Bonds[[#This Row],[Coupon]]&lt;tbl_Bonds[[#This Row],[Maturity]],SQRT(1.06)-1,SQRT(1.06))</f>
        <v>2.9563014098699991E-2</v>
      </c>
      <c r="F111" s="5" cm="1">
        <f t="array" ref="F111">Svensson(betas_pre,tbl_Bonds[[#This Row],[DU]])</f>
        <v>0.11913959507080539</v>
      </c>
      <c r="G111" s="49">
        <f>IF(curve_type="Simulada",_xlfn.XLOOKUP(tbl_Bonds[[#This Row],[Coupon]],Simulador!$B$5:$B$147,Simulador!$H$5:$H$147),0)</f>
        <v>0</v>
      </c>
      <c r="H111" s="5" cm="1">
        <f t="array" ref="H11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0.11913959507080539</v>
      </c>
      <c r="I111" s="5" cm="1">
        <f t="array" ref="I111">Interpola_FF(tbl_Bonds[[#This Row],[DU]],dus_svensson,svensson_implicita)</f>
        <v>5.2245707571055622E-2</v>
      </c>
      <c r="J111" s="49">
        <f>IF(curve_type="Simulada",_xlfn.XLOOKUP(tbl_Bonds[[#This Row],[Coupon]],Simulador!$B$5:$B$147,Simulador!$N$5:$N$147),0)</f>
        <v>0</v>
      </c>
      <c r="K111" s="5" cm="1">
        <f t="array" ref="K11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5.2245707571055622E-2</v>
      </c>
      <c r="L111" s="5" cm="1">
        <f t="array" ref="L111">Interpola_FF(tbl_Bonds[[#This Row],[DU]],dus_svensson,svensson_real_spot)</f>
        <v>6.3573730880697621E-2</v>
      </c>
      <c r="M111" s="49">
        <f>IF(curve_type="Simulada",_xlfn.XLOOKUP(tbl_Bonds[[#This Row],[Coupon]],Simulador!$B$5:$B$147,Simulador!$K$5:$K$147),0)</f>
        <v>0</v>
      </c>
      <c r="N111" s="5" cm="1">
        <f t="array" ref="N11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6.3573730880697621E-2</v>
      </c>
      <c r="O111" s="6">
        <f>IF(curve_type="Mercado",tbl_Bonds[[#This Row],[FC]]/(1+tbl_Bonds[[#This Row],[Real Mercado]])^(tbl_Bonds[[#This Row],[DU]]/252),tbl_Bonds[[#This Row],[FC]]/(1+tbl_Bonds[[#This Row],[Real Simulada]])^(tbl_Bonds[[#This Row],[DU]]/252))</f>
        <v>2.5515488243228496E-2</v>
      </c>
      <c r="P111" s="7">
        <f>tbl_Bonds[[#This Row],[Cotação]]*VNA</f>
        <v>100.92152036871961</v>
      </c>
      <c r="Q111" s="18">
        <f>tbl_Bonds[[#This Row],[Cotação]]%%*VNA</f>
        <v>1.0092152036871962E-2</v>
      </c>
      <c r="R11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-2.2667944088744268E-2</v>
      </c>
      <c r="S11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-2.1542528534510597E-2</v>
      </c>
      <c r="T11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2.2912040873576508E-2</v>
      </c>
      <c r="U111" s="18">
        <f>IF(curve_type="Mercado",tbl_Bonds[[#This Row],[VP Cupom]]*LN(1+tbl_Bonds[[#This Row],[Real Mercado]])/252,tbl_Bonds[[#This Row],[VP Cupom]]*LN(1+tbl_Bonds[[#This Row],[Real Simulada]])/252)</f>
        <v>2.4683594413289961E-2</v>
      </c>
      <c r="V111" s="18">
        <f>SUMIF(Dashboard!$B$28:$B$42,tbl_Bonds[[#This Row],[Bond]],Dashboard!$C$28:$C$42)</f>
        <v>1839</v>
      </c>
      <c r="W111" s="18">
        <f>tbl_Bonds[[#This Row],[Quantidade]]*tbl_Bonds[[#This Row],[𝛿P/𝛿VNA]]</f>
        <v>18.55946759580754</v>
      </c>
      <c r="X111" s="18">
        <f>+tbl_Bonds[[#This Row],[Quantidade]]*tbl_Bonds[[#This Row],[𝛿P/𝛿r_real]]</f>
        <v>-41.686349179200711</v>
      </c>
      <c r="Y111" s="18">
        <f>tbl_Bonds[[#This Row],[Quantidade]]*tbl_Bonds[[#This Row],[𝛿P/𝛿r_pre]]</f>
        <v>-39.616709974964991</v>
      </c>
      <c r="Z111" s="18">
        <f>tbl_Bonds[[#This Row],[Quantidade]]*tbl_Bonds[[#This Row],[𝛿P/𝛿r_implicita]]</f>
        <v>42.135243166507195</v>
      </c>
      <c r="AA111" s="18">
        <f>tbl_Bonds[[#This Row],[Quantidade]]*tbl_Bonds[[#This Row],[𝛿P/𝛿du]]</f>
        <v>45.393130126040241</v>
      </c>
    </row>
    <row r="112" spans="1:27">
      <c r="A112" s="2" t="s">
        <v>85</v>
      </c>
      <c r="B112" s="3">
        <v>51363</v>
      </c>
      <c r="C112" s="3">
        <v>45884</v>
      </c>
      <c r="D112" s="4">
        <f>NETWORKDAYS(Dashboard!$C$10,bonds!C112,feriados)-1</f>
        <v>725</v>
      </c>
      <c r="E112" s="2">
        <f>IF(tbl_Bonds[[#This Row],[Coupon]]&lt;tbl_Bonds[[#This Row],[Maturity]],SQRT(1.06)-1,SQRT(1.06))</f>
        <v>2.9563014098699991E-2</v>
      </c>
      <c r="F112" s="5" cm="1">
        <f t="array" ref="F112">Svensson(betas_pre,tbl_Bonds[[#This Row],[DU]])</f>
        <v>0.11741710508794967</v>
      </c>
      <c r="G112" s="49">
        <f>IF(curve_type="Simulada",_xlfn.XLOOKUP(tbl_Bonds[[#This Row],[Coupon]],Simulador!$B$5:$B$147,Simulador!$H$5:$H$147),0)</f>
        <v>0</v>
      </c>
      <c r="H112" s="5" cm="1">
        <f t="array" ref="H11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0.11741710508794967</v>
      </c>
      <c r="I112" s="5" cm="1">
        <f t="array" ref="I112">Interpola_FF(tbl_Bonds[[#This Row],[DU]],dus_svensson,svensson_implicita)</f>
        <v>5.3104968591759505E-2</v>
      </c>
      <c r="J112" s="49">
        <f>IF(curve_type="Simulada",_xlfn.XLOOKUP(tbl_Bonds[[#This Row],[Coupon]],Simulador!$B$5:$B$147,Simulador!$N$5:$N$147),0)</f>
        <v>0</v>
      </c>
      <c r="K112" s="5" cm="1">
        <f t="array" ref="K11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5.3104968591759505E-2</v>
      </c>
      <c r="L112" s="5" cm="1">
        <f t="array" ref="L112">Interpola_FF(tbl_Bonds[[#This Row],[DU]],dus_svensson,svensson_real_spot)</f>
        <v>6.1070807198248644E-2</v>
      </c>
      <c r="M112" s="49">
        <f>IF(curve_type="Simulada",_xlfn.XLOOKUP(tbl_Bonds[[#This Row],[Coupon]],Simulador!$B$5:$B$147,Simulador!$K$5:$K$147),0)</f>
        <v>0</v>
      </c>
      <c r="N112" s="5" cm="1">
        <f t="array" ref="N11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6.1070807198248644E-2</v>
      </c>
      <c r="O112" s="6">
        <f>IF(curve_type="Mercado",tbl_Bonds[[#This Row],[FC]]/(1+tbl_Bonds[[#This Row],[Real Mercado]])^(tbl_Bonds[[#This Row],[DU]]/252),tbl_Bonds[[#This Row],[FC]]/(1+tbl_Bonds[[#This Row],[Real Simulada]])^(tbl_Bonds[[#This Row],[DU]]/252))</f>
        <v>2.4927721145174282E-2</v>
      </c>
      <c r="P112" s="7">
        <f>tbl_Bonds[[#This Row],[Cotação]]*VNA</f>
        <v>98.596722638302523</v>
      </c>
      <c r="Q112" s="18">
        <f>tbl_Bonds[[#This Row],[Cotação]]%%*VNA</f>
        <v>9.8596722638302527E-3</v>
      </c>
      <c r="R11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-2.6733485086830221E-2</v>
      </c>
      <c r="S11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-2.5385556042411363E-2</v>
      </c>
      <c r="T11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2.6935828231720655E-2</v>
      </c>
      <c r="U112" s="18">
        <f>IF(curve_type="Mercado",tbl_Bonds[[#This Row],[VP Cupom]]*LN(1+tbl_Bonds[[#This Row],[Real Mercado]])/252,tbl_Bonds[[#This Row],[VP Cupom]]*LN(1+tbl_Bonds[[#This Row],[Real Simulada]])/252)</f>
        <v>2.3193155001732964E-2</v>
      </c>
      <c r="V112" s="18">
        <f>SUMIF(Dashboard!$B$28:$B$42,tbl_Bonds[[#This Row],[Bond]],Dashboard!$C$28:$C$42)</f>
        <v>1839</v>
      </c>
      <c r="W112" s="18">
        <f>tbl_Bonds[[#This Row],[Quantidade]]*tbl_Bonds[[#This Row],[𝛿P/𝛿VNA]]</f>
        <v>18.131937293183835</v>
      </c>
      <c r="X112" s="18">
        <f>+tbl_Bonds[[#This Row],[Quantidade]]*tbl_Bonds[[#This Row],[𝛿P/𝛿r_real]]</f>
        <v>-49.162879074680774</v>
      </c>
      <c r="Y112" s="18">
        <f>tbl_Bonds[[#This Row],[Quantidade]]*tbl_Bonds[[#This Row],[𝛿P/𝛿r_pre]]</f>
        <v>-46.684037561994494</v>
      </c>
      <c r="Z112" s="18">
        <f>tbl_Bonds[[#This Row],[Quantidade]]*tbl_Bonds[[#This Row],[𝛿P/𝛿r_implicita]]</f>
        <v>49.534988118134287</v>
      </c>
      <c r="AA112" s="18">
        <f>tbl_Bonds[[#This Row],[Quantidade]]*tbl_Bonds[[#This Row],[𝛿P/𝛿du]]</f>
        <v>42.652212048186925</v>
      </c>
    </row>
    <row r="113" spans="1:27">
      <c r="A113" s="2" t="s">
        <v>85</v>
      </c>
      <c r="B113" s="3">
        <v>51363</v>
      </c>
      <c r="C113" s="3">
        <v>46071</v>
      </c>
      <c r="D113" s="4">
        <f>NETWORKDAYS(Dashboard!$C$10,bonds!C113,feriados)-1</f>
        <v>854</v>
      </c>
      <c r="E113" s="2">
        <f>IF(tbl_Bonds[[#This Row],[Coupon]]&lt;tbl_Bonds[[#This Row],[Maturity]],SQRT(1.06)-1,SQRT(1.06))</f>
        <v>2.9563014098699991E-2</v>
      </c>
      <c r="F113" s="5" cm="1">
        <f t="array" ref="F113">Svensson(betas_pre,tbl_Bonds[[#This Row],[DU]])</f>
        <v>0.11659182503244317</v>
      </c>
      <c r="G113" s="49">
        <f>IF(curve_type="Simulada",_xlfn.XLOOKUP(tbl_Bonds[[#This Row],[Coupon]],Simulador!$B$5:$B$147,Simulador!$H$5:$H$147),0)</f>
        <v>0</v>
      </c>
      <c r="H113" s="5" cm="1">
        <f t="array" ref="H11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0.11659182503244317</v>
      </c>
      <c r="I113" s="5" cm="1">
        <f t="array" ref="I113">Interpola_FF(tbl_Bonds[[#This Row],[DU]],dus_svensson,svensson_implicita)</f>
        <v>5.4141996542348858E-2</v>
      </c>
      <c r="J113" s="49">
        <f>IF(curve_type="Simulada",_xlfn.XLOOKUP(tbl_Bonds[[#This Row],[Coupon]],Simulador!$B$5:$B$147,Simulador!$N$5:$N$147),0)</f>
        <v>0</v>
      </c>
      <c r="K113" s="5" cm="1">
        <f t="array" ref="K11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5.4141996542348858E-2</v>
      </c>
      <c r="L113" s="5" cm="1">
        <f t="array" ref="L113">Interpola_FF(tbl_Bonds[[#This Row],[DU]],dus_svensson,svensson_real_spot)</f>
        <v>5.927838770503624E-2</v>
      </c>
      <c r="M113" s="49">
        <f>IF(curve_type="Simulada",_xlfn.XLOOKUP(tbl_Bonds[[#This Row],[Coupon]],Simulador!$B$5:$B$147,Simulador!$K$5:$K$147),0)</f>
        <v>0</v>
      </c>
      <c r="N113" s="5" cm="1">
        <f t="array" ref="N11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5.927838770503624E-2</v>
      </c>
      <c r="O113" s="6">
        <f>IF(curve_type="Mercado",tbl_Bonds[[#This Row],[FC]]/(1+tbl_Bonds[[#This Row],[Real Mercado]])^(tbl_Bonds[[#This Row],[DU]]/252),tbl_Bonds[[#This Row],[FC]]/(1+tbl_Bonds[[#This Row],[Real Simulada]])^(tbl_Bonds[[#This Row],[DU]]/252))</f>
        <v>2.4321604466759829E-2</v>
      </c>
      <c r="P113" s="7">
        <f>tbl_Bonds[[#This Row],[Cotação]]*VNA</f>
        <v>96.199346733780743</v>
      </c>
      <c r="Q113" s="18">
        <f>tbl_Bonds[[#This Row],[Cotação]]%%*VNA</f>
        <v>9.6199346733780756E-3</v>
      </c>
      <c r="R11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-3.0776507955646001E-2</v>
      </c>
      <c r="S11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-2.9200151732275033E-2</v>
      </c>
      <c r="T11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3.0930036770103562E-2</v>
      </c>
      <c r="U113" s="18">
        <f>IF(curve_type="Mercado",tbl_Bonds[[#This Row],[VP Cupom]]*LN(1+tbl_Bonds[[#This Row],[Real Mercado]])/252,tbl_Bonds[[#This Row],[VP Cupom]]*LN(1+tbl_Bonds[[#This Row],[Real Simulada]])/252)</f>
        <v>2.1983806825281928E-2</v>
      </c>
      <c r="V113" s="18">
        <f>SUMIF(Dashboard!$B$28:$B$42,tbl_Bonds[[#This Row],[Bond]],Dashboard!$C$28:$C$42)</f>
        <v>1839</v>
      </c>
      <c r="W113" s="18">
        <f>tbl_Bonds[[#This Row],[Quantidade]]*tbl_Bonds[[#This Row],[𝛿P/𝛿VNA]]</f>
        <v>17.691059864342282</v>
      </c>
      <c r="X113" s="18">
        <f>+tbl_Bonds[[#This Row],[Quantidade]]*tbl_Bonds[[#This Row],[𝛿P/𝛿r_real]]</f>
        <v>-56.597998130432998</v>
      </c>
      <c r="Y113" s="18">
        <f>tbl_Bonds[[#This Row],[Quantidade]]*tbl_Bonds[[#This Row],[𝛿P/𝛿r_pre]]</f>
        <v>-53.699079035653789</v>
      </c>
      <c r="Z113" s="18">
        <f>tbl_Bonds[[#This Row],[Quantidade]]*tbl_Bonds[[#This Row],[𝛿P/𝛿r_implicita]]</f>
        <v>56.880337620220452</v>
      </c>
      <c r="AA113" s="18">
        <f>tbl_Bonds[[#This Row],[Quantidade]]*tbl_Bonds[[#This Row],[𝛿P/𝛿du]]</f>
        <v>40.428220751693466</v>
      </c>
    </row>
    <row r="114" spans="1:27">
      <c r="A114" s="2" t="s">
        <v>85</v>
      </c>
      <c r="B114" s="3">
        <v>51363</v>
      </c>
      <c r="C114" s="3">
        <v>46251</v>
      </c>
      <c r="D114" s="4">
        <f>NETWORKDAYS(Dashboard!$C$10,bonds!C114,feriados)-1</f>
        <v>978</v>
      </c>
      <c r="E114" s="2">
        <f>IF(tbl_Bonds[[#This Row],[Coupon]]&lt;tbl_Bonds[[#This Row],[Maturity]],SQRT(1.06)-1,SQRT(1.06))</f>
        <v>2.9563014098699991E-2</v>
      </c>
      <c r="F114" s="5" cm="1">
        <f t="array" ref="F114">Svensson(betas_pre,tbl_Bonds[[#This Row],[DU]])</f>
        <v>0.11637191467183143</v>
      </c>
      <c r="G114" s="49">
        <f>IF(curve_type="Simulada",_xlfn.XLOOKUP(tbl_Bonds[[#This Row],[Coupon]],Simulador!$B$5:$B$147,Simulador!$H$5:$H$147),0)</f>
        <v>0</v>
      </c>
      <c r="H114" s="5" cm="1">
        <f t="array" ref="H11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0.11637191467183143</v>
      </c>
      <c r="I114" s="5" cm="1">
        <f t="array" ref="I114">Interpola_FF(tbl_Bonds[[#This Row],[DU]],dus_svensson,svensson_implicita)</f>
        <v>5.5066564562549658E-2</v>
      </c>
      <c r="J114" s="49">
        <f>IF(curve_type="Simulada",_xlfn.XLOOKUP(tbl_Bonds[[#This Row],[Coupon]],Simulador!$B$5:$B$147,Simulador!$N$5:$N$147),0)</f>
        <v>0</v>
      </c>
      <c r="K114" s="5" cm="1">
        <f t="array" ref="K11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5.5066564562549658E-2</v>
      </c>
      <c r="L114" s="5" cm="1">
        <f t="array" ref="L114">Interpola_FF(tbl_Bonds[[#This Row],[DU]],dus_svensson,svensson_real_spot)</f>
        <v>5.8133069907817969E-2</v>
      </c>
      <c r="M114" s="49">
        <f>IF(curve_type="Simulada",_xlfn.XLOOKUP(tbl_Bonds[[#This Row],[Coupon]],Simulador!$B$5:$B$147,Simulador!$K$5:$K$147),0)</f>
        <v>0</v>
      </c>
      <c r="N114" s="5" cm="1">
        <f t="array" ref="N11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5.8133069907817969E-2</v>
      </c>
      <c r="O114" s="6">
        <f>IF(curve_type="Mercado",tbl_Bonds[[#This Row],[FC]]/(1+tbl_Bonds[[#This Row],[Real Mercado]])^(tbl_Bonds[[#This Row],[DU]]/252),tbl_Bonds[[#This Row],[FC]]/(1+tbl_Bonds[[#This Row],[Real Simulada]])^(tbl_Bonds[[#This Row],[DU]]/252))</f>
        <v>2.3741547469357031E-2</v>
      </c>
      <c r="P114" s="7">
        <f>tbl_Bonds[[#This Row],[Cotação]]*VNA</f>
        <v>93.90504479762474</v>
      </c>
      <c r="Q114" s="18">
        <f>tbl_Bonds[[#This Row],[Cotação]]%%*VNA</f>
        <v>9.3905044797624737E-3</v>
      </c>
      <c r="R11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-3.4441888034227201E-2</v>
      </c>
      <c r="S11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-3.2648405861038642E-2</v>
      </c>
      <c r="T11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3.4545463372903575E-2</v>
      </c>
      <c r="U114" s="18">
        <f>IF(curve_type="Mercado",tbl_Bonds[[#This Row],[VP Cupom]]*LN(1+tbl_Bonds[[#This Row],[Real Mercado]])/252,tbl_Bonds[[#This Row],[VP Cupom]]*LN(1+tbl_Bonds[[#This Row],[Real Simulada]])/252)</f>
        <v>2.1056380546002E-2</v>
      </c>
      <c r="V114" s="18">
        <f>SUMIF(Dashboard!$B$28:$B$42,tbl_Bonds[[#This Row],[Bond]],Dashboard!$C$28:$C$42)</f>
        <v>1839</v>
      </c>
      <c r="W114" s="18">
        <f>tbl_Bonds[[#This Row],[Quantidade]]*tbl_Bonds[[#This Row],[𝛿P/𝛿VNA]]</f>
        <v>17.269137738283188</v>
      </c>
      <c r="X114" s="18">
        <f>+tbl_Bonds[[#This Row],[Quantidade]]*tbl_Bonds[[#This Row],[𝛿P/𝛿r_real]]</f>
        <v>-63.338632094943826</v>
      </c>
      <c r="Y114" s="18">
        <f>tbl_Bonds[[#This Row],[Quantidade]]*tbl_Bonds[[#This Row],[𝛿P/𝛿r_pre]]</f>
        <v>-60.040418378450063</v>
      </c>
      <c r="Z114" s="18">
        <f>tbl_Bonds[[#This Row],[Quantidade]]*tbl_Bonds[[#This Row],[𝛿P/𝛿r_implicita]]</f>
        <v>63.529107142769675</v>
      </c>
      <c r="AA114" s="18">
        <f>tbl_Bonds[[#This Row],[Quantidade]]*tbl_Bonds[[#This Row],[𝛿P/𝛿du]]</f>
        <v>38.722683824097679</v>
      </c>
    </row>
    <row r="115" spans="1:27">
      <c r="A115" s="2" t="s">
        <v>85</v>
      </c>
      <c r="B115" s="3">
        <v>51363</v>
      </c>
      <c r="C115" s="3">
        <v>46433</v>
      </c>
      <c r="D115" s="4">
        <f>NETWORKDAYS(Dashboard!$C$10,bonds!C115,feriados)-1</f>
        <v>1101</v>
      </c>
      <c r="E115" s="2">
        <f>IF(tbl_Bonds[[#This Row],[Coupon]]&lt;tbl_Bonds[[#This Row],[Maturity]],SQRT(1.06)-1,SQRT(1.06))</f>
        <v>2.9563014098699991E-2</v>
      </c>
      <c r="F115" s="5" cm="1">
        <f t="array" ref="F115">Svensson(betas_pre,tbl_Bonds[[#This Row],[DU]])</f>
        <v>0.11646160743294708</v>
      </c>
      <c r="G115" s="49">
        <f>IF(curve_type="Simulada",_xlfn.XLOOKUP(tbl_Bonds[[#This Row],[Coupon]],Simulador!$B$5:$B$147,Simulador!$H$5:$H$147),0)</f>
        <v>0</v>
      </c>
      <c r="H115" s="5" cm="1">
        <f t="array" ref="H11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0.11646160743294708</v>
      </c>
      <c r="I115" s="5" cm="1">
        <f t="array" ref="I115">Interpola_FF(tbl_Bonds[[#This Row],[DU]],dus_svensson,svensson_implicita)</f>
        <v>5.5866933897950277E-2</v>
      </c>
      <c r="J115" s="49">
        <f>IF(curve_type="Simulada",_xlfn.XLOOKUP(tbl_Bonds[[#This Row],[Coupon]],Simulador!$B$5:$B$147,Simulador!$N$5:$N$147),0)</f>
        <v>0</v>
      </c>
      <c r="K115" s="5" cm="1">
        <f t="array" ref="K11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5.5866933897950277E-2</v>
      </c>
      <c r="L115" s="5" cm="1">
        <f t="array" ref="L115">Interpola_FF(tbl_Bonds[[#This Row],[DU]],dus_svensson,svensson_real_spot)</f>
        <v>5.7407981869316727E-2</v>
      </c>
      <c r="M115" s="49">
        <f>IF(curve_type="Simulada",_xlfn.XLOOKUP(tbl_Bonds[[#This Row],[Coupon]],Simulador!$B$5:$B$147,Simulador!$K$5:$K$147),0)</f>
        <v>0</v>
      </c>
      <c r="N115" s="5" cm="1">
        <f t="array" ref="N11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5.7407981869316727E-2</v>
      </c>
      <c r="O115" s="6">
        <f>IF(curve_type="Mercado",tbl_Bonds[[#This Row],[FC]]/(1+tbl_Bonds[[#This Row],[Real Mercado]])^(tbl_Bonds[[#This Row],[DU]]/252),tbl_Bonds[[#This Row],[FC]]/(1+tbl_Bonds[[#This Row],[Real Simulada]])^(tbl_Bonds[[#This Row],[DU]]/252))</f>
        <v>2.3164968021171791E-2</v>
      </c>
      <c r="P115" s="7">
        <f>tbl_Bonds[[#This Row],[Cotação]]*VNA</f>
        <v>91.62449762684291</v>
      </c>
      <c r="Q115" s="18">
        <f>tbl_Bonds[[#This Row],[Cotação]]%%*VNA</f>
        <v>9.1624497626842921E-3</v>
      </c>
      <c r="R11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-3.7857837283893893E-2</v>
      </c>
      <c r="S11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-3.5858280398520265E-2</v>
      </c>
      <c r="T11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3.7916135157029754E-2</v>
      </c>
      <c r="U115" s="18">
        <f>IF(curve_type="Mercado",tbl_Bonds[[#This Row],[VP Cupom]]*LN(1+tbl_Bonds[[#This Row],[Real Mercado]])/252,tbl_Bonds[[#This Row],[VP Cupom]]*LN(1+tbl_Bonds[[#This Row],[Real Simulada]])/252)</f>
        <v>2.0295776418198942E-2</v>
      </c>
      <c r="V115" s="18">
        <f>SUMIF(Dashboard!$B$28:$B$42,tbl_Bonds[[#This Row],[Bond]],Dashboard!$C$28:$C$42)</f>
        <v>1839</v>
      </c>
      <c r="W115" s="18">
        <f>tbl_Bonds[[#This Row],[Quantidade]]*tbl_Bonds[[#This Row],[𝛿P/𝛿VNA]]</f>
        <v>16.849745113576414</v>
      </c>
      <c r="X115" s="18">
        <f>+tbl_Bonds[[#This Row],[Quantidade]]*tbl_Bonds[[#This Row],[𝛿P/𝛿r_real]]</f>
        <v>-69.620562765080862</v>
      </c>
      <c r="Y115" s="18">
        <f>tbl_Bonds[[#This Row],[Quantidade]]*tbl_Bonds[[#This Row],[𝛿P/𝛿r_pre]]</f>
        <v>-65.943377652878766</v>
      </c>
      <c r="Z115" s="18">
        <f>tbl_Bonds[[#This Row],[Quantidade]]*tbl_Bonds[[#This Row],[𝛿P/𝛿r_implicita]]</f>
        <v>69.727772553777712</v>
      </c>
      <c r="AA115" s="18">
        <f>tbl_Bonds[[#This Row],[Quantidade]]*tbl_Bonds[[#This Row],[𝛿P/𝛿du]]</f>
        <v>37.323932833067857</v>
      </c>
    </row>
    <row r="116" spans="1:27">
      <c r="A116" s="2" t="s">
        <v>85</v>
      </c>
      <c r="B116" s="3">
        <v>51363</v>
      </c>
      <c r="C116" s="3">
        <v>46615</v>
      </c>
      <c r="D116" s="4">
        <f>NETWORKDAYS(Dashboard!$C$10,bonds!C116,feriados)-1</f>
        <v>1228</v>
      </c>
      <c r="E116" s="2">
        <f>IF(tbl_Bonds[[#This Row],[Coupon]]&lt;tbl_Bonds[[#This Row],[Maturity]],SQRT(1.06)-1,SQRT(1.06))</f>
        <v>2.9563014098699991E-2</v>
      </c>
      <c r="F116" s="5" cm="1">
        <f t="array" ref="F116">Svensson(betas_pre,tbl_Bonds[[#This Row],[DU]])</f>
        <v>0.11671586421546679</v>
      </c>
      <c r="G116" s="49">
        <f>IF(curve_type="Simulada",_xlfn.XLOOKUP(tbl_Bonds[[#This Row],[Coupon]],Simulador!$B$5:$B$147,Simulador!$H$5:$H$147),0)</f>
        <v>0</v>
      </c>
      <c r="H116" s="5" cm="1">
        <f t="array" ref="H11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0.11671586421546679</v>
      </c>
      <c r="I116" s="5" cm="1">
        <f t="array" ref="I116">Interpola_FF(tbl_Bonds[[#This Row],[DU]],dus_svensson,svensson_implicita)</f>
        <v>5.6538828426135002E-2</v>
      </c>
      <c r="J116" s="49">
        <f>IF(curve_type="Simulada",_xlfn.XLOOKUP(tbl_Bonds[[#This Row],[Coupon]],Simulador!$B$5:$B$147,Simulador!$N$5:$N$147),0)</f>
        <v>0</v>
      </c>
      <c r="K116" s="5" cm="1">
        <f t="array" ref="K11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5.6538828426135002E-2</v>
      </c>
      <c r="L116" s="5" cm="1">
        <f t="array" ref="L116">Interpola_FF(tbl_Bonds[[#This Row],[DU]],dus_svensson,svensson_real_spot)</f>
        <v>5.6968724466762044E-2</v>
      </c>
      <c r="M116" s="49">
        <f>IF(curve_type="Simulada",_xlfn.XLOOKUP(tbl_Bonds[[#This Row],[Coupon]],Simulador!$B$5:$B$147,Simulador!$K$5:$K$147),0)</f>
        <v>0</v>
      </c>
      <c r="N116" s="5" cm="1">
        <f t="array" ref="N11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5.6968724466762044E-2</v>
      </c>
      <c r="O116" s="6">
        <f>IF(curve_type="Mercado",tbl_Bonds[[#This Row],[FC]]/(1+tbl_Bonds[[#This Row],[Real Mercado]])^(tbl_Bonds[[#This Row],[DU]]/252),tbl_Bonds[[#This Row],[FC]]/(1+tbl_Bonds[[#This Row],[Real Simulada]])^(tbl_Bonds[[#This Row],[DU]]/252))</f>
        <v>2.2568024049985532E-2</v>
      </c>
      <c r="P116" s="7">
        <f>tbl_Bonds[[#This Row],[Cotação]]*VNA</f>
        <v>89.263402570664766</v>
      </c>
      <c r="Q116" s="18">
        <f>tbl_Bonds[[#This Row],[Cotação]]%%*VNA</f>
        <v>8.9263402570664754E-3</v>
      </c>
      <c r="R11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-4.1153722672892003E-2</v>
      </c>
      <c r="S11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-3.8954041250868057E-2</v>
      </c>
      <c r="T11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4.1172737498865408E-2</v>
      </c>
      <c r="U116" s="18">
        <f>IF(curve_type="Mercado",tbl_Bonds[[#This Row],[VP Cupom]]*LN(1+tbl_Bonds[[#This Row],[Real Mercado]])/252,tbl_Bonds[[#This Row],[VP Cupom]]*LN(1+tbl_Bonds[[#This Row],[Real Simulada]])/252)</f>
        <v>1.9625592487311244E-2</v>
      </c>
      <c r="V116" s="18">
        <f>SUMIF(Dashboard!$B$28:$B$42,tbl_Bonds[[#This Row],[Bond]],Dashboard!$C$28:$C$42)</f>
        <v>1839</v>
      </c>
      <c r="W116" s="18">
        <f>tbl_Bonds[[#This Row],[Quantidade]]*tbl_Bonds[[#This Row],[𝛿P/𝛿VNA]]</f>
        <v>16.415539732745248</v>
      </c>
      <c r="X116" s="18">
        <f>+tbl_Bonds[[#This Row],[Quantidade]]*tbl_Bonds[[#This Row],[𝛿P/𝛿r_real]]</f>
        <v>-75.681695995448393</v>
      </c>
      <c r="Y116" s="18">
        <f>tbl_Bonds[[#This Row],[Quantidade]]*tbl_Bonds[[#This Row],[𝛿P/𝛿r_pre]]</f>
        <v>-71.63648186034635</v>
      </c>
      <c r="Z116" s="18">
        <f>tbl_Bonds[[#This Row],[Quantidade]]*tbl_Bonds[[#This Row],[𝛿P/𝛿r_implicita]]</f>
        <v>75.716664260413481</v>
      </c>
      <c r="AA116" s="18">
        <f>tbl_Bonds[[#This Row],[Quantidade]]*tbl_Bonds[[#This Row],[𝛿P/𝛿du]]</f>
        <v>36.091464584165379</v>
      </c>
    </row>
    <row r="117" spans="1:27">
      <c r="A117" s="2" t="s">
        <v>85</v>
      </c>
      <c r="B117" s="3">
        <v>51363</v>
      </c>
      <c r="C117" s="3">
        <v>46798</v>
      </c>
      <c r="D117" s="4">
        <f>NETWORKDAYS(Dashboard!$C$10,bonds!C117,feriados)-1</f>
        <v>1355</v>
      </c>
      <c r="E117" s="2">
        <f>IF(tbl_Bonds[[#This Row],[Coupon]]&lt;tbl_Bonds[[#This Row],[Maturity]],SQRT(1.06)-1,SQRT(1.06))</f>
        <v>2.9563014098699991E-2</v>
      </c>
      <c r="F117" s="5" cm="1">
        <f t="array" ref="F117">Svensson(betas_pre,tbl_Bonds[[#This Row],[DU]])</f>
        <v>0.11703860353993888</v>
      </c>
      <c r="G117" s="49">
        <f>IF(curve_type="Simulada",_xlfn.XLOOKUP(tbl_Bonds[[#This Row],[Coupon]],Simulador!$B$5:$B$147,Simulador!$H$5:$H$147),0)</f>
        <v>0</v>
      </c>
      <c r="H117" s="5" cm="1">
        <f t="array" ref="H11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0.11703860353993888</v>
      </c>
      <c r="I117" s="5" cm="1">
        <f t="array" ref="I117">Interpola_FF(tbl_Bonds[[#This Row],[DU]],dus_svensson,svensson_implicita)</f>
        <v>5.7054164176732813E-2</v>
      </c>
      <c r="J117" s="49">
        <f>IF(curve_type="Simulada",_xlfn.XLOOKUP(tbl_Bonds[[#This Row],[Coupon]],Simulador!$B$5:$B$147,Simulador!$N$5:$N$147),0)</f>
        <v>0</v>
      </c>
      <c r="K117" s="5" cm="1">
        <f t="array" ref="K11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5.7054164176732813E-2</v>
      </c>
      <c r="L117" s="5" cm="1">
        <f t="array" ref="L117">Interpola_FF(tbl_Bonds[[#This Row],[DU]],dus_svensson,svensson_real_spot)</f>
        <v>5.675390529669766E-2</v>
      </c>
      <c r="M117" s="49">
        <f>IF(curve_type="Simulada",_xlfn.XLOOKUP(tbl_Bonds[[#This Row],[Coupon]],Simulador!$B$5:$B$147,Simulador!$K$5:$K$147),0)</f>
        <v>0</v>
      </c>
      <c r="N117" s="5" cm="1">
        <f t="array" ref="N11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5.675390529669766E-2</v>
      </c>
      <c r="O117" s="6">
        <f>IF(curve_type="Mercado",tbl_Bonds[[#This Row],[FC]]/(1+tbl_Bonds[[#This Row],[Real Mercado]])^(tbl_Bonds[[#This Row],[DU]]/252),tbl_Bonds[[#This Row],[FC]]/(1+tbl_Bonds[[#This Row],[Real Simulada]])^(tbl_Bonds[[#This Row],[DU]]/252))</f>
        <v>2.1970585865922678E-2</v>
      </c>
      <c r="P117" s="7">
        <f>tbl_Bonds[[#This Row],[Cotação]]*VNA</f>
        <v>86.900352752170633</v>
      </c>
      <c r="Q117" s="18">
        <f>tbl_Bonds[[#This Row],[Cotação]]%%*VNA</f>
        <v>8.6900352752170631E-3</v>
      </c>
      <c r="R11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-4.4216710724769265E-2</v>
      </c>
      <c r="S11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-4.1831921789729297E-2</v>
      </c>
      <c r="T11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4.4205749414727782E-2</v>
      </c>
      <c r="U117" s="18">
        <f>IF(curve_type="Mercado",tbl_Bonds[[#This Row],[VP Cupom]]*LN(1+tbl_Bonds[[#This Row],[Real Mercado]])/252,tbl_Bonds[[#This Row],[VP Cupom]]*LN(1+tbl_Bonds[[#This Row],[Real Simulada]])/252)</f>
        <v>1.9035955403400421E-2</v>
      </c>
      <c r="V117" s="18">
        <f>SUMIF(Dashboard!$B$28:$B$42,tbl_Bonds[[#This Row],[Bond]],Dashboard!$C$28:$C$42)</f>
        <v>1839</v>
      </c>
      <c r="W117" s="18">
        <f>tbl_Bonds[[#This Row],[Quantidade]]*tbl_Bonds[[#This Row],[𝛿P/𝛿VNA]]</f>
        <v>15.980974871124179</v>
      </c>
      <c r="X117" s="18">
        <f>+tbl_Bonds[[#This Row],[Quantidade]]*tbl_Bonds[[#This Row],[𝛿P/𝛿r_real]]</f>
        <v>-81.314531022850673</v>
      </c>
      <c r="Y117" s="18">
        <f>tbl_Bonds[[#This Row],[Quantidade]]*tbl_Bonds[[#This Row],[𝛿P/𝛿r_pre]]</f>
        <v>-76.928904171312183</v>
      </c>
      <c r="Z117" s="18">
        <f>tbl_Bonds[[#This Row],[Quantidade]]*tbl_Bonds[[#This Row],[𝛿P/𝛿r_implicita]]</f>
        <v>81.294373173684392</v>
      </c>
      <c r="AA117" s="18">
        <f>tbl_Bonds[[#This Row],[Quantidade]]*tbl_Bonds[[#This Row],[𝛿P/𝛿du]]</f>
        <v>35.007121986853377</v>
      </c>
    </row>
    <row r="118" spans="1:27">
      <c r="A118" s="2" t="s">
        <v>85</v>
      </c>
      <c r="B118" s="3">
        <v>51363</v>
      </c>
      <c r="C118" s="3">
        <v>46980</v>
      </c>
      <c r="D118" s="4">
        <f>NETWORKDAYS(Dashboard!$C$10,bonds!C118,feriados)-1</f>
        <v>1479</v>
      </c>
      <c r="E118" s="2">
        <f>IF(tbl_Bonds[[#This Row],[Coupon]]&lt;tbl_Bonds[[#This Row],[Maturity]],SQRT(1.06)-1,SQRT(1.06))</f>
        <v>2.9563014098699991E-2</v>
      </c>
      <c r="F118" s="5" cm="1">
        <f t="array" ref="F118">Svensson(betas_pre,tbl_Bonds[[#This Row],[DU]])</f>
        <v>0.11736890213289761</v>
      </c>
      <c r="G118" s="49">
        <f>IF(curve_type="Simulada",_xlfn.XLOOKUP(tbl_Bonds[[#This Row],[Coupon]],Simulador!$B$5:$B$147,Simulador!$H$5:$H$147),0)</f>
        <v>0</v>
      </c>
      <c r="H118" s="5" cm="1">
        <f t="array" ref="H11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0.11736890213289761</v>
      </c>
      <c r="I118" s="5" cm="1">
        <f t="array" ref="I118">Interpola_FF(tbl_Bonds[[#This Row],[DU]],dus_svensson,svensson_implicita)</f>
        <v>5.742304317837621E-2</v>
      </c>
      <c r="J118" s="49">
        <f>IF(curve_type="Simulada",_xlfn.XLOOKUP(tbl_Bonds[[#This Row],[Coupon]],Simulador!$B$5:$B$147,Simulador!$N$5:$N$147),0)</f>
        <v>0</v>
      </c>
      <c r="K118" s="5" cm="1">
        <f t="array" ref="K11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5.742304317837621E-2</v>
      </c>
      <c r="L118" s="5" cm="1">
        <f t="array" ref="L118">Interpola_FF(tbl_Bonds[[#This Row],[DU]],dus_svensson,svensson_real_spot)</f>
        <v>5.6694932019935917E-2</v>
      </c>
      <c r="M118" s="49">
        <f>IF(curve_type="Simulada",_xlfn.XLOOKUP(tbl_Bonds[[#This Row],[Coupon]],Simulador!$B$5:$B$147,Simulador!$K$5:$K$147),0)</f>
        <v>0</v>
      </c>
      <c r="N118" s="5" cm="1">
        <f t="array" ref="N11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5.6694932019935917E-2</v>
      </c>
      <c r="O118" s="6">
        <f>IF(curve_type="Mercado",tbl_Bonds[[#This Row],[FC]]/(1+tbl_Bonds[[#This Row],[Real Mercado]])^(tbl_Bonds[[#This Row],[DU]]/252),tbl_Bonds[[#This Row],[FC]]/(1+tbl_Bonds[[#This Row],[Real Simulada]])^(tbl_Bonds[[#This Row],[DU]]/252))</f>
        <v>2.1388839605212852E-2</v>
      </c>
      <c r="P118" s="7">
        <f>tbl_Bonds[[#This Row],[Cotação]]*VNA</f>
        <v>84.599369265592273</v>
      </c>
      <c r="Q118" s="18">
        <f>tbl_Bonds[[#This Row],[Cotação]]%%*VNA</f>
        <v>8.4599369265592264E-3</v>
      </c>
      <c r="R11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-4.6987802412568697E-2</v>
      </c>
      <c r="S11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-4.4437419153390778E-2</v>
      </c>
      <c r="T11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4.6956599417200047E-2</v>
      </c>
      <c r="U118" s="18">
        <f>IF(curve_type="Mercado",tbl_Bonds[[#This Row],[VP Cupom]]*LN(1+tbl_Bonds[[#This Row],[Real Mercado]])/252,tbl_Bonds[[#This Row],[VP Cupom]]*LN(1+tbl_Bonds[[#This Row],[Real Simulada]])/252)</f>
        <v>1.851317822575797E-2</v>
      </c>
      <c r="V118" s="18">
        <f>SUMIF(Dashboard!$B$28:$B$42,tbl_Bonds[[#This Row],[Bond]],Dashboard!$C$28:$C$42)</f>
        <v>1839</v>
      </c>
      <c r="W118" s="18">
        <f>tbl_Bonds[[#This Row],[Quantidade]]*tbl_Bonds[[#This Row],[𝛿P/𝛿VNA]]</f>
        <v>15.557824007942417</v>
      </c>
      <c r="X118" s="18">
        <f>+tbl_Bonds[[#This Row],[Quantidade]]*tbl_Bonds[[#This Row],[𝛿P/𝛿r_real]]</f>
        <v>-86.410568636713833</v>
      </c>
      <c r="Y118" s="18">
        <f>tbl_Bonds[[#This Row],[Quantidade]]*tbl_Bonds[[#This Row],[𝛿P/𝛿r_pre]]</f>
        <v>-81.720413823085636</v>
      </c>
      <c r="Z118" s="18">
        <f>tbl_Bonds[[#This Row],[Quantidade]]*tbl_Bonds[[#This Row],[𝛿P/𝛿r_implicita]]</f>
        <v>86.35318632823089</v>
      </c>
      <c r="AA118" s="18">
        <f>tbl_Bonds[[#This Row],[Quantidade]]*tbl_Bonds[[#This Row],[𝛿P/𝛿du]]</f>
        <v>34.045734757168908</v>
      </c>
    </row>
    <row r="119" spans="1:27">
      <c r="A119" s="2" t="s">
        <v>85</v>
      </c>
      <c r="B119" s="3">
        <v>51363</v>
      </c>
      <c r="C119" s="3">
        <v>47164</v>
      </c>
      <c r="D119" s="4">
        <f>NETWORKDAYS(Dashboard!$C$10,bonds!C119,feriados)-1</f>
        <v>1603</v>
      </c>
      <c r="E119" s="2">
        <f>IF(tbl_Bonds[[#This Row],[Coupon]]&lt;tbl_Bonds[[#This Row],[Maturity]],SQRT(1.06)-1,SQRT(1.06))</f>
        <v>2.9563014098699991E-2</v>
      </c>
      <c r="F119" s="5" cm="1">
        <f t="array" ref="F119">Svensson(betas_pre,tbl_Bonds[[#This Row],[DU]])</f>
        <v>0.11768880617970637</v>
      </c>
      <c r="G119" s="49">
        <f>IF(curve_type="Simulada",_xlfn.XLOOKUP(tbl_Bonds[[#This Row],[Coupon]],Simulador!$B$5:$B$147,Simulador!$H$5:$H$147),0)</f>
        <v>0</v>
      </c>
      <c r="H119" s="5" cm="1">
        <f t="array" ref="H11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0.11768880617970637</v>
      </c>
      <c r="I119" s="5" cm="1">
        <f t="array" ref="I119">Interpola_FF(tbl_Bonds[[#This Row],[DU]],dus_svensson,svensson_implicita)</f>
        <v>5.7683163424037343E-2</v>
      </c>
      <c r="J119" s="49">
        <f>IF(curve_type="Simulada",_xlfn.XLOOKUP(tbl_Bonds[[#This Row],[Coupon]],Simulador!$B$5:$B$147,Simulador!$N$5:$N$147),0)</f>
        <v>0</v>
      </c>
      <c r="K119" s="5" cm="1">
        <f t="array" ref="K11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5.7683163424037343E-2</v>
      </c>
      <c r="L119" s="5" cm="1">
        <f t="array" ref="L119">Interpola_FF(tbl_Bonds[[#This Row],[DU]],dus_svensson,svensson_real_spot)</f>
        <v>5.6735781893983983E-2</v>
      </c>
      <c r="M119" s="49">
        <f>IF(curve_type="Simulada",_xlfn.XLOOKUP(tbl_Bonds[[#This Row],[Coupon]],Simulador!$B$5:$B$147,Simulador!$K$5:$K$147),0)</f>
        <v>0</v>
      </c>
      <c r="N119" s="5" cm="1">
        <f t="array" ref="N11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5.6735781893983983E-2</v>
      </c>
      <c r="O119" s="6">
        <f>IF(curve_type="Mercado",tbl_Bonds[[#This Row],[FC]]/(1+tbl_Bonds[[#This Row],[Real Mercado]])^(tbl_Bonds[[#This Row],[DU]]/252),tbl_Bonds[[#This Row],[FC]]/(1+tbl_Bonds[[#This Row],[Real Simulada]])^(tbl_Bonds[[#This Row],[DU]]/252))</f>
        <v>2.0811131483075736E-2</v>
      </c>
      <c r="P119" s="7">
        <f>tbl_Bonds[[#This Row],[Cotação]]*VNA</f>
        <v>82.314357845875122</v>
      </c>
      <c r="Q119" s="18">
        <f>tbl_Bonds[[#This Row],[Cotação]]%%*VNA</f>
        <v>8.2314357845875118E-3</v>
      </c>
      <c r="R11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-4.9549829320523861E-2</v>
      </c>
      <c r="S11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-4.6848392175617516E-2</v>
      </c>
      <c r="T11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4.9506246608571704E-2</v>
      </c>
      <c r="U119" s="18">
        <f>IF(curve_type="Mercado",tbl_Bonds[[#This Row],[VP Cupom]]*LN(1+tbl_Bonds[[#This Row],[Real Mercado]])/252,tbl_Bonds[[#This Row],[VP Cupom]]*LN(1+tbl_Bonds[[#This Row],[Real Simulada]])/252)</f>
        <v>1.8025768341404708E-2</v>
      </c>
      <c r="V119" s="18">
        <f>SUMIF(Dashboard!$B$28:$B$42,tbl_Bonds[[#This Row],[Bond]],Dashboard!$C$28:$C$42)</f>
        <v>1839</v>
      </c>
      <c r="W119" s="18">
        <f>tbl_Bonds[[#This Row],[Quantidade]]*tbl_Bonds[[#This Row],[𝛿P/𝛿VNA]]</f>
        <v>15.137610407856434</v>
      </c>
      <c r="X119" s="18">
        <f>+tbl_Bonds[[#This Row],[Quantidade]]*tbl_Bonds[[#This Row],[𝛿P/𝛿r_real]]</f>
        <v>-91.122136120443386</v>
      </c>
      <c r="Y119" s="18">
        <f>tbl_Bonds[[#This Row],[Quantidade]]*tbl_Bonds[[#This Row],[𝛿P/𝛿r_pre]]</f>
        <v>-86.154193210960614</v>
      </c>
      <c r="Z119" s="18">
        <f>tbl_Bonds[[#This Row],[Quantidade]]*tbl_Bonds[[#This Row],[𝛿P/𝛿r_implicita]]</f>
        <v>91.041987513163363</v>
      </c>
      <c r="AA119" s="18">
        <f>tbl_Bonds[[#This Row],[Quantidade]]*tbl_Bonds[[#This Row],[𝛿P/𝛿du]]</f>
        <v>33.149387979843254</v>
      </c>
    </row>
    <row r="120" spans="1:27">
      <c r="A120" s="2" t="s">
        <v>85</v>
      </c>
      <c r="B120" s="3">
        <v>51363</v>
      </c>
      <c r="C120" s="3">
        <v>47345</v>
      </c>
      <c r="D120" s="4">
        <f>NETWORKDAYS(Dashboard!$C$10,bonds!C120,feriados)-1</f>
        <v>1729</v>
      </c>
      <c r="E120" s="2">
        <f>IF(tbl_Bonds[[#This Row],[Coupon]]&lt;tbl_Bonds[[#This Row],[Maturity]],SQRT(1.06)-1,SQRT(1.06))</f>
        <v>2.9563014098699991E-2</v>
      </c>
      <c r="F120" s="5" cm="1">
        <f t="array" ref="F120">Svensson(betas_pre,tbl_Bonds[[#This Row],[DU]])</f>
        <v>0.11799146123194351</v>
      </c>
      <c r="G120" s="49">
        <f>IF(curve_type="Simulada",_xlfn.XLOOKUP(tbl_Bonds[[#This Row],[Coupon]],Simulador!$B$5:$B$147,Simulador!$H$5:$H$147),0)</f>
        <v>0</v>
      </c>
      <c r="H120" s="5" cm="1">
        <f t="array" ref="H12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0.11799146123194351</v>
      </c>
      <c r="I120" s="5" cm="1">
        <f t="array" ref="I120">Interpola_FF(tbl_Bonds[[#This Row],[DU]],dus_svensson,svensson_implicita)</f>
        <v>5.7860887908244507E-2</v>
      </c>
      <c r="J120" s="49">
        <f>IF(curve_type="Simulada",_xlfn.XLOOKUP(tbl_Bonds[[#This Row],[Coupon]],Simulador!$B$5:$B$147,Simulador!$N$5:$N$147),0)</f>
        <v>0</v>
      </c>
      <c r="K120" s="5" cm="1">
        <f t="array" ref="K12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5.7860887908244507E-2</v>
      </c>
      <c r="L120" s="5" cm="1">
        <f t="array" ref="L120">Interpola_FF(tbl_Bonds[[#This Row],[DU]],dus_svensson,svensson_real_spot)</f>
        <v>5.6843208866909523E-2</v>
      </c>
      <c r="M120" s="49">
        <f>IF(curve_type="Simulada",_xlfn.XLOOKUP(tbl_Bonds[[#This Row],[Coupon]],Simulador!$B$5:$B$147,Simulador!$K$5:$K$147),0)</f>
        <v>0</v>
      </c>
      <c r="N120" s="5" cm="1">
        <f t="array" ref="N12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5.6843208866909523E-2</v>
      </c>
      <c r="O120" s="6">
        <f>IF(curve_type="Mercado",tbl_Bonds[[#This Row],[FC]]/(1+tbl_Bonds[[#This Row],[Real Mercado]])^(tbl_Bonds[[#This Row],[DU]]/252),tbl_Bonds[[#This Row],[FC]]/(1+tbl_Bonds[[#This Row],[Real Simulada]])^(tbl_Bonds[[#This Row],[DU]]/252))</f>
        <v>2.0230638204419435E-2</v>
      </c>
      <c r="P120" s="7">
        <f>tbl_Bonds[[#This Row],[Cotação]]*VNA</f>
        <v>80.018330284601063</v>
      </c>
      <c r="Q120" s="18">
        <f>tbl_Bonds[[#This Row],[Cotação]]%%*VNA</f>
        <v>8.0018330284601074E-3</v>
      </c>
      <c r="R12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-5.1948543587355685E-2</v>
      </c>
      <c r="S12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-4.910772396550566E-2</v>
      </c>
      <c r="T12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5.1899088719057192E-2</v>
      </c>
      <c r="U120" s="18">
        <f>IF(curve_type="Mercado",tbl_Bonds[[#This Row],[VP Cupom]]*LN(1+tbl_Bonds[[#This Row],[Real Mercado]])/252,tbl_Bonds[[#This Row],[VP Cupom]]*LN(1+tbl_Bonds[[#This Row],[Real Simulada]])/252)</f>
        <v>1.7555246853020717E-2</v>
      </c>
      <c r="V120" s="18">
        <f>SUMIF(Dashboard!$B$28:$B$42,tbl_Bonds[[#This Row],[Bond]],Dashboard!$C$28:$C$42)</f>
        <v>1839</v>
      </c>
      <c r="W120" s="18">
        <f>tbl_Bonds[[#This Row],[Quantidade]]*tbl_Bonds[[#This Row],[𝛿P/𝛿VNA]]</f>
        <v>14.715370939338138</v>
      </c>
      <c r="X120" s="18">
        <f>+tbl_Bonds[[#This Row],[Quantidade]]*tbl_Bonds[[#This Row],[𝛿P/𝛿r_real]]</f>
        <v>-95.5333716571471</v>
      </c>
      <c r="Y120" s="18">
        <f>tbl_Bonds[[#This Row],[Quantidade]]*tbl_Bonds[[#This Row],[𝛿P/𝛿r_pre]]</f>
        <v>-90.309104372564903</v>
      </c>
      <c r="Z120" s="18">
        <f>tbl_Bonds[[#This Row],[Quantidade]]*tbl_Bonds[[#This Row],[𝛿P/𝛿r_implicita]]</f>
        <v>95.44242415434617</v>
      </c>
      <c r="AA120" s="18">
        <f>tbl_Bonds[[#This Row],[Quantidade]]*tbl_Bonds[[#This Row],[𝛿P/𝛿du]]</f>
        <v>32.284098962705094</v>
      </c>
    </row>
    <row r="121" spans="1:27">
      <c r="A121" s="2" t="s">
        <v>85</v>
      </c>
      <c r="B121" s="3">
        <v>51363</v>
      </c>
      <c r="C121" s="3">
        <v>47529</v>
      </c>
      <c r="D121" s="4">
        <f>NETWORKDAYS(Dashboard!$C$10,bonds!C121,feriados)-1</f>
        <v>1855</v>
      </c>
      <c r="E121" s="2">
        <f>IF(tbl_Bonds[[#This Row],[Coupon]]&lt;tbl_Bonds[[#This Row],[Maturity]],SQRT(1.06)-1,SQRT(1.06))</f>
        <v>2.9563014098699991E-2</v>
      </c>
      <c r="F121" s="5" cm="1">
        <f t="array" ref="F121">Svensson(betas_pre,tbl_Bonds[[#This Row],[DU]])</f>
        <v>0.11826738921135904</v>
      </c>
      <c r="G121" s="49">
        <f>IF(curve_type="Simulada",_xlfn.XLOOKUP(tbl_Bonds[[#This Row],[Coupon]],Simulador!$B$5:$B$147,Simulador!$H$5:$H$147),0)</f>
        <v>0</v>
      </c>
      <c r="H121" s="5" cm="1">
        <f t="array" ref="H12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0.11826738921135904</v>
      </c>
      <c r="I121" s="5" cm="1">
        <f t="array" ref="I121">Interpola_FF(tbl_Bonds[[#This Row],[DU]],dus_svensson,svensson_implicita)</f>
        <v>5.7973532188232424E-2</v>
      </c>
      <c r="J121" s="49">
        <f>IF(curve_type="Simulada",_xlfn.XLOOKUP(tbl_Bonds[[#This Row],[Coupon]],Simulador!$B$5:$B$147,Simulador!$N$5:$N$147),0)</f>
        <v>0</v>
      </c>
      <c r="K121" s="5" cm="1">
        <f t="array" ref="K12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5.7973532188232424E-2</v>
      </c>
      <c r="L121" s="5" cm="1">
        <f t="array" ref="L121">Interpola_FF(tbl_Bonds[[#This Row],[DU]],dus_svensson,svensson_real_spot)</f>
        <v>5.699082751972151E-2</v>
      </c>
      <c r="M121" s="49">
        <f>IF(curve_type="Simulada",_xlfn.XLOOKUP(tbl_Bonds[[#This Row],[Coupon]],Simulador!$B$5:$B$147,Simulador!$K$5:$K$147),0)</f>
        <v>0</v>
      </c>
      <c r="N121" s="5" cm="1">
        <f t="array" ref="N12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5.699082751972151E-2</v>
      </c>
      <c r="O121" s="6">
        <f>IF(curve_type="Mercado",tbl_Bonds[[#This Row],[FC]]/(1+tbl_Bonds[[#This Row],[Real Mercado]])^(tbl_Bonds[[#This Row],[DU]]/252),tbl_Bonds[[#This Row],[FC]]/(1+tbl_Bonds[[#This Row],[Real Simulada]])^(tbl_Bonds[[#This Row],[DU]]/252))</f>
        <v>1.9658835840888039E-2</v>
      </c>
      <c r="P121" s="7">
        <f>tbl_Bonds[[#This Row],[Cotação]]*VNA</f>
        <v>77.756677937292736</v>
      </c>
      <c r="Q121" s="18">
        <f>tbl_Bonds[[#This Row],[Cotação]]%%*VNA</f>
        <v>7.7756677937292733E-3</v>
      </c>
      <c r="R12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-5.415142033639022E-2</v>
      </c>
      <c r="S12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-5.1184453352055591E-2</v>
      </c>
      <c r="T12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5.4101452708204559E-2</v>
      </c>
      <c r="U121" s="18">
        <f>IF(curve_type="Mercado",tbl_Bonds[[#This Row],[VP Cupom]]*LN(1+tbl_Bonds[[#This Row],[Real Mercado]])/252,tbl_Bonds[[#This Row],[VP Cupom]]*LN(1+tbl_Bonds[[#This Row],[Real Simulada]])/252)</f>
        <v>1.7102158281184266E-2</v>
      </c>
      <c r="V121" s="18">
        <f>SUMIF(Dashboard!$B$28:$B$42,tbl_Bonds[[#This Row],[Bond]],Dashboard!$C$28:$C$42)</f>
        <v>1839</v>
      </c>
      <c r="W121" s="18">
        <f>tbl_Bonds[[#This Row],[Quantidade]]*tbl_Bonds[[#This Row],[𝛿P/𝛿VNA]]</f>
        <v>14.299453072668134</v>
      </c>
      <c r="X121" s="18">
        <f>+tbl_Bonds[[#This Row],[Quantidade]]*tbl_Bonds[[#This Row],[𝛿P/𝛿r_real]]</f>
        <v>-99.58446199862162</v>
      </c>
      <c r="Y121" s="18">
        <f>tbl_Bonds[[#This Row],[Quantidade]]*tbl_Bonds[[#This Row],[𝛿P/𝛿r_pre]]</f>
        <v>-94.128209714430227</v>
      </c>
      <c r="Z121" s="18">
        <f>tbl_Bonds[[#This Row],[Quantidade]]*tbl_Bonds[[#This Row],[𝛿P/𝛿r_implicita]]</f>
        <v>99.49257153038819</v>
      </c>
      <c r="AA121" s="18">
        <f>tbl_Bonds[[#This Row],[Quantidade]]*tbl_Bonds[[#This Row],[𝛿P/𝛿du]]</f>
        <v>31.450869079097867</v>
      </c>
    </row>
    <row r="122" spans="1:27">
      <c r="A122" s="2" t="s">
        <v>85</v>
      </c>
      <c r="B122" s="3">
        <v>51363</v>
      </c>
      <c r="C122" s="3">
        <v>47710</v>
      </c>
      <c r="D122" s="4">
        <f>NETWORKDAYS(Dashboard!$C$10,bonds!C122,feriados)-1</f>
        <v>1979</v>
      </c>
      <c r="E122" s="2">
        <f>IF(tbl_Bonds[[#This Row],[Coupon]]&lt;tbl_Bonds[[#This Row],[Maturity]],SQRT(1.06)-1,SQRT(1.06))</f>
        <v>2.9563014098699991E-2</v>
      </c>
      <c r="F122" s="5" cm="1">
        <f t="array" ref="F122">Svensson(betas_pre,tbl_Bonds[[#This Row],[DU]])</f>
        <v>0.11851270064571921</v>
      </c>
      <c r="G122" s="49">
        <f>IF(curve_type="Simulada",_xlfn.XLOOKUP(tbl_Bonds[[#This Row],[Coupon]],Simulador!$B$5:$B$147,Simulador!$H$5:$H$147),0)</f>
        <v>0</v>
      </c>
      <c r="H122" s="5" cm="1">
        <f t="array" ref="H12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0.11851270064571921</v>
      </c>
      <c r="I122" s="5" cm="1">
        <f t="array" ref="I122">Interpola_FF(tbl_Bonds[[#This Row],[DU]],dus_svensson,svensson_implicita)</f>
        <v>5.8039061744824538E-2</v>
      </c>
      <c r="J122" s="49">
        <f>IF(curve_type="Simulada",_xlfn.XLOOKUP(tbl_Bonds[[#This Row],[Coupon]],Simulador!$B$5:$B$147,Simulador!$N$5:$N$147),0)</f>
        <v>0</v>
      </c>
      <c r="K122" s="5" cm="1">
        <f t="array" ref="K12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5.8039061744824538E-2</v>
      </c>
      <c r="L122" s="5" cm="1">
        <f t="array" ref="L122">Interpola_FF(tbl_Bonds[[#This Row],[DU]],dus_svensson,svensson_real_spot)</f>
        <v>5.7156852715572137E-2</v>
      </c>
      <c r="M122" s="49">
        <f>IF(curve_type="Simulada",_xlfn.XLOOKUP(tbl_Bonds[[#This Row],[Coupon]],Simulador!$B$5:$B$147,Simulador!$K$5:$K$147),0)</f>
        <v>0</v>
      </c>
      <c r="N122" s="5" cm="1">
        <f t="array" ref="N12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5.7156852715572137E-2</v>
      </c>
      <c r="O122" s="6">
        <f>IF(curve_type="Mercado",tbl_Bonds[[#This Row],[FC]]/(1+tbl_Bonds[[#This Row],[Real Mercado]])^(tbl_Bonds[[#This Row],[DU]]/252),tbl_Bonds[[#This Row],[FC]]/(1+tbl_Bonds[[#This Row],[Real Simulada]])^(tbl_Bonds[[#This Row],[DU]]/252))</f>
        <v>1.9106342435482381E-2</v>
      </c>
      <c r="P122" s="7">
        <f>tbl_Bonds[[#This Row],[Cotação]]*VNA</f>
        <v>75.571398395090441</v>
      </c>
      <c r="Q122" s="18">
        <f>tbl_Bonds[[#This Row],[Cotação]]%%*VNA</f>
        <v>7.5571398395090448E-3</v>
      </c>
      <c r="R12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-5.6138820372608284E-2</v>
      </c>
      <c r="S12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-5.3059536354545626E-2</v>
      </c>
      <c r="T12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5.6092225182179427E-2</v>
      </c>
      <c r="U122" s="18">
        <f>IF(curve_type="Mercado",tbl_Bonds[[#This Row],[VP Cupom]]*LN(1+tbl_Bonds[[#This Row],[Real Mercado]])/252,tbl_Bonds[[#This Row],[VP Cupom]]*LN(1+tbl_Bonds[[#This Row],[Real Simulada]])/252)</f>
        <v>1.6668618443149198E-2</v>
      </c>
      <c r="V122" s="18">
        <f>SUMIF(Dashboard!$B$28:$B$42,tbl_Bonds[[#This Row],[Bond]],Dashboard!$C$28:$C$42)</f>
        <v>1839</v>
      </c>
      <c r="W122" s="18">
        <f>tbl_Bonds[[#This Row],[Quantidade]]*tbl_Bonds[[#This Row],[𝛿P/𝛿VNA]]</f>
        <v>13.897580164857134</v>
      </c>
      <c r="X122" s="18">
        <f>+tbl_Bonds[[#This Row],[Quantidade]]*tbl_Bonds[[#This Row],[𝛿P/𝛿r_real]]</f>
        <v>-103.23929066522663</v>
      </c>
      <c r="Y122" s="18">
        <f>tbl_Bonds[[#This Row],[Quantidade]]*tbl_Bonds[[#This Row],[𝛿P/𝛿r_pre]]</f>
        <v>-97.576487356009409</v>
      </c>
      <c r="Z122" s="18">
        <f>tbl_Bonds[[#This Row],[Quantidade]]*tbl_Bonds[[#This Row],[𝛿P/𝛿r_implicita]]</f>
        <v>103.15360211002796</v>
      </c>
      <c r="AA122" s="18">
        <f>tbl_Bonds[[#This Row],[Quantidade]]*tbl_Bonds[[#This Row],[𝛿P/𝛿du]]</f>
        <v>30.653589316951376</v>
      </c>
    </row>
    <row r="123" spans="1:27">
      <c r="A123" s="2" t="s">
        <v>85</v>
      </c>
      <c r="B123" s="3">
        <v>51363</v>
      </c>
      <c r="C123" s="3">
        <v>47896</v>
      </c>
      <c r="D123" s="4">
        <f>NETWORKDAYS(Dashboard!$C$10,bonds!C123,feriados)-1</f>
        <v>2108</v>
      </c>
      <c r="E123" s="2">
        <f>IF(tbl_Bonds[[#This Row],[Coupon]]&lt;tbl_Bonds[[#This Row],[Maturity]],SQRT(1.06)-1,SQRT(1.06))</f>
        <v>2.9563014098699991E-2</v>
      </c>
      <c r="F123" s="5" cm="1">
        <f t="array" ref="F123">Svensson(betas_pre,tbl_Bonds[[#This Row],[DU]])</f>
        <v>0.1187420783777112</v>
      </c>
      <c r="G123" s="49">
        <f>IF(curve_type="Simulada",_xlfn.XLOOKUP(tbl_Bonds[[#This Row],[Coupon]],Simulador!$B$5:$B$147,Simulador!$H$5:$H$147),0)</f>
        <v>0</v>
      </c>
      <c r="H123" s="5" cm="1">
        <f t="array" ref="H12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0.1187420783777112</v>
      </c>
      <c r="I123" s="5" cm="1">
        <f t="array" ref="I123">Interpola_FF(tbl_Bonds[[#This Row],[DU]],dus_svensson,svensson_implicita)</f>
        <v>5.8075178529090499E-2</v>
      </c>
      <c r="J123" s="49">
        <f>IF(curve_type="Simulada",_xlfn.XLOOKUP(tbl_Bonds[[#This Row],[Coupon]],Simulador!$B$5:$B$147,Simulador!$N$5:$N$147),0)</f>
        <v>0</v>
      </c>
      <c r="K123" s="5" cm="1">
        <f t="array" ref="K12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5.8075178529090499E-2</v>
      </c>
      <c r="L123" s="5" cm="1">
        <f t="array" ref="L123">Interpola_FF(tbl_Bonds[[#This Row],[DU]],dus_svensson,svensson_real_spot)</f>
        <v>5.7337312092009096E-2</v>
      </c>
      <c r="M123" s="49">
        <f>IF(curve_type="Simulada",_xlfn.XLOOKUP(tbl_Bonds[[#This Row],[Coupon]],Simulador!$B$5:$B$147,Simulador!$K$5:$K$147),0)</f>
        <v>0</v>
      </c>
      <c r="N123" s="5" cm="1">
        <f t="array" ref="N12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5.7337312092009096E-2</v>
      </c>
      <c r="O123" s="6">
        <f>IF(curve_type="Mercado",tbl_Bonds[[#This Row],[FC]]/(1+tbl_Bonds[[#This Row],[Real Mercado]])^(tbl_Bonds[[#This Row],[DU]]/252),tbl_Bonds[[#This Row],[FC]]/(1+tbl_Bonds[[#This Row],[Real Simulada]])^(tbl_Bonds[[#This Row],[DU]]/252))</f>
        <v>1.8543870024465087E-2</v>
      </c>
      <c r="P123" s="7">
        <f>tbl_Bonds[[#This Row],[Cotação]]*VNA</f>
        <v>73.346648849081291</v>
      </c>
      <c r="Q123" s="18">
        <f>tbl_Bonds[[#This Row],[Cotação]]%%*VNA</f>
        <v>7.3346648849081288E-3</v>
      </c>
      <c r="R12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-5.8027890604865094E-2</v>
      </c>
      <c r="S12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-5.4843012232040744E-2</v>
      </c>
      <c r="T12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5.7987548270683316E-2</v>
      </c>
      <c r="U123" s="18">
        <f>IF(curve_type="Mercado",tbl_Bonds[[#This Row],[VP Cupom]]*LN(1+tbl_Bonds[[#This Row],[Real Mercado]])/252,tbl_Bonds[[#This Row],[VP Cupom]]*LN(1+tbl_Bonds[[#This Row],[Real Simulada]])/252)</f>
        <v>1.622759041684927E-2</v>
      </c>
      <c r="V123" s="18">
        <f>SUMIF(Dashboard!$B$28:$B$42,tbl_Bonds[[#This Row],[Bond]],Dashboard!$C$28:$C$42)</f>
        <v>1839</v>
      </c>
      <c r="W123" s="18">
        <f>tbl_Bonds[[#This Row],[Quantidade]]*tbl_Bonds[[#This Row],[𝛿P/𝛿VNA]]</f>
        <v>13.48844872334605</v>
      </c>
      <c r="X123" s="18">
        <f>+tbl_Bonds[[#This Row],[Quantidade]]*tbl_Bonds[[#This Row],[𝛿P/𝛿r_real]]</f>
        <v>-106.71329082234691</v>
      </c>
      <c r="Y123" s="18">
        <f>tbl_Bonds[[#This Row],[Quantidade]]*tbl_Bonds[[#This Row],[𝛿P/𝛿r_pre]]</f>
        <v>-100.85629949472293</v>
      </c>
      <c r="Z123" s="18">
        <f>tbl_Bonds[[#This Row],[Quantidade]]*tbl_Bonds[[#This Row],[𝛿P/𝛿r_implicita]]</f>
        <v>106.63910126978662</v>
      </c>
      <c r="AA123" s="18">
        <f>tbl_Bonds[[#This Row],[Quantidade]]*tbl_Bonds[[#This Row],[𝛿P/𝛿du]]</f>
        <v>29.842538776585808</v>
      </c>
    </row>
    <row r="124" spans="1:27">
      <c r="A124" s="2" t="s">
        <v>85</v>
      </c>
      <c r="B124" s="3">
        <v>51363</v>
      </c>
      <c r="C124" s="3">
        <v>48075</v>
      </c>
      <c r="D124" s="4">
        <f>NETWORKDAYS(Dashboard!$C$10,bonds!C124,feriados)-1</f>
        <v>2231</v>
      </c>
      <c r="E124" s="2">
        <f>IF(tbl_Bonds[[#This Row],[Coupon]]&lt;tbl_Bonds[[#This Row],[Maturity]],SQRT(1.06)-1,SQRT(1.06))</f>
        <v>2.9563014098699991E-2</v>
      </c>
      <c r="F124" s="5" cm="1">
        <f t="array" ref="F124">Svensson(betas_pre,tbl_Bonds[[#This Row],[DU]])</f>
        <v>0.11893865889866469</v>
      </c>
      <c r="G124" s="49">
        <f>IF(curve_type="Simulada",_xlfn.XLOOKUP(tbl_Bonds[[#This Row],[Coupon]],Simulador!$B$5:$B$147,Simulador!$H$5:$H$147),0)</f>
        <v>0</v>
      </c>
      <c r="H124" s="5" cm="1">
        <f t="array" ref="H12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0.11893865889866469</v>
      </c>
      <c r="I124" s="5" cm="1">
        <f t="array" ref="I124">Interpola_FF(tbl_Bonds[[#This Row],[DU]],dus_svensson,svensson_implicita)</f>
        <v>5.8089895028151872E-2</v>
      </c>
      <c r="J124" s="49">
        <f>IF(curve_type="Simulada",_xlfn.XLOOKUP(tbl_Bonds[[#This Row],[Coupon]],Simulador!$B$5:$B$147,Simulador!$N$5:$N$147),0)</f>
        <v>0</v>
      </c>
      <c r="K124" s="5" cm="1">
        <f t="array" ref="K12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5.8089895028151872E-2</v>
      </c>
      <c r="L124" s="5" cm="1">
        <f t="array" ref="L124">Interpola_FF(tbl_Bonds[[#This Row],[DU]],dus_svensson,svensson_real_spot)</f>
        <v>5.7508281745383361E-2</v>
      </c>
      <c r="M124" s="49">
        <f>IF(curve_type="Simulada",_xlfn.XLOOKUP(tbl_Bonds[[#This Row],[Coupon]],Simulador!$B$5:$B$147,Simulador!$K$5:$K$147),0)</f>
        <v>0</v>
      </c>
      <c r="N124" s="5" cm="1">
        <f t="array" ref="N12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5.7508281745383361E-2</v>
      </c>
      <c r="O124" s="6">
        <f>IF(curve_type="Mercado",tbl_Bonds[[#This Row],[FC]]/(1+tbl_Bonds[[#This Row],[Real Mercado]])^(tbl_Bonds[[#This Row],[DU]]/252),tbl_Bonds[[#This Row],[FC]]/(1+tbl_Bonds[[#This Row],[Real Simulada]])^(tbl_Bonds[[#This Row],[DU]]/252))</f>
        <v>1.8020224244759638E-2</v>
      </c>
      <c r="P124" s="7">
        <f>tbl_Bonds[[#This Row],[Cotação]]*VNA</f>
        <v>71.275470444859977</v>
      </c>
      <c r="Q124" s="18">
        <f>tbl_Bonds[[#This Row],[Cotação]]%%*VNA</f>
        <v>7.1275470444859971E-3</v>
      </c>
      <c r="R12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-5.9669904781292853E-2</v>
      </c>
      <c r="S12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-5.6394067551843036E-2</v>
      </c>
      <c r="T12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5.963718452733266E-2</v>
      </c>
      <c r="U124" s="18">
        <f>IF(curve_type="Mercado",tbl_Bonds[[#This Row],[VP Cupom]]*LN(1+tbl_Bonds[[#This Row],[Real Mercado]])/252,tbl_Bonds[[#This Row],[VP Cupom]]*LN(1+tbl_Bonds[[#This Row],[Real Simulada]])/252)</f>
        <v>1.5815083155086521E-2</v>
      </c>
      <c r="V124" s="18">
        <f>SUMIF(Dashboard!$B$28:$B$42,tbl_Bonds[[#This Row],[Bond]],Dashboard!$C$28:$C$42)</f>
        <v>1839</v>
      </c>
      <c r="W124" s="18">
        <f>tbl_Bonds[[#This Row],[Quantidade]]*tbl_Bonds[[#This Row],[𝛿P/𝛿VNA]]</f>
        <v>13.107559014809748</v>
      </c>
      <c r="X124" s="18">
        <f>+tbl_Bonds[[#This Row],[Quantidade]]*tbl_Bonds[[#This Row],[𝛿P/𝛿r_real]]</f>
        <v>-109.73295489279755</v>
      </c>
      <c r="Y124" s="18">
        <f>tbl_Bonds[[#This Row],[Quantidade]]*tbl_Bonds[[#This Row],[𝛿P/𝛿r_pre]]</f>
        <v>-103.70869022783934</v>
      </c>
      <c r="Z124" s="18">
        <f>tbl_Bonds[[#This Row],[Quantidade]]*tbl_Bonds[[#This Row],[𝛿P/𝛿r_implicita]]</f>
        <v>109.67278234576476</v>
      </c>
      <c r="AA124" s="18">
        <f>tbl_Bonds[[#This Row],[Quantidade]]*tbl_Bonds[[#This Row],[𝛿P/𝛿du]]</f>
        <v>29.083937922204111</v>
      </c>
    </row>
    <row r="125" spans="1:27">
      <c r="A125" s="2" t="s">
        <v>85</v>
      </c>
      <c r="B125" s="3">
        <v>51363</v>
      </c>
      <c r="C125" s="3">
        <v>48260</v>
      </c>
      <c r="D125" s="4">
        <f>NETWORKDAYS(Dashboard!$C$10,bonds!C125,feriados)-1</f>
        <v>2358</v>
      </c>
      <c r="E125" s="2">
        <f>IF(tbl_Bonds[[#This Row],[Coupon]]&lt;tbl_Bonds[[#This Row],[Maturity]],SQRT(1.06)-1,SQRT(1.06))</f>
        <v>2.9563014098699991E-2</v>
      </c>
      <c r="F125" s="5" cm="1">
        <f t="array" ref="F125">Svensson(betas_pre,tbl_Bonds[[#This Row],[DU]])</f>
        <v>0.11912158088679581</v>
      </c>
      <c r="G125" s="49">
        <f>IF(curve_type="Simulada",_xlfn.XLOOKUP(tbl_Bonds[[#This Row],[Coupon]],Simulador!$B$5:$B$147,Simulador!$H$5:$H$147),0)</f>
        <v>0</v>
      </c>
      <c r="H125" s="5" cm="1">
        <f t="array" ref="H12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0.11912158088679581</v>
      </c>
      <c r="I125" s="5" cm="1">
        <f t="array" ref="I125">Interpola_FF(tbl_Bonds[[#This Row],[DU]],dus_svensson,svensson_implicita)</f>
        <v>5.8093588183373734E-2</v>
      </c>
      <c r="J125" s="49">
        <f>IF(curve_type="Simulada",_xlfn.XLOOKUP(tbl_Bonds[[#This Row],[Coupon]],Simulador!$B$5:$B$147,Simulador!$N$5:$N$147),0)</f>
        <v>0</v>
      </c>
      <c r="K125" s="5" cm="1">
        <f t="array" ref="K12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5.8093588183373734E-2</v>
      </c>
      <c r="L125" s="5" cm="1">
        <f t="array" ref="L125">Interpola_FF(tbl_Bonds[[#This Row],[DU]],dus_svensson,svensson_real_spot)</f>
        <v>5.7677395986454938E-2</v>
      </c>
      <c r="M125" s="49">
        <f>IF(curve_type="Simulada",_xlfn.XLOOKUP(tbl_Bonds[[#This Row],[Coupon]],Simulador!$B$5:$B$147,Simulador!$K$5:$K$147),0)</f>
        <v>0</v>
      </c>
      <c r="N125" s="5" cm="1">
        <f t="array" ref="N12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5.7677395986454938E-2</v>
      </c>
      <c r="O125" s="6">
        <f>IF(curve_type="Mercado",tbl_Bonds[[#This Row],[FC]]/(1+tbl_Bonds[[#This Row],[Real Mercado]])^(tbl_Bonds[[#This Row],[DU]]/252),tbl_Bonds[[#This Row],[FC]]/(1+tbl_Bonds[[#This Row],[Real Simulada]])^(tbl_Bonds[[#This Row],[DU]]/252))</f>
        <v>1.7493315301939292E-2</v>
      </c>
      <c r="P125" s="7">
        <f>tbl_Bonds[[#This Row],[Cotação]]*VNA</f>
        <v>69.191385237538242</v>
      </c>
      <c r="Q125" s="18">
        <f>tbl_Bonds[[#This Row],[Cotação]]%%*VNA</f>
        <v>6.9191385237538242E-3</v>
      </c>
      <c r="R12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-6.1212774198262425E-2</v>
      </c>
      <c r="S12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-5.7851995291766566E-2</v>
      </c>
      <c r="T12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6.1188742802547713E-2</v>
      </c>
      <c r="U125" s="18">
        <f>IF(curve_type="Mercado",tbl_Bonds[[#This Row],[VP Cupom]]*LN(1+tbl_Bonds[[#This Row],[Real Mercado]])/252,tbl_Bonds[[#This Row],[VP Cupom]]*LN(1+tbl_Bonds[[#This Row],[Real Simulada]])/252)</f>
        <v>1.5396557159779287E-2</v>
      </c>
      <c r="V125" s="18">
        <f>SUMIF(Dashboard!$B$28:$B$42,tbl_Bonds[[#This Row],[Bond]],Dashboard!$C$28:$C$42)</f>
        <v>1839</v>
      </c>
      <c r="W125" s="18">
        <f>tbl_Bonds[[#This Row],[Quantidade]]*tbl_Bonds[[#This Row],[𝛿P/𝛿VNA]]</f>
        <v>12.724295745183282</v>
      </c>
      <c r="X125" s="18">
        <f>+tbl_Bonds[[#This Row],[Quantidade]]*tbl_Bonds[[#This Row],[𝛿P/𝛿r_real]]</f>
        <v>-112.5702917506046</v>
      </c>
      <c r="Y125" s="18">
        <f>tbl_Bonds[[#This Row],[Quantidade]]*tbl_Bonds[[#This Row],[𝛿P/𝛿r_pre]]</f>
        <v>-106.38981934155872</v>
      </c>
      <c r="Z125" s="18">
        <f>tbl_Bonds[[#This Row],[Quantidade]]*tbl_Bonds[[#This Row],[𝛿P/𝛿r_implicita]]</f>
        <v>112.52609801388525</v>
      </c>
      <c r="AA125" s="18">
        <f>tbl_Bonds[[#This Row],[Quantidade]]*tbl_Bonds[[#This Row],[𝛿P/𝛿du]]</f>
        <v>28.314268616834109</v>
      </c>
    </row>
    <row r="126" spans="1:27">
      <c r="A126" s="2" t="s">
        <v>85</v>
      </c>
      <c r="B126" s="3">
        <v>51363</v>
      </c>
      <c r="C126" s="3">
        <v>48442</v>
      </c>
      <c r="D126" s="4">
        <f>NETWORKDAYS(Dashboard!$C$10,bonds!C126,feriados)-1</f>
        <v>2485</v>
      </c>
      <c r="E126" s="2">
        <f>IF(tbl_Bonds[[#This Row],[Coupon]]&lt;tbl_Bonds[[#This Row],[Maturity]],SQRT(1.06)-1,SQRT(1.06))</f>
        <v>2.9563014098699991E-2</v>
      </c>
      <c r="F126" s="5" cm="1">
        <f t="array" ref="F126">Svensson(betas_pre,tbl_Bonds[[#This Row],[DU]])</f>
        <v>0.11928663253884547</v>
      </c>
      <c r="G126" s="49">
        <f>IF(curve_type="Simulada",_xlfn.XLOOKUP(tbl_Bonds[[#This Row],[Coupon]],Simulador!$B$5:$B$147,Simulador!$H$5:$H$147),0)</f>
        <v>0</v>
      </c>
      <c r="H126" s="5" cm="1">
        <f t="array" ref="H12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0.11928663253884547</v>
      </c>
      <c r="I126" s="5" cm="1">
        <f t="array" ref="I126">Interpola_FF(tbl_Bonds[[#This Row],[DU]],dus_svensson,svensson_implicita)</f>
        <v>5.8091578017454903E-2</v>
      </c>
      <c r="J126" s="49">
        <f>IF(curve_type="Simulada",_xlfn.XLOOKUP(tbl_Bonds[[#This Row],[Coupon]],Simulador!$B$5:$B$147,Simulador!$N$5:$N$147),0)</f>
        <v>0</v>
      </c>
      <c r="K126" s="5" cm="1">
        <f t="array" ref="K12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5.8091578017454903E-2</v>
      </c>
      <c r="L126" s="5" cm="1">
        <f t="array" ref="L126">Interpola_FF(tbl_Bonds[[#This Row],[DU]],dus_svensson,svensson_real_spot)</f>
        <v>5.7835355150152479E-2</v>
      </c>
      <c r="M126" s="49">
        <f>IF(curve_type="Simulada",_xlfn.XLOOKUP(tbl_Bonds[[#This Row],[Coupon]],Simulador!$B$5:$B$147,Simulador!$K$5:$K$147),0)</f>
        <v>0</v>
      </c>
      <c r="N126" s="5" cm="1">
        <f t="array" ref="N12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5.7835355150152479E-2</v>
      </c>
      <c r="O126" s="6">
        <f>IF(curve_type="Mercado",tbl_Bonds[[#This Row],[FC]]/(1+tbl_Bonds[[#This Row],[Real Mercado]])^(tbl_Bonds[[#This Row],[DU]]/252),tbl_Bonds[[#This Row],[FC]]/(1+tbl_Bonds[[#This Row],[Real Simulada]])^(tbl_Bonds[[#This Row],[DU]]/252))</f>
        <v>1.6980846272611861E-2</v>
      </c>
      <c r="P126" s="7">
        <f>tbl_Bonds[[#This Row],[Cotação]]*VNA</f>
        <v>67.164414282148755</v>
      </c>
      <c r="Q126" s="18">
        <f>tbl_Bonds[[#This Row],[Cotação]]%%*VNA</f>
        <v>6.7164414282148751E-3</v>
      </c>
      <c r="R12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-6.261047607498009E-2</v>
      </c>
      <c r="S12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-5.9173049233493286E-2</v>
      </c>
      <c r="T12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6.2595340885058456E-2</v>
      </c>
      <c r="U126" s="18">
        <f>IF(curve_type="Mercado",tbl_Bonds[[#This Row],[VP Cupom]]*LN(1+tbl_Bonds[[#This Row],[Real Mercado]])/252,tbl_Bonds[[#This Row],[VP Cupom]]*LN(1+tbl_Bonds[[#This Row],[Real Simulada]])/252)</f>
        <v>1.4985314298570071E-2</v>
      </c>
      <c r="V126" s="18">
        <f>SUMIF(Dashboard!$B$28:$B$42,tbl_Bonds[[#This Row],[Bond]],Dashboard!$C$28:$C$42)</f>
        <v>1839</v>
      </c>
      <c r="W126" s="18">
        <f>tbl_Bonds[[#This Row],[Quantidade]]*tbl_Bonds[[#This Row],[𝛿P/𝛿VNA]]</f>
        <v>12.351535786487155</v>
      </c>
      <c r="X126" s="18">
        <f>+tbl_Bonds[[#This Row],[Quantidade]]*tbl_Bonds[[#This Row],[𝛿P/𝛿r_real]]</f>
        <v>-115.14066550188838</v>
      </c>
      <c r="Y126" s="18">
        <f>tbl_Bonds[[#This Row],[Quantidade]]*tbl_Bonds[[#This Row],[𝛿P/𝛿r_pre]]</f>
        <v>-108.81923754039416</v>
      </c>
      <c r="Z126" s="18">
        <f>tbl_Bonds[[#This Row],[Quantidade]]*tbl_Bonds[[#This Row],[𝛿P/𝛿r_implicita]]</f>
        <v>115.11283188762251</v>
      </c>
      <c r="AA126" s="18">
        <f>tbl_Bonds[[#This Row],[Quantidade]]*tbl_Bonds[[#This Row],[𝛿P/𝛿du]]</f>
        <v>27.557992995070361</v>
      </c>
    </row>
    <row r="127" spans="1:27">
      <c r="A127" s="2" t="s">
        <v>85</v>
      </c>
      <c r="B127" s="3">
        <v>51363</v>
      </c>
      <c r="C127" s="3">
        <v>48625</v>
      </c>
      <c r="D127" s="4">
        <f>NETWORKDAYS(Dashboard!$C$10,bonds!C127,feriados)-1</f>
        <v>2612</v>
      </c>
      <c r="E127" s="2">
        <f>IF(tbl_Bonds[[#This Row],[Coupon]]&lt;tbl_Bonds[[#This Row],[Maturity]],SQRT(1.06)-1,SQRT(1.06))</f>
        <v>2.9563014098699991E-2</v>
      </c>
      <c r="F127" s="5" cm="1">
        <f t="array" ref="F127">Svensson(betas_pre,tbl_Bonds[[#This Row],[DU]])</f>
        <v>0.11943608482042488</v>
      </c>
      <c r="G127" s="49">
        <f>IF(curve_type="Simulada",_xlfn.XLOOKUP(tbl_Bonds[[#This Row],[Coupon]],Simulador!$B$5:$B$147,Simulador!$H$5:$H$147),0)</f>
        <v>0</v>
      </c>
      <c r="H127" s="5" cm="1">
        <f t="array" ref="H12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0.11943608482042488</v>
      </c>
      <c r="I127" s="5" cm="1">
        <f t="array" ref="I127">Interpola_FF(tbl_Bonds[[#This Row],[DU]],dus_svensson,svensson_implicita)</f>
        <v>5.8088111866002823E-2</v>
      </c>
      <c r="J127" s="49">
        <f>IF(curve_type="Simulada",_xlfn.XLOOKUP(tbl_Bonds[[#This Row],[Coupon]],Simulador!$B$5:$B$147,Simulador!$N$5:$N$147),0)</f>
        <v>0</v>
      </c>
      <c r="K127" s="5" cm="1">
        <f t="array" ref="K12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5.8088111866002823E-2</v>
      </c>
      <c r="L127" s="5" cm="1">
        <f t="array" ref="L127">Interpola_FF(tbl_Bonds[[#This Row],[DU]],dus_svensson,svensson_real_spot)</f>
        <v>5.7980046197837254E-2</v>
      </c>
      <c r="M127" s="49">
        <f>IF(curve_type="Simulada",_xlfn.XLOOKUP(tbl_Bonds[[#This Row],[Coupon]],Simulador!$B$5:$B$147,Simulador!$K$5:$K$147),0)</f>
        <v>0</v>
      </c>
      <c r="N127" s="5" cm="1">
        <f t="array" ref="N12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5.7980046197837254E-2</v>
      </c>
      <c r="O127" s="6">
        <f>IF(curve_type="Mercado",tbl_Bonds[[#This Row],[FC]]/(1+tbl_Bonds[[#This Row],[Real Mercado]])^(tbl_Bonds[[#This Row],[DU]]/252),tbl_Bonds[[#This Row],[FC]]/(1+tbl_Bonds[[#This Row],[Real Simulada]])^(tbl_Bonds[[#This Row],[DU]]/252))</f>
        <v>1.6483055471411198E-2</v>
      </c>
      <c r="P127" s="7">
        <f>tbl_Bonds[[#This Row],[Cotação]]*VNA</f>
        <v>65.195500185587562</v>
      </c>
      <c r="Q127" s="18">
        <f>tbl_Bonds[[#This Row],[Cotação]]%%*VNA</f>
        <v>6.5195500185587559E-3</v>
      </c>
      <c r="R12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-6.3872332573586016E-2</v>
      </c>
      <c r="S12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-6.0365812491267185E-2</v>
      </c>
      <c r="T12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6.3865823681786033E-2</v>
      </c>
      <c r="U127" s="18">
        <f>IF(curve_type="Mercado",tbl_Bonds[[#This Row],[VP Cupom]]*LN(1+tbl_Bonds[[#This Row],[Real Mercado]])/252,tbl_Bonds[[#This Row],[VP Cupom]]*LN(1+tbl_Bonds[[#This Row],[Real Simulada]])/252)</f>
        <v>1.4581406528036217E-2</v>
      </c>
      <c r="V127" s="18">
        <f>SUMIF(Dashboard!$B$28:$B$42,tbl_Bonds[[#This Row],[Bond]],Dashboard!$C$28:$C$42)</f>
        <v>1839</v>
      </c>
      <c r="W127" s="18">
        <f>tbl_Bonds[[#This Row],[Quantidade]]*tbl_Bonds[[#This Row],[𝛿P/𝛿VNA]]</f>
        <v>11.989452484129552</v>
      </c>
      <c r="X127" s="18">
        <f>+tbl_Bonds[[#This Row],[Quantidade]]*tbl_Bonds[[#This Row],[𝛿P/𝛿r_real]]</f>
        <v>-117.46121960282468</v>
      </c>
      <c r="Y127" s="18">
        <f>tbl_Bonds[[#This Row],[Quantidade]]*tbl_Bonds[[#This Row],[𝛿P/𝛿r_pre]]</f>
        <v>-111.01272917144036</v>
      </c>
      <c r="Z127" s="18">
        <f>tbl_Bonds[[#This Row],[Quantidade]]*tbl_Bonds[[#This Row],[𝛿P/𝛿r_implicita]]</f>
        <v>117.44924975080451</v>
      </c>
      <c r="AA127" s="18">
        <f>tbl_Bonds[[#This Row],[Quantidade]]*tbl_Bonds[[#This Row],[𝛿P/𝛿du]]</f>
        <v>26.815206605058602</v>
      </c>
    </row>
    <row r="128" spans="1:27">
      <c r="A128" s="2" t="s">
        <v>85</v>
      </c>
      <c r="B128" s="3">
        <v>51363</v>
      </c>
      <c r="C128" s="3">
        <v>48806</v>
      </c>
      <c r="D128" s="4">
        <f>NETWORKDAYS(Dashboard!$C$10,bonds!C128,feriados)-1</f>
        <v>2736</v>
      </c>
      <c r="E128" s="2">
        <f>IF(tbl_Bonds[[#This Row],[Coupon]]&lt;tbl_Bonds[[#This Row],[Maturity]],SQRT(1.06)-1,SQRT(1.06))</f>
        <v>2.9563014098699991E-2</v>
      </c>
      <c r="F128" s="5" cm="1">
        <f t="array" ref="F128">Svensson(betas_pre,tbl_Bonds[[#This Row],[DU]])</f>
        <v>0.11956885530821211</v>
      </c>
      <c r="G128" s="49">
        <f>IF(curve_type="Simulada",_xlfn.XLOOKUP(tbl_Bonds[[#This Row],[Coupon]],Simulador!$B$5:$B$147,Simulador!$H$5:$H$147),0)</f>
        <v>0</v>
      </c>
      <c r="H128" s="5" cm="1">
        <f t="array" ref="H12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0.11956885530821211</v>
      </c>
      <c r="I128" s="5" cm="1">
        <f t="array" ref="I128">Interpola_FF(tbl_Bonds[[#This Row],[DU]],dus_svensson,svensson_implicita)</f>
        <v>5.8086017122378264E-2</v>
      </c>
      <c r="J128" s="49">
        <f>IF(curve_type="Simulada",_xlfn.XLOOKUP(tbl_Bonds[[#This Row],[Coupon]],Simulador!$B$5:$B$147,Simulador!$N$5:$N$147),0)</f>
        <v>0</v>
      </c>
      <c r="K128" s="5" cm="1">
        <f t="array" ref="K12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5.8086017122378264E-2</v>
      </c>
      <c r="L128" s="5" cm="1">
        <f t="array" ref="L128">Interpola_FF(tbl_Bonds[[#This Row],[DU]],dus_svensson,svensson_real_spot)</f>
        <v>5.810761154270061E-2</v>
      </c>
      <c r="M128" s="49">
        <f>IF(curve_type="Simulada",_xlfn.XLOOKUP(tbl_Bonds[[#This Row],[Coupon]],Simulador!$B$5:$B$147,Simulador!$K$5:$K$147),0)</f>
        <v>0</v>
      </c>
      <c r="N128" s="5" cm="1">
        <f t="array" ref="N12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5.810761154270061E-2</v>
      </c>
      <c r="O128" s="6">
        <f>IF(curve_type="Mercado",tbl_Bonds[[#This Row],[FC]]/(1+tbl_Bonds[[#This Row],[Real Mercado]])^(tbl_Bonds[[#This Row],[DU]]/252),tbl_Bonds[[#This Row],[FC]]/(1+tbl_Bonds[[#This Row],[Real Simulada]])^(tbl_Bonds[[#This Row],[DU]]/252))</f>
        <v>1.601123196542386E-2</v>
      </c>
      <c r="P128" s="7">
        <f>tbl_Bonds[[#This Row],[Cotação]]*VNA</f>
        <v>63.329294643446744</v>
      </c>
      <c r="Q128" s="18">
        <f>tbl_Bonds[[#This Row],[Cotação]]%%*VNA</f>
        <v>6.3329294643446731E-3</v>
      </c>
      <c r="R12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-6.4981594639842141E-2</v>
      </c>
      <c r="S12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-6.1414292020879738E-2</v>
      </c>
      <c r="T12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6.4982929085838317E-2</v>
      </c>
      <c r="U128" s="18">
        <f>IF(curve_type="Mercado",tbl_Bonds[[#This Row],[VP Cupom]]*LN(1+tbl_Bonds[[#This Row],[Real Mercado]])/252,tbl_Bonds[[#This Row],[VP Cupom]]*LN(1+tbl_Bonds[[#This Row],[Real Simulada]])/252)</f>
        <v>1.4194316605929191E-2</v>
      </c>
      <c r="V128" s="18">
        <f>SUMIF(Dashboard!$B$28:$B$42,tbl_Bonds[[#This Row],[Bond]],Dashboard!$C$28:$C$42)</f>
        <v>1839</v>
      </c>
      <c r="W128" s="18">
        <f>tbl_Bonds[[#This Row],[Quantidade]]*tbl_Bonds[[#This Row],[𝛿P/𝛿VNA]]</f>
        <v>11.646257284929854</v>
      </c>
      <c r="X128" s="18">
        <f>+tbl_Bonds[[#This Row],[Quantidade]]*tbl_Bonds[[#This Row],[𝛿P/𝛿r_real]]</f>
        <v>-119.5011525426697</v>
      </c>
      <c r="Y128" s="18">
        <f>tbl_Bonds[[#This Row],[Quantidade]]*tbl_Bonds[[#This Row],[𝛿P/𝛿r_pre]]</f>
        <v>-112.94088302639784</v>
      </c>
      <c r="Z128" s="18">
        <f>tbl_Bonds[[#This Row],[Quantidade]]*tbl_Bonds[[#This Row],[𝛿P/𝛿r_implicita]]</f>
        <v>119.50360658885667</v>
      </c>
      <c r="AA128" s="18">
        <f>tbl_Bonds[[#This Row],[Quantidade]]*tbl_Bonds[[#This Row],[𝛿P/𝛿du]]</f>
        <v>26.103348238303781</v>
      </c>
    </row>
    <row r="129" spans="1:27">
      <c r="A129" s="2" t="s">
        <v>85</v>
      </c>
      <c r="B129" s="3">
        <v>51363</v>
      </c>
      <c r="C129" s="3">
        <v>48990</v>
      </c>
      <c r="D129" s="4">
        <f>NETWORKDAYS(Dashboard!$C$10,bonds!C129,feriados)-1</f>
        <v>2864</v>
      </c>
      <c r="E129" s="2">
        <f>IF(tbl_Bonds[[#This Row],[Coupon]]&lt;tbl_Bonds[[#This Row],[Maturity]],SQRT(1.06)-1,SQRT(1.06))</f>
        <v>2.9563014098699991E-2</v>
      </c>
      <c r="F129" s="5" cm="1">
        <f t="array" ref="F129">Svensson(betas_pre,tbl_Bonds[[#This Row],[DU]])</f>
        <v>0.11969397895680058</v>
      </c>
      <c r="G129" s="49">
        <f>IF(curve_type="Simulada",_xlfn.XLOOKUP(tbl_Bonds[[#This Row],[Coupon]],Simulador!$B$5:$B$147,Simulador!$H$5:$H$147),0)</f>
        <v>0</v>
      </c>
      <c r="H129" s="5" cm="1">
        <f t="array" ref="H12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0.11969397895680058</v>
      </c>
      <c r="I129" s="5" cm="1">
        <f t="array" ref="I129">Interpola_FF(tbl_Bonds[[#This Row],[DU]],dus_svensson,svensson_implicita)</f>
        <v>5.8086868517013501E-2</v>
      </c>
      <c r="J129" s="49">
        <f>IF(curve_type="Simulada",_xlfn.XLOOKUP(tbl_Bonds[[#This Row],[Coupon]],Simulador!$B$5:$B$147,Simulador!$N$5:$N$147),0)</f>
        <v>0</v>
      </c>
      <c r="K129" s="5" cm="1">
        <f t="array" ref="K12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5.8086868517013501E-2</v>
      </c>
      <c r="L129" s="5" cm="1">
        <f t="array" ref="L129">Interpola_FF(tbl_Bonds[[#This Row],[DU]],dus_svensson,svensson_real_spot)</f>
        <v>5.8225008086649765E-2</v>
      </c>
      <c r="M129" s="49">
        <f>IF(curve_type="Simulada",_xlfn.XLOOKUP(tbl_Bonds[[#This Row],[Coupon]],Simulador!$B$5:$B$147,Simulador!$K$5:$K$147),0)</f>
        <v>0</v>
      </c>
      <c r="N129" s="5" cm="1">
        <f t="array" ref="N12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5.8225008086649765E-2</v>
      </c>
      <c r="O129" s="6">
        <f>IF(curve_type="Mercado",tbl_Bonds[[#This Row],[FC]]/(1+tbl_Bonds[[#This Row],[Real Mercado]])^(tbl_Bonds[[#This Row],[DU]]/252),tbl_Bonds[[#This Row],[FC]]/(1+tbl_Bonds[[#This Row],[Real Simulada]])^(tbl_Bonds[[#This Row],[DU]]/252))</f>
        <v>1.553880281585803E-2</v>
      </c>
      <c r="P129" s="7">
        <f>tbl_Bonds[[#This Row],[Cotação]]*VNA</f>
        <v>61.46069359665556</v>
      </c>
      <c r="Q129" s="18">
        <f>tbl_Bonds[[#This Row],[Cotação]]%%*VNA</f>
        <v>6.1460693596655557E-3</v>
      </c>
      <c r="R12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-6.6007291003429058E-2</v>
      </c>
      <c r="S12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-6.2383625926477386E-2</v>
      </c>
      <c r="T12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6.6015912694645573E-2</v>
      </c>
      <c r="U129" s="18">
        <f>IF(curve_type="Mercado",tbl_Bonds[[#This Row],[VP Cupom]]*LN(1+tbl_Bonds[[#This Row],[Real Mercado]])/252,tbl_Bonds[[#This Row],[VP Cupom]]*LN(1+tbl_Bonds[[#This Row],[Real Simulada]])/252)</f>
        <v>1.3802555720676428E-2</v>
      </c>
      <c r="V129" s="18">
        <f>SUMIF(Dashboard!$B$28:$B$42,tbl_Bonds[[#This Row],[Bond]],Dashboard!$C$28:$C$42)</f>
        <v>1839</v>
      </c>
      <c r="W129" s="18">
        <f>tbl_Bonds[[#This Row],[Quantidade]]*tbl_Bonds[[#This Row],[𝛿P/𝛿VNA]]</f>
        <v>11.302621552424958</v>
      </c>
      <c r="X129" s="18">
        <f>+tbl_Bonds[[#This Row],[Quantidade]]*tbl_Bonds[[#This Row],[𝛿P/𝛿r_real]]</f>
        <v>-121.38740815530603</v>
      </c>
      <c r="Y129" s="18">
        <f>tbl_Bonds[[#This Row],[Quantidade]]*tbl_Bonds[[#This Row],[𝛿P/𝛿r_pre]]</f>
        <v>-114.72348807879192</v>
      </c>
      <c r="Z129" s="18">
        <f>tbl_Bonds[[#This Row],[Quantidade]]*tbl_Bonds[[#This Row],[𝛿P/𝛿r_implicita]]</f>
        <v>121.40326344545321</v>
      </c>
      <c r="AA129" s="18">
        <f>tbl_Bonds[[#This Row],[Quantidade]]*tbl_Bonds[[#This Row],[𝛿P/𝛿du]]</f>
        <v>25.382899970323951</v>
      </c>
    </row>
    <row r="130" spans="1:27">
      <c r="A130" s="2" t="s">
        <v>85</v>
      </c>
      <c r="B130" s="3">
        <v>51363</v>
      </c>
      <c r="C130" s="3">
        <v>49171</v>
      </c>
      <c r="D130" s="4">
        <f>NETWORKDAYS(Dashboard!$C$10,bonds!C130,feriados)-1</f>
        <v>2987</v>
      </c>
      <c r="E130" s="2">
        <f>IF(tbl_Bonds[[#This Row],[Coupon]]&lt;tbl_Bonds[[#This Row],[Maturity]],SQRT(1.06)-1,SQRT(1.06))</f>
        <v>2.9563014098699991E-2</v>
      </c>
      <c r="F130" s="5" cm="1">
        <f t="array" ref="F130">Svensson(betas_pre,tbl_Bonds[[#This Row],[DU]])</f>
        <v>0.11980417582365722</v>
      </c>
      <c r="G130" s="49">
        <f>IF(curve_type="Simulada",_xlfn.XLOOKUP(tbl_Bonds[[#This Row],[Coupon]],Simulador!$B$5:$B$147,Simulador!$H$5:$H$147),0)</f>
        <v>0</v>
      </c>
      <c r="H130" s="5" cm="1">
        <f t="array" ref="H13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0.11980417582365722</v>
      </c>
      <c r="I130" s="5" cm="1">
        <f t="array" ref="I130">Interpola_FF(tbl_Bonds[[#This Row],[DU]],dus_svensson,svensson_implicita)</f>
        <v>5.809152730404965E-2</v>
      </c>
      <c r="J130" s="49">
        <f>IF(curve_type="Simulada",_xlfn.XLOOKUP(tbl_Bonds[[#This Row],[Coupon]],Simulador!$B$5:$B$147,Simulador!$N$5:$N$147),0)</f>
        <v>0</v>
      </c>
      <c r="K130" s="5" cm="1">
        <f t="array" ref="K13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5.809152730404965E-2</v>
      </c>
      <c r="L130" s="5" cm="1">
        <f t="array" ref="L130">Interpola_FF(tbl_Bonds[[#This Row],[DU]],dus_svensson,svensson_real_spot)</f>
        <v>5.8324492388269089E-2</v>
      </c>
      <c r="M130" s="49">
        <f>IF(curve_type="Simulada",_xlfn.XLOOKUP(tbl_Bonds[[#This Row],[Coupon]],Simulador!$B$5:$B$147,Simulador!$K$5:$K$147),0)</f>
        <v>0</v>
      </c>
      <c r="N130" s="5" cm="1">
        <f t="array" ref="N13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5.8324492388269089E-2</v>
      </c>
      <c r="O130" s="6">
        <f>IF(curve_type="Mercado",tbl_Bonds[[#This Row],[FC]]/(1+tbl_Bonds[[#This Row],[Real Mercado]])^(tbl_Bonds[[#This Row],[DU]]/252),tbl_Bonds[[#This Row],[FC]]/(1+tbl_Bonds[[#This Row],[Real Simulada]])^(tbl_Bonds[[#This Row],[DU]]/252))</f>
        <v>1.5098618751390024E-2</v>
      </c>
      <c r="P130" s="7">
        <f>tbl_Bonds[[#This Row],[Cotação]]*VNA</f>
        <v>59.719631673610323</v>
      </c>
      <c r="Q130" s="18">
        <f>tbl_Bonds[[#This Row],[Cotação]]%%*VNA</f>
        <v>5.9719631673610333E-3</v>
      </c>
      <c r="R13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-6.6885650531168392E-2</v>
      </c>
      <c r="S13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-6.3213484737622394E-2</v>
      </c>
      <c r="T13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6.6900378985090894E-2</v>
      </c>
      <c r="U130" s="18">
        <f>IF(curve_type="Mercado",tbl_Bonds[[#This Row],[VP Cupom]]*LN(1+tbl_Bonds[[#This Row],[Real Mercado]])/252,tbl_Bonds[[#This Row],[VP Cupom]]*LN(1+tbl_Bonds[[#This Row],[Real Simulada]])/252)</f>
        <v>1.3433833980373346E-2</v>
      </c>
      <c r="V130" s="18">
        <f>SUMIF(Dashboard!$B$28:$B$42,tbl_Bonds[[#This Row],[Bond]],Dashboard!$C$28:$C$42)</f>
        <v>1839</v>
      </c>
      <c r="W130" s="18">
        <f>tbl_Bonds[[#This Row],[Quantidade]]*tbl_Bonds[[#This Row],[𝛿P/𝛿VNA]]</f>
        <v>10.98244026477694</v>
      </c>
      <c r="X130" s="18">
        <f>+tbl_Bonds[[#This Row],[Quantidade]]*tbl_Bonds[[#This Row],[𝛿P/𝛿r_real]]</f>
        <v>-123.00271132681867</v>
      </c>
      <c r="Y130" s="18">
        <f>tbl_Bonds[[#This Row],[Quantidade]]*tbl_Bonds[[#This Row],[𝛿P/𝛿r_pre]]</f>
        <v>-116.24959843248759</v>
      </c>
      <c r="Z130" s="18">
        <f>tbl_Bonds[[#This Row],[Quantidade]]*tbl_Bonds[[#This Row],[𝛿P/𝛿r_implicita]]</f>
        <v>123.02979695358215</v>
      </c>
      <c r="AA130" s="18">
        <f>tbl_Bonds[[#This Row],[Quantidade]]*tbl_Bonds[[#This Row],[𝛿P/𝛿du]]</f>
        <v>24.704820689906583</v>
      </c>
    </row>
    <row r="131" spans="1:27">
      <c r="A131" s="2" t="s">
        <v>85</v>
      </c>
      <c r="B131" s="3">
        <v>51363</v>
      </c>
      <c r="C131" s="3">
        <v>49355</v>
      </c>
      <c r="D131" s="4">
        <f>NETWORKDAYS(Dashboard!$C$10,bonds!C131,feriados)-1</f>
        <v>3111</v>
      </c>
      <c r="E131" s="2">
        <f>IF(tbl_Bonds[[#This Row],[Coupon]]&lt;tbl_Bonds[[#This Row],[Maturity]],SQRT(1.06)-1,SQRT(1.06))</f>
        <v>2.9563014098699991E-2</v>
      </c>
      <c r="F131" s="5" cm="1">
        <f t="array" ref="F131">Svensson(betas_pre,tbl_Bonds[[#This Row],[DU]])</f>
        <v>0.1199064799245569</v>
      </c>
      <c r="G131" s="49">
        <f>IF(curve_type="Simulada",_xlfn.XLOOKUP(tbl_Bonds[[#This Row],[Coupon]],Simulador!$B$5:$B$147,Simulador!$H$5:$H$147),0)</f>
        <v>0</v>
      </c>
      <c r="H131" s="5" cm="1">
        <f t="array" ref="H13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0.1199064799245569</v>
      </c>
      <c r="I131" s="5" cm="1">
        <f t="array" ref="I131">Interpola_FF(tbl_Bonds[[#This Row],[DU]],dus_svensson,svensson_implicita)</f>
        <v>5.810037436798976E-2</v>
      </c>
      <c r="J131" s="49">
        <f>IF(curve_type="Simulada",_xlfn.XLOOKUP(tbl_Bonds[[#This Row],[Coupon]],Simulador!$B$5:$B$147,Simulador!$N$5:$N$147),0)</f>
        <v>0</v>
      </c>
      <c r="K131" s="5" cm="1">
        <f t="array" ref="K13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5.810037436798976E-2</v>
      </c>
      <c r="L131" s="5" cm="1">
        <f t="array" ref="L131">Interpola_FF(tbl_Bonds[[#This Row],[DU]],dus_svensson,svensson_real_spot)</f>
        <v>5.8412328241514766E-2</v>
      </c>
      <c r="M131" s="49">
        <f>IF(curve_type="Simulada",_xlfn.XLOOKUP(tbl_Bonds[[#This Row],[Coupon]],Simulador!$B$5:$B$147,Simulador!$K$5:$K$147),0)</f>
        <v>0</v>
      </c>
      <c r="N131" s="5" cm="1">
        <f t="array" ref="N13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5.8412328241514766E-2</v>
      </c>
      <c r="O131" s="6">
        <f>IF(curve_type="Mercado",tbl_Bonds[[#This Row],[FC]]/(1+tbl_Bonds[[#This Row],[Real Mercado]])^(tbl_Bonds[[#This Row],[DU]]/252),tbl_Bonds[[#This Row],[FC]]/(1+tbl_Bonds[[#This Row],[Real Simulada]])^(tbl_Bonds[[#This Row],[DU]]/252))</f>
        <v>1.4668247374485249E-2</v>
      </c>
      <c r="P131" s="7">
        <f>tbl_Bonds[[#This Row],[Cotação]]*VNA</f>
        <v>58.017381915879902</v>
      </c>
      <c r="Q131" s="18">
        <f>tbl_Bonds[[#This Row],[Cotação]]%%*VNA</f>
        <v>5.8017381915879893E-3</v>
      </c>
      <c r="R13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-6.7671017646202508E-2</v>
      </c>
      <c r="S13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-6.395519739861795E-2</v>
      </c>
      <c r="T13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6.7690969332042619E-2</v>
      </c>
      <c r="U131" s="18">
        <f>IF(curve_type="Mercado",tbl_Bonds[[#This Row],[VP Cupom]]*LN(1+tbl_Bonds[[#This Row],[Real Mercado]])/252,tbl_Bonds[[#This Row],[VP Cupom]]*LN(1+tbl_Bonds[[#This Row],[Real Simulada]])/252)</f>
        <v>1.3070022668649454E-2</v>
      </c>
      <c r="V131" s="18">
        <f>SUMIF(Dashboard!$B$28:$B$42,tbl_Bonds[[#This Row],[Bond]],Dashboard!$C$28:$C$42)</f>
        <v>1839</v>
      </c>
      <c r="W131" s="18">
        <f>tbl_Bonds[[#This Row],[Quantidade]]*tbl_Bonds[[#This Row],[𝛿P/𝛿VNA]]</f>
        <v>10.669396534330312</v>
      </c>
      <c r="X131" s="18">
        <f>+tbl_Bonds[[#This Row],[Quantidade]]*tbl_Bonds[[#This Row],[𝛿P/𝛿r_real]]</f>
        <v>-124.44700145136642</v>
      </c>
      <c r="Y131" s="18">
        <f>tbl_Bonds[[#This Row],[Quantidade]]*tbl_Bonds[[#This Row],[𝛿P/𝛿r_pre]]</f>
        <v>-117.61360801605841</v>
      </c>
      <c r="Z131" s="18">
        <f>tbl_Bonds[[#This Row],[Quantidade]]*tbl_Bonds[[#This Row],[𝛿P/𝛿r_implicita]]</f>
        <v>124.48369260162637</v>
      </c>
      <c r="AA131" s="18">
        <f>tbl_Bonds[[#This Row],[Quantidade]]*tbl_Bonds[[#This Row],[𝛿P/𝛿du]]</f>
        <v>24.035771687646346</v>
      </c>
    </row>
    <row r="132" spans="1:27">
      <c r="A132" s="2" t="s">
        <v>85</v>
      </c>
      <c r="B132" s="3">
        <v>51363</v>
      </c>
      <c r="C132" s="3">
        <v>49536</v>
      </c>
      <c r="D132" s="4">
        <f>NETWORKDAYS(Dashboard!$C$10,bonds!C132,feriados)-1</f>
        <v>3237</v>
      </c>
      <c r="E132" s="2">
        <f>IF(tbl_Bonds[[#This Row],[Coupon]]&lt;tbl_Bonds[[#This Row],[Maturity]],SQRT(1.06)-1,SQRT(1.06))</f>
        <v>2.9563014098699991E-2</v>
      </c>
      <c r="F132" s="5" cm="1">
        <f t="array" ref="F132">Svensson(betas_pre,tbl_Bonds[[#This Row],[DU]])</f>
        <v>0.12000242022926019</v>
      </c>
      <c r="G132" s="49">
        <f>IF(curve_type="Simulada",_xlfn.XLOOKUP(tbl_Bonds[[#This Row],[Coupon]],Simulador!$B$5:$B$147,Simulador!$H$5:$H$147),0)</f>
        <v>0</v>
      </c>
      <c r="H132" s="5" cm="1">
        <f t="array" ref="H13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0.12000242022926019</v>
      </c>
      <c r="I132" s="5" cm="1">
        <f t="array" ref="I132">Interpola_FF(tbl_Bonds[[#This Row],[DU]],dus_svensson,svensson_implicita)</f>
        <v>5.8113662146890954E-2</v>
      </c>
      <c r="J132" s="49">
        <f>IF(curve_type="Simulada",_xlfn.XLOOKUP(tbl_Bonds[[#This Row],[Coupon]],Simulador!$B$5:$B$147,Simulador!$N$5:$N$147),0)</f>
        <v>0</v>
      </c>
      <c r="K132" s="5" cm="1">
        <f t="array" ref="K13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5.8113662146890954E-2</v>
      </c>
      <c r="L132" s="5" cm="1">
        <f t="array" ref="L132">Interpola_FF(tbl_Bonds[[#This Row],[DU]],dus_svensson,svensson_real_spot)</f>
        <v>5.8489706848831924E-2</v>
      </c>
      <c r="M132" s="49">
        <f>IF(curve_type="Simulada",_xlfn.XLOOKUP(tbl_Bonds[[#This Row],[Coupon]],Simulador!$B$5:$B$147,Simulador!$K$5:$K$147),0)</f>
        <v>0</v>
      </c>
      <c r="N132" s="5" cm="1">
        <f t="array" ref="N13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5.8489706848831924E-2</v>
      </c>
      <c r="O132" s="6">
        <f>IF(curve_type="Mercado",tbl_Bonds[[#This Row],[FC]]/(1+tbl_Bonds[[#This Row],[Real Mercado]])^(tbl_Bonds[[#This Row],[DU]]/252),tbl_Bonds[[#This Row],[FC]]/(1+tbl_Bonds[[#This Row],[Real Simulada]])^(tbl_Bonds[[#This Row],[DU]]/252))</f>
        <v>1.4244360391035597E-2</v>
      </c>
      <c r="P132" s="7">
        <f>tbl_Bonds[[#This Row],[Cotação]]*VNA</f>
        <v>56.340779907466356</v>
      </c>
      <c r="Q132" s="18">
        <f>tbl_Bonds[[#This Row],[Cotação]]%%*VNA</f>
        <v>5.6340779907466353E-3</v>
      </c>
      <c r="R13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-6.8372014172658216E-2</v>
      </c>
      <c r="S13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-6.4616889918703263E-2</v>
      </c>
      <c r="T13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6.8396312877952961E-2</v>
      </c>
      <c r="U132" s="18">
        <f>IF(curve_type="Mercado",tbl_Bonds[[#This Row],[VP Cupom]]*LN(1+tbl_Bonds[[#This Row],[Real Mercado]])/252,tbl_Bonds[[#This Row],[VP Cupom]]*LN(1+tbl_Bonds[[#This Row],[Real Simulada]])/252)</f>
        <v>1.2708666146208676E-2</v>
      </c>
      <c r="V132" s="18">
        <f>SUMIF(Dashboard!$B$28:$B$42,tbl_Bonds[[#This Row],[Bond]],Dashboard!$C$28:$C$42)</f>
        <v>1839</v>
      </c>
      <c r="W132" s="18">
        <f>tbl_Bonds[[#This Row],[Quantidade]]*tbl_Bonds[[#This Row],[𝛿P/𝛿VNA]]</f>
        <v>10.361069424983063</v>
      </c>
      <c r="X132" s="18">
        <f>+tbl_Bonds[[#This Row],[Quantidade]]*tbl_Bonds[[#This Row],[𝛿P/𝛿r_real]]</f>
        <v>-125.73613406351846</v>
      </c>
      <c r="Y132" s="18">
        <f>tbl_Bonds[[#This Row],[Quantidade]]*tbl_Bonds[[#This Row],[𝛿P/𝛿r_pre]]</f>
        <v>-118.8304605604953</v>
      </c>
      <c r="Z132" s="18">
        <f>tbl_Bonds[[#This Row],[Quantidade]]*tbl_Bonds[[#This Row],[𝛿P/𝛿r_implicita]]</f>
        <v>125.78081938255549</v>
      </c>
      <c r="AA132" s="18">
        <f>tbl_Bonds[[#This Row],[Quantidade]]*tbl_Bonds[[#This Row],[𝛿P/𝛿du]]</f>
        <v>23.371237042877755</v>
      </c>
    </row>
    <row r="133" spans="1:27">
      <c r="A133" s="2" t="s">
        <v>85</v>
      </c>
      <c r="B133" s="3">
        <v>51363</v>
      </c>
      <c r="C133" s="3">
        <v>49720</v>
      </c>
      <c r="D133" s="4">
        <f>NETWORKDAYS(Dashboard!$C$10,bonds!C133,feriados)-1</f>
        <v>3363</v>
      </c>
      <c r="E133" s="2">
        <f>IF(tbl_Bonds[[#This Row],[Coupon]]&lt;tbl_Bonds[[#This Row],[Maturity]],SQRT(1.06)-1,SQRT(1.06))</f>
        <v>2.9563014098699991E-2</v>
      </c>
      <c r="F133" s="5" cm="1">
        <f t="array" ref="F133">Svensson(betas_pre,tbl_Bonds[[#This Row],[DU]])</f>
        <v>0.1200911767032468</v>
      </c>
      <c r="G133" s="49">
        <f>IF(curve_type="Simulada",_xlfn.XLOOKUP(tbl_Bonds[[#This Row],[Coupon]],Simulador!$B$5:$B$147,Simulador!$H$5:$H$147),0)</f>
        <v>0</v>
      </c>
      <c r="H133" s="5" cm="1">
        <f t="array" ref="H13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0.1200911767032468</v>
      </c>
      <c r="I133" s="5" cm="1">
        <f t="array" ref="I133">Interpola_FF(tbl_Bonds[[#This Row],[DU]],dus_svensson,svensson_implicita)</f>
        <v>5.8131103872528289E-2</v>
      </c>
      <c r="J133" s="49">
        <f>IF(curve_type="Simulada",_xlfn.XLOOKUP(tbl_Bonds[[#This Row],[Coupon]],Simulador!$B$5:$B$147,Simulador!$N$5:$N$147),0)</f>
        <v>0</v>
      </c>
      <c r="K133" s="5" cm="1">
        <f t="array" ref="K13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5.8131103872528289E-2</v>
      </c>
      <c r="L133" s="5" cm="1">
        <f t="array" ref="L133">Interpola_FF(tbl_Bonds[[#This Row],[DU]],dus_svensson,svensson_real_spot)</f>
        <v>5.8556139186790812E-2</v>
      </c>
      <c r="M133" s="49">
        <f>IF(curve_type="Simulada",_xlfn.XLOOKUP(tbl_Bonds[[#This Row],[Coupon]],Simulador!$B$5:$B$147,Simulador!$K$5:$K$147),0)</f>
        <v>0</v>
      </c>
      <c r="N133" s="5" cm="1">
        <f t="array" ref="N13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5.8556139186790812E-2</v>
      </c>
      <c r="O133" s="6">
        <f>IF(curve_type="Mercado",tbl_Bonds[[#This Row],[FC]]/(1+tbl_Bonds[[#This Row],[Real Mercado]])^(tbl_Bonds[[#This Row],[DU]]/252),tbl_Bonds[[#This Row],[FC]]/(1+tbl_Bonds[[#This Row],[Real Simulada]])^(tbl_Bonds[[#This Row],[DU]]/252))</f>
        <v>1.3833621679340042E-2</v>
      </c>
      <c r="P133" s="7">
        <f>tbl_Bonds[[#This Row],[Cotação]]*VNA</f>
        <v>54.716183314861247</v>
      </c>
      <c r="Q133" s="18">
        <f>tbl_Bonds[[#This Row],[Cotação]]%%*VNA</f>
        <v>5.4716183314861251E-3</v>
      </c>
      <c r="R13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-6.8980800069845666E-2</v>
      </c>
      <c r="S13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-6.5191165118247976E-2</v>
      </c>
      <c r="T13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6.9008508095751708E-2</v>
      </c>
      <c r="U133" s="18">
        <f>IF(curve_type="Mercado",tbl_Bonds[[#This Row],[VP Cupom]]*LN(1+tbl_Bonds[[#This Row],[Real Mercado]])/252,tbl_Bonds[[#This Row],[VP Cupom]]*LN(1+tbl_Bonds[[#This Row],[Real Simulada]])/252)</f>
        <v>1.2355836276366758E-2</v>
      </c>
      <c r="V133" s="18">
        <f>SUMIF(Dashboard!$B$28:$B$42,tbl_Bonds[[#This Row],[Bond]],Dashboard!$C$28:$C$42)</f>
        <v>1839</v>
      </c>
      <c r="W133" s="18">
        <f>tbl_Bonds[[#This Row],[Quantidade]]*tbl_Bonds[[#This Row],[𝛿P/𝛿VNA]]</f>
        <v>10.062306111602984</v>
      </c>
      <c r="X133" s="18">
        <f>+tbl_Bonds[[#This Row],[Quantidade]]*tbl_Bonds[[#This Row],[𝛿P/𝛿r_real]]</f>
        <v>-126.85569132844618</v>
      </c>
      <c r="Y133" s="18">
        <f>tbl_Bonds[[#This Row],[Quantidade]]*tbl_Bonds[[#This Row],[𝛿P/𝛿r_pre]]</f>
        <v>-119.88655265245802</v>
      </c>
      <c r="Z133" s="18">
        <f>tbl_Bonds[[#This Row],[Quantidade]]*tbl_Bonds[[#This Row],[𝛿P/𝛿r_implicita]]</f>
        <v>126.9066463880874</v>
      </c>
      <c r="AA133" s="18">
        <f>tbl_Bonds[[#This Row],[Quantidade]]*tbl_Bonds[[#This Row],[𝛿P/𝛿du]]</f>
        <v>22.722382912238469</v>
      </c>
    </row>
    <row r="134" spans="1:27">
      <c r="A134" s="2" t="s">
        <v>85</v>
      </c>
      <c r="B134" s="3">
        <v>51363</v>
      </c>
      <c r="C134" s="3">
        <v>49902</v>
      </c>
      <c r="D134" s="4">
        <f>NETWORKDAYS(Dashboard!$C$10,bonds!C134,feriados)-1</f>
        <v>3487</v>
      </c>
      <c r="E134" s="2">
        <f>IF(tbl_Bonds[[#This Row],[Coupon]]&lt;tbl_Bonds[[#This Row],[Maturity]],SQRT(1.06)-1,SQRT(1.06))</f>
        <v>2.9563014098699991E-2</v>
      </c>
      <c r="F134" s="5" cm="1">
        <f t="array" ref="F134">Svensson(betas_pre,tbl_Bonds[[#This Row],[DU]])</f>
        <v>0.12017226232074725</v>
      </c>
      <c r="G134" s="49">
        <f>IF(curve_type="Simulada",_xlfn.XLOOKUP(tbl_Bonds[[#This Row],[Coupon]],Simulador!$B$5:$B$147,Simulador!$H$5:$H$147),0)</f>
        <v>0</v>
      </c>
      <c r="H134" s="5" cm="1">
        <f t="array" ref="H13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0.12017226232074725</v>
      </c>
      <c r="I134" s="5" cm="1">
        <f t="array" ref="I134">Interpola_FF(tbl_Bonds[[#This Row],[DU]],dus_svensson,svensson_implicita)</f>
        <v>5.8152005046111732E-2</v>
      </c>
      <c r="J134" s="49">
        <f>IF(curve_type="Simulada",_xlfn.XLOOKUP(tbl_Bonds[[#This Row],[Coupon]],Simulador!$B$5:$B$147,Simulador!$N$5:$N$147),0)</f>
        <v>0</v>
      </c>
      <c r="K134" s="5" cm="1">
        <f t="array" ref="K13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5.8152005046111732E-2</v>
      </c>
      <c r="L134" s="5" cm="1">
        <f t="array" ref="L134">Interpola_FF(tbl_Bonds[[#This Row],[DU]],dus_svensson,svensson_real_spot)</f>
        <v>5.8611859295576219E-2</v>
      </c>
      <c r="M134" s="49">
        <f>IF(curve_type="Simulada",_xlfn.XLOOKUP(tbl_Bonds[[#This Row],[Coupon]],Simulador!$B$5:$B$147,Simulador!$K$5:$K$147),0)</f>
        <v>0</v>
      </c>
      <c r="N134" s="5" cm="1">
        <f t="array" ref="N13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5.8611859295576219E-2</v>
      </c>
      <c r="O134" s="6">
        <f>IF(curve_type="Mercado",tbl_Bonds[[#This Row],[FC]]/(1+tbl_Bonds[[#This Row],[Real Mercado]])^(tbl_Bonds[[#This Row],[DU]]/252),tbl_Bonds[[#This Row],[FC]]/(1+tbl_Bonds[[#This Row],[Real Simulada]])^(tbl_Bonds[[#This Row],[DU]]/252))</f>
        <v>1.344184155914838E-2</v>
      </c>
      <c r="P134" s="7">
        <f>tbl_Bonds[[#This Row],[Cotação]]*VNA</f>
        <v>53.166573720756169</v>
      </c>
      <c r="Q134" s="18">
        <f>tbl_Bonds[[#This Row],[Cotação]]%%*VNA</f>
        <v>5.3166573720756175E-3</v>
      </c>
      <c r="R13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-6.9494962528300522E-2</v>
      </c>
      <c r="S13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-6.5675783273343835E-2</v>
      </c>
      <c r="T13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6.9525163093919332E-2</v>
      </c>
      <c r="U134" s="18">
        <f>IF(curve_type="Mercado",tbl_Bonds[[#This Row],[VP Cupom]]*LN(1+tbl_Bonds[[#This Row],[Real Mercado]])/252,tbl_Bonds[[#This Row],[VP Cupom]]*LN(1+tbl_Bonds[[#This Row],[Real Simulada]])/252)</f>
        <v>1.2017013474349551E-2</v>
      </c>
      <c r="V134" s="18">
        <f>SUMIF(Dashboard!$B$28:$B$42,tbl_Bonds[[#This Row],[Bond]],Dashboard!$C$28:$C$42)</f>
        <v>1839</v>
      </c>
      <c r="W134" s="18">
        <f>tbl_Bonds[[#This Row],[Quantidade]]*tbl_Bonds[[#This Row],[𝛿P/𝛿VNA]]</f>
        <v>9.7773329072470609</v>
      </c>
      <c r="X134" s="18">
        <f>+tbl_Bonds[[#This Row],[Quantidade]]*tbl_Bonds[[#This Row],[𝛿P/𝛿r_real]]</f>
        <v>-127.80123608954466</v>
      </c>
      <c r="Y134" s="18">
        <f>tbl_Bonds[[#This Row],[Quantidade]]*tbl_Bonds[[#This Row],[𝛿P/𝛿r_pre]]</f>
        <v>-120.77776543967931</v>
      </c>
      <c r="Z134" s="18">
        <f>tbl_Bonds[[#This Row],[Quantidade]]*tbl_Bonds[[#This Row],[𝛿P/𝛿r_implicita]]</f>
        <v>127.85677492971764</v>
      </c>
      <c r="AA134" s="18">
        <f>tbl_Bonds[[#This Row],[Quantidade]]*tbl_Bonds[[#This Row],[𝛿P/𝛿du]]</f>
        <v>22.099287779328826</v>
      </c>
    </row>
    <row r="135" spans="1:27">
      <c r="A135" s="2" t="s">
        <v>85</v>
      </c>
      <c r="B135" s="3">
        <v>51363</v>
      </c>
      <c r="C135" s="3">
        <v>50089</v>
      </c>
      <c r="D135" s="4">
        <f>NETWORKDAYS(Dashboard!$C$10,bonds!C135,feriados)-1</f>
        <v>3616</v>
      </c>
      <c r="E135" s="2">
        <f>IF(tbl_Bonds[[#This Row],[Coupon]]&lt;tbl_Bonds[[#This Row],[Maturity]],SQRT(1.06)-1,SQRT(1.06))</f>
        <v>2.9563014098699991E-2</v>
      </c>
      <c r="F135" s="5" cm="1">
        <f t="array" ref="F135">Svensson(betas_pre,tbl_Bonds[[#This Row],[DU]])</f>
        <v>0.1202507133679222</v>
      </c>
      <c r="G135" s="49">
        <f>IF(curve_type="Simulada",_xlfn.XLOOKUP(tbl_Bonds[[#This Row],[Coupon]],Simulador!$B$5:$B$147,Simulador!$H$5:$H$147),0)</f>
        <v>0</v>
      </c>
      <c r="H135" s="5" cm="1">
        <f t="array" ref="H13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0.1202507133679222</v>
      </c>
      <c r="I135" s="5" cm="1">
        <f t="array" ref="I135">Interpola_FF(tbl_Bonds[[#This Row],[DU]],dus_svensson,svensson_implicita)</f>
        <v>5.8177190059257589E-2</v>
      </c>
      <c r="J135" s="49">
        <f>IF(curve_type="Simulada",_xlfn.XLOOKUP(tbl_Bonds[[#This Row],[Coupon]],Simulador!$B$5:$B$147,Simulador!$N$5:$N$147),0)</f>
        <v>0</v>
      </c>
      <c r="K135" s="5" cm="1">
        <f t="array" ref="K13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5.8177190059257589E-2</v>
      </c>
      <c r="L135" s="5" cm="1">
        <f t="array" ref="L135">Interpola_FF(tbl_Bonds[[#This Row],[DU]],dus_svensson,svensson_real_spot)</f>
        <v>5.8660801841484034E-2</v>
      </c>
      <c r="M135" s="49">
        <f>IF(curve_type="Simulada",_xlfn.XLOOKUP(tbl_Bonds[[#This Row],[Coupon]],Simulador!$B$5:$B$147,Simulador!$K$5:$K$147),0)</f>
        <v>0</v>
      </c>
      <c r="N135" s="5" cm="1">
        <f t="array" ref="N13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5.8660801841484034E-2</v>
      </c>
      <c r="O135" s="6">
        <f>IF(curve_type="Mercado",tbl_Bonds[[#This Row],[FC]]/(1+tbl_Bonds[[#This Row],[Real Mercado]])^(tbl_Bonds[[#This Row],[DU]]/252),tbl_Bonds[[#This Row],[FC]]/(1+tbl_Bonds[[#This Row],[Real Simulada]])^(tbl_Bonds[[#This Row],[DU]]/252))</f>
        <v>1.3046914116702193E-2</v>
      </c>
      <c r="P135" s="7">
        <f>tbl_Bonds[[#This Row],[Cotação]]*VNA</f>
        <v>51.604515509403825</v>
      </c>
      <c r="Q135" s="18">
        <f>tbl_Bonds[[#This Row],[Cotação]]%%*VNA</f>
        <v>5.1604515509403818E-3</v>
      </c>
      <c r="R13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-6.9945334738683321E-2</v>
      </c>
      <c r="S13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-6.6099831466518988E-2</v>
      </c>
      <c r="T13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6.9977300634991621E-2</v>
      </c>
      <c r="U135" s="18">
        <f>IF(curve_type="Mercado",tbl_Bonds[[#This Row],[VP Cupom]]*LN(1+tbl_Bonds[[#This Row],[Real Mercado]])/252,tbl_Bonds[[#This Row],[VP Cupom]]*LN(1+tbl_Bonds[[#This Row],[Real Simulada]])/252)</f>
        <v>1.1673415448772621E-2</v>
      </c>
      <c r="V135" s="18">
        <f>SUMIF(Dashboard!$B$28:$B$42,tbl_Bonds[[#This Row],[Bond]],Dashboard!$C$28:$C$42)</f>
        <v>1839</v>
      </c>
      <c r="W135" s="18">
        <f>tbl_Bonds[[#This Row],[Quantidade]]*tbl_Bonds[[#This Row],[𝛿P/𝛿VNA]]</f>
        <v>9.4900704021793629</v>
      </c>
      <c r="X135" s="18">
        <f>+tbl_Bonds[[#This Row],[Quantidade]]*tbl_Bonds[[#This Row],[𝛿P/𝛿r_real]]</f>
        <v>-128.62947058443862</v>
      </c>
      <c r="Y135" s="18">
        <f>tbl_Bonds[[#This Row],[Quantidade]]*tbl_Bonds[[#This Row],[𝛿P/𝛿r_pre]]</f>
        <v>-121.55759006692841</v>
      </c>
      <c r="Z135" s="18">
        <f>tbl_Bonds[[#This Row],[Quantidade]]*tbl_Bonds[[#This Row],[𝛿P/𝛿r_implicita]]</f>
        <v>128.6882558677496</v>
      </c>
      <c r="AA135" s="18">
        <f>tbl_Bonds[[#This Row],[Quantidade]]*tbl_Bonds[[#This Row],[𝛿P/𝛿du]]</f>
        <v>21.467411010292849</v>
      </c>
    </row>
    <row r="136" spans="1:27">
      <c r="A136" s="2" t="s">
        <v>85</v>
      </c>
      <c r="B136" s="3">
        <v>51363</v>
      </c>
      <c r="C136" s="3">
        <v>50269</v>
      </c>
      <c r="D136" s="4">
        <f>NETWORKDAYS(Dashboard!$C$10,bonds!C136,feriados)-1</f>
        <v>3740</v>
      </c>
      <c r="E136" s="2">
        <f>IF(tbl_Bonds[[#This Row],[Coupon]]&lt;tbl_Bonds[[#This Row],[Maturity]],SQRT(1.06)-1,SQRT(1.06))</f>
        <v>2.9563014098699991E-2</v>
      </c>
      <c r="F136" s="5" cm="1">
        <f t="array" ref="F136">Svensson(betas_pre,tbl_Bonds[[#This Row],[DU]])</f>
        <v>0.12032101936210414</v>
      </c>
      <c r="G136" s="49">
        <f>IF(curve_type="Simulada",_xlfn.XLOOKUP(tbl_Bonds[[#This Row],[Coupon]],Simulador!$B$5:$B$147,Simulador!$H$5:$H$147),0)</f>
        <v>0</v>
      </c>
      <c r="H136" s="5" cm="1">
        <f t="array" ref="H13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0.12032101936210414</v>
      </c>
      <c r="I136" s="5" cm="1">
        <f t="array" ref="I136">Interpola_FF(tbl_Bonds[[#This Row],[DU]],dus_svensson,svensson_implicita)</f>
        <v>5.8204320020614153E-2</v>
      </c>
      <c r="J136" s="49">
        <f>IF(curve_type="Simulada",_xlfn.XLOOKUP(tbl_Bonds[[#This Row],[Coupon]],Simulador!$B$5:$B$147,Simulador!$N$5:$N$147),0)</f>
        <v>0</v>
      </c>
      <c r="K136" s="5" cm="1">
        <f t="array" ref="K13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5.8204320020614153E-2</v>
      </c>
      <c r="L136" s="5" cm="1">
        <f t="array" ref="L136">Interpola_FF(tbl_Bonds[[#This Row],[DU]],dus_svensson,svensson_real_spot)</f>
        <v>5.8700099138915718E-2</v>
      </c>
      <c r="M136" s="49">
        <f>IF(curve_type="Simulada",_xlfn.XLOOKUP(tbl_Bonds[[#This Row],[Coupon]],Simulador!$B$5:$B$147,Simulador!$K$5:$K$147),0)</f>
        <v>0</v>
      </c>
      <c r="N136" s="5" cm="1">
        <f t="array" ref="N13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5.8700099138915718E-2</v>
      </c>
      <c r="O136" s="6">
        <f>IF(curve_type="Mercado",tbl_Bonds[[#This Row],[FC]]/(1+tbl_Bonds[[#This Row],[Real Mercado]])^(tbl_Bonds[[#This Row],[DU]]/252),tbl_Bonds[[#This Row],[FC]]/(1+tbl_Bonds[[#This Row],[Real Simulada]])^(tbl_Bonds[[#This Row],[DU]]/252))</f>
        <v>1.2679047216846477E-2</v>
      </c>
      <c r="P136" s="7">
        <f>tbl_Bonds[[#This Row],[Cotação]]*VNA</f>
        <v>50.14948997852381</v>
      </c>
      <c r="Q136" s="18">
        <f>tbl_Bonds[[#This Row],[Cotação]]%%*VNA</f>
        <v>5.0149489978523814E-3</v>
      </c>
      <c r="R13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-7.0301505948538678E-2</v>
      </c>
      <c r="S13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-6.6434717545993949E-2</v>
      </c>
      <c r="T13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7.0334442105388056E-2</v>
      </c>
      <c r="U136" s="18">
        <f>IF(curve_type="Mercado",tbl_Bonds[[#This Row],[VP Cupom]]*LN(1+tbl_Bonds[[#This Row],[Real Mercado]])/252,tbl_Bonds[[#This Row],[VP Cupom]]*LN(1+tbl_Bonds[[#This Row],[Real Simulada]])/252)</f>
        <v>1.1351662234153959E-2</v>
      </c>
      <c r="V136" s="18">
        <f>SUMIF(Dashboard!$B$28:$B$42,tbl_Bonds[[#This Row],[Bond]],Dashboard!$C$28:$C$42)</f>
        <v>1839</v>
      </c>
      <c r="W136" s="18">
        <f>tbl_Bonds[[#This Row],[Quantidade]]*tbl_Bonds[[#This Row],[𝛿P/𝛿VNA]]</f>
        <v>9.2224912070505294</v>
      </c>
      <c r="X136" s="18">
        <f>+tbl_Bonds[[#This Row],[Quantidade]]*tbl_Bonds[[#This Row],[𝛿P/𝛿r_real]]</f>
        <v>-129.28446943936262</v>
      </c>
      <c r="Y136" s="18">
        <f>tbl_Bonds[[#This Row],[Quantidade]]*tbl_Bonds[[#This Row],[𝛿P/𝛿r_pre]]</f>
        <v>-122.17344556708287</v>
      </c>
      <c r="Z136" s="18">
        <f>tbl_Bonds[[#This Row],[Quantidade]]*tbl_Bonds[[#This Row],[𝛿P/𝛿r_implicita]]</f>
        <v>129.34503903180862</v>
      </c>
      <c r="AA136" s="18">
        <f>tbl_Bonds[[#This Row],[Quantidade]]*tbl_Bonds[[#This Row],[𝛿P/𝛿du]]</f>
        <v>20.875706848609131</v>
      </c>
    </row>
    <row r="137" spans="1:27">
      <c r="A137" s="2" t="s">
        <v>85</v>
      </c>
      <c r="B137" s="3">
        <v>51363</v>
      </c>
      <c r="C137" s="3">
        <v>50451</v>
      </c>
      <c r="D137" s="4">
        <f>NETWORKDAYS(Dashboard!$C$10,bonds!C137,feriados)-1</f>
        <v>3865</v>
      </c>
      <c r="E137" s="2">
        <f>IF(tbl_Bonds[[#This Row],[Coupon]]&lt;tbl_Bonds[[#This Row],[Maturity]],SQRT(1.06)-1,SQRT(1.06))</f>
        <v>2.9563014098699991E-2</v>
      </c>
      <c r="F137" s="5" cm="1">
        <f t="array" ref="F137">Svensson(betas_pre,tbl_Bonds[[#This Row],[DU]])</f>
        <v>0.12038732306130104</v>
      </c>
      <c r="G137" s="49">
        <f>IF(curve_type="Simulada",_xlfn.XLOOKUP(tbl_Bonds[[#This Row],[Coupon]],Simulador!$B$5:$B$147,Simulador!$H$5:$H$147),0)</f>
        <v>0</v>
      </c>
      <c r="H137" s="5" cm="1">
        <f t="array" ref="H13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0.12038732306130104</v>
      </c>
      <c r="I137" s="5" cm="1">
        <f t="array" ref="I137">Interpola_FF(tbl_Bonds[[#This Row],[DU]],dus_svensson,svensson_implicita)</f>
        <v>5.8234064269589547E-2</v>
      </c>
      <c r="J137" s="49">
        <f>IF(curve_type="Simulada",_xlfn.XLOOKUP(tbl_Bonds[[#This Row],[Coupon]],Simulador!$B$5:$B$147,Simulador!$N$5:$N$147),0)</f>
        <v>0</v>
      </c>
      <c r="K137" s="5" cm="1">
        <f t="array" ref="K13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5.8234064269589547E-2</v>
      </c>
      <c r="L137" s="5" cm="1">
        <f t="array" ref="L137">Interpola_FF(tbl_Bonds[[#This Row],[DU]],dus_svensson,svensson_real_spot)</f>
        <v>5.8732996877415289E-2</v>
      </c>
      <c r="M137" s="49">
        <f>IF(curve_type="Simulada",_xlfn.XLOOKUP(tbl_Bonds[[#This Row],[Coupon]],Simulador!$B$5:$B$147,Simulador!$K$5:$K$147),0)</f>
        <v>0</v>
      </c>
      <c r="N137" s="5" cm="1">
        <f t="array" ref="N13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5.8732996877415289E-2</v>
      </c>
      <c r="O137" s="6">
        <f>IF(curve_type="Mercado",tbl_Bonds[[#This Row],[FC]]/(1+tbl_Bonds[[#This Row],[Real Mercado]])^(tbl_Bonds[[#This Row],[DU]]/252),tbl_Bonds[[#This Row],[FC]]/(1+tbl_Bonds[[#This Row],[Real Simulada]])^(tbl_Bonds[[#This Row],[DU]]/252))</f>
        <v>1.2319454328426013E-2</v>
      </c>
      <c r="P137" s="7">
        <f>tbl_Bonds[[#This Row],[Cotação]]*VNA</f>
        <v>48.727190680653081</v>
      </c>
      <c r="Q137" s="18">
        <f>tbl_Bonds[[#This Row],[Cotação]]%%*VNA</f>
        <v>4.8727190680653088E-3</v>
      </c>
      <c r="R13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-7.0588488426762269E-2</v>
      </c>
      <c r="S13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-6.6704040237697826E-2</v>
      </c>
      <c r="T13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7.0621768475077812E-2</v>
      </c>
      <c r="U137" s="18">
        <f>IF(curve_type="Mercado",tbl_Bonds[[#This Row],[VP Cupom]]*LN(1+tbl_Bonds[[#This Row],[Real Mercado]])/252,tbl_Bonds[[#This Row],[VP Cupom]]*LN(1+tbl_Bonds[[#This Row],[Real Simulada]])/252)</f>
        <v>1.1035723942664721E-2</v>
      </c>
      <c r="V137" s="18">
        <f>SUMIF(Dashboard!$B$28:$B$42,tbl_Bonds[[#This Row],[Bond]],Dashboard!$C$28:$C$42)</f>
        <v>1839</v>
      </c>
      <c r="W137" s="18">
        <f>tbl_Bonds[[#This Row],[Quantidade]]*tbl_Bonds[[#This Row],[𝛿P/𝛿VNA]]</f>
        <v>8.9609303661721036</v>
      </c>
      <c r="X137" s="18">
        <f>+tbl_Bonds[[#This Row],[Quantidade]]*tbl_Bonds[[#This Row],[𝛿P/𝛿r_real]]</f>
        <v>-129.81223021681581</v>
      </c>
      <c r="Y137" s="18">
        <f>tbl_Bonds[[#This Row],[Quantidade]]*tbl_Bonds[[#This Row],[𝛿P/𝛿r_pre]]</f>
        <v>-122.66872999712631</v>
      </c>
      <c r="Z137" s="18">
        <f>tbl_Bonds[[#This Row],[Quantidade]]*tbl_Bonds[[#This Row],[𝛿P/𝛿r_implicita]]</f>
        <v>129.8734322256681</v>
      </c>
      <c r="AA137" s="18">
        <f>tbl_Bonds[[#This Row],[Quantidade]]*tbl_Bonds[[#This Row],[𝛿P/𝛿du]]</f>
        <v>20.294696330560424</v>
      </c>
    </row>
    <row r="138" spans="1:27">
      <c r="A138" s="2" t="s">
        <v>85</v>
      </c>
      <c r="B138" s="3">
        <v>51363</v>
      </c>
      <c r="C138" s="3">
        <v>50633</v>
      </c>
      <c r="D138" s="4">
        <f>NETWORKDAYS(Dashboard!$C$10,bonds!C138,feriados)-1</f>
        <v>3990</v>
      </c>
      <c r="E138" s="2">
        <f>IF(tbl_Bonds[[#This Row],[Coupon]]&lt;tbl_Bonds[[#This Row],[Maturity]],SQRT(1.06)-1,SQRT(1.06))</f>
        <v>2.9563014098699991E-2</v>
      </c>
      <c r="F138" s="5" cm="1">
        <f t="array" ref="F138">Svensson(betas_pre,tbl_Bonds[[#This Row],[DU]])</f>
        <v>0.12044946906148286</v>
      </c>
      <c r="G138" s="49">
        <f>IF(curve_type="Simulada",_xlfn.XLOOKUP(tbl_Bonds[[#This Row],[Coupon]],Simulador!$B$5:$B$147,Simulador!$H$5:$H$147),0)</f>
        <v>0</v>
      </c>
      <c r="H138" s="5" cm="1">
        <f t="array" ref="H13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0.12044946906148286</v>
      </c>
      <c r="I138" s="5" cm="1">
        <f t="array" ref="I138">Interpola_FF(tbl_Bonds[[#This Row],[DU]],dus_svensson,svensson_implicita)</f>
        <v>5.8265780259018296E-2</v>
      </c>
      <c r="J138" s="49">
        <f>IF(curve_type="Simulada",_xlfn.XLOOKUP(tbl_Bonds[[#This Row],[Coupon]],Simulador!$B$5:$B$147,Simulador!$N$5:$N$147),0)</f>
        <v>0</v>
      </c>
      <c r="K138" s="5" cm="1">
        <f t="array" ref="K13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5.8265780259018296E-2</v>
      </c>
      <c r="L138" s="5" cm="1">
        <f t="array" ref="L138">Interpola_FF(tbl_Bonds[[#This Row],[DU]],dus_svensson,svensson_real_spot)</f>
        <v>5.8759991321506444E-2</v>
      </c>
      <c r="M138" s="49">
        <f>IF(curve_type="Simulada",_xlfn.XLOOKUP(tbl_Bonds[[#This Row],[Coupon]],Simulador!$B$5:$B$147,Simulador!$K$5:$K$147),0)</f>
        <v>0</v>
      </c>
      <c r="N138" s="5" cm="1">
        <f t="array" ref="N13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5.8759991321506444E-2</v>
      </c>
      <c r="O138" s="6">
        <f>IF(curve_type="Mercado",tbl_Bonds[[#This Row],[FC]]/(1+tbl_Bonds[[#This Row],[Real Mercado]])^(tbl_Bonds[[#This Row],[DU]]/252),tbl_Bonds[[#This Row],[FC]]/(1+tbl_Bonds[[#This Row],[Real Simulada]])^(tbl_Bonds[[#This Row],[DU]]/252))</f>
        <v>1.1970747860051445E-2</v>
      </c>
      <c r="P138" s="7">
        <f>tbl_Bonds[[#This Row],[Cotação]]*VNA</f>
        <v>47.347950486803072</v>
      </c>
      <c r="Q138" s="18">
        <f>tbl_Bonds[[#This Row],[Cotação]]%%*VNA</f>
        <v>4.7347950486803072E-3</v>
      </c>
      <c r="R13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-7.0806971254363013E-2</v>
      </c>
      <c r="S13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-6.6908494812450328E-2</v>
      </c>
      <c r="T13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7.0840037433662531E-2</v>
      </c>
      <c r="U138" s="18">
        <f>IF(curve_type="Mercado",tbl_Bonds[[#This Row],[VP Cupom]]*LN(1+tbl_Bonds[[#This Row],[Real Mercado]])/252,tbl_Bonds[[#This Row],[VP Cupom]]*LN(1+tbl_Bonds[[#This Row],[Real Simulada]])/252)</f>
        <v>1.072814443664785E-2</v>
      </c>
      <c r="V138" s="18">
        <f>SUMIF(Dashboard!$B$28:$B$42,tbl_Bonds[[#This Row],[Bond]],Dashboard!$C$28:$C$42)</f>
        <v>1839</v>
      </c>
      <c r="W138" s="18">
        <f>tbl_Bonds[[#This Row],[Quantidade]]*tbl_Bonds[[#This Row],[𝛿P/𝛿VNA]]</f>
        <v>8.7072880945230846</v>
      </c>
      <c r="X138" s="18">
        <f>+tbl_Bonds[[#This Row],[Quantidade]]*tbl_Bonds[[#This Row],[𝛿P/𝛿r_real]]</f>
        <v>-130.21402013677357</v>
      </c>
      <c r="Y138" s="18">
        <f>tbl_Bonds[[#This Row],[Quantidade]]*tbl_Bonds[[#This Row],[𝛿P/𝛿r_pre]]</f>
        <v>-123.04472196009615</v>
      </c>
      <c r="Z138" s="18">
        <f>tbl_Bonds[[#This Row],[Quantidade]]*tbl_Bonds[[#This Row],[𝛿P/𝛿r_implicita]]</f>
        <v>130.27482884050539</v>
      </c>
      <c r="AA138" s="18">
        <f>tbl_Bonds[[#This Row],[Quantidade]]*tbl_Bonds[[#This Row],[𝛿P/𝛿du]]</f>
        <v>19.729057618995395</v>
      </c>
    </row>
    <row r="139" spans="1:27">
      <c r="A139" s="2" t="s">
        <v>85</v>
      </c>
      <c r="B139" s="3">
        <v>51363</v>
      </c>
      <c r="C139" s="3">
        <v>50816</v>
      </c>
      <c r="D139" s="4">
        <f>NETWORKDAYS(Dashboard!$C$10,bonds!C139,feriados)-1</f>
        <v>4117</v>
      </c>
      <c r="E139" s="2">
        <f>IF(tbl_Bonds[[#This Row],[Coupon]]&lt;tbl_Bonds[[#This Row],[Maturity]],SQRT(1.06)-1,SQRT(1.06))</f>
        <v>2.9563014098699991E-2</v>
      </c>
      <c r="F139" s="5" cm="1">
        <f t="array" ref="F139">Svensson(betas_pre,tbl_Bonds[[#This Row],[DU]])</f>
        <v>0.12050874137297377</v>
      </c>
      <c r="G139" s="49">
        <f>IF(curve_type="Simulada",_xlfn.XLOOKUP(tbl_Bonds[[#This Row],[Coupon]],Simulador!$B$5:$B$147,Simulador!$H$5:$H$147),0)</f>
        <v>0</v>
      </c>
      <c r="H139" s="5" cm="1">
        <f t="array" ref="H13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0.12050874137297377</v>
      </c>
      <c r="I139" s="5" cm="1">
        <f t="array" ref="I139">Interpola_FF(tbl_Bonds[[#This Row],[DU]],dus_svensson,svensson_implicita)</f>
        <v>5.8299588626735677E-2</v>
      </c>
      <c r="J139" s="49">
        <f>IF(curve_type="Simulada",_xlfn.XLOOKUP(tbl_Bonds[[#This Row],[Coupon]],Simulador!$B$5:$B$147,Simulador!$N$5:$N$147),0)</f>
        <v>0</v>
      </c>
      <c r="K139" s="5" cm="1">
        <f t="array" ref="K13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5.8299588626735677E-2</v>
      </c>
      <c r="L139" s="5" cm="1">
        <f t="array" ref="L139">Interpola_FF(tbl_Bonds[[#This Row],[DU]],dus_svensson,svensson_real_spot)</f>
        <v>5.8782175441086881E-2</v>
      </c>
      <c r="M139" s="49">
        <f>IF(curve_type="Simulada",_xlfn.XLOOKUP(tbl_Bonds[[#This Row],[Coupon]],Simulador!$B$5:$B$147,Simulador!$K$5:$K$147),0)</f>
        <v>0</v>
      </c>
      <c r="N139" s="5" cm="1">
        <f t="array" ref="N13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5.8782175441086881E-2</v>
      </c>
      <c r="O139" s="6">
        <f>IF(curve_type="Mercado",tbl_Bonds[[#This Row],[FC]]/(1+tbl_Bonds[[#This Row],[Real Mercado]])^(tbl_Bonds[[#This Row],[DU]]/252),tbl_Bonds[[#This Row],[FC]]/(1+tbl_Bonds[[#This Row],[Real Simulada]])^(tbl_Bonds[[#This Row],[DU]]/252))</f>
        <v>1.1627208383587086E-2</v>
      </c>
      <c r="P139" s="7">
        <f>tbl_Bonds[[#This Row],[Cotação]]*VNA</f>
        <v>45.989147318274313</v>
      </c>
      <c r="Q139" s="18">
        <f>tbl_Bonds[[#This Row],[Cotação]]%%*VNA</f>
        <v>4.5989147318274319E-3</v>
      </c>
      <c r="R13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-7.096252533421081E-2</v>
      </c>
      <c r="S13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-6.7053342337054872E-2</v>
      </c>
      <c r="T13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7.09948837119357E-2</v>
      </c>
      <c r="U139" s="18">
        <f>IF(curve_type="Mercado",tbl_Bonds[[#This Row],[VP Cupom]]*LN(1+tbl_Bonds[[#This Row],[Real Mercado]])/252,tbl_Bonds[[#This Row],[VP Cupom]]*LN(1+tbl_Bonds[[#This Row],[Real Simulada]])/252)</f>
        <v>1.0424089297910959E-2</v>
      </c>
      <c r="V139" s="18">
        <f>SUMIF(Dashboard!$B$28:$B$42,tbl_Bonds[[#This Row],[Bond]],Dashboard!$C$28:$C$42)</f>
        <v>1839</v>
      </c>
      <c r="W139" s="18">
        <f>tbl_Bonds[[#This Row],[Quantidade]]*tbl_Bonds[[#This Row],[𝛿P/𝛿VNA]]</f>
        <v>8.4574041918306477</v>
      </c>
      <c r="X139" s="18">
        <f>+tbl_Bonds[[#This Row],[Quantidade]]*tbl_Bonds[[#This Row],[𝛿P/𝛿r_real]]</f>
        <v>-130.50008408961369</v>
      </c>
      <c r="Y139" s="18">
        <f>tbl_Bonds[[#This Row],[Quantidade]]*tbl_Bonds[[#This Row],[𝛿P/𝛿r_pre]]</f>
        <v>-123.31109655784391</v>
      </c>
      <c r="Z139" s="18">
        <f>tbl_Bonds[[#This Row],[Quantidade]]*tbl_Bonds[[#This Row],[𝛿P/𝛿r_implicita]]</f>
        <v>130.55959114624974</v>
      </c>
      <c r="AA139" s="18">
        <f>tbl_Bonds[[#This Row],[Quantidade]]*tbl_Bonds[[#This Row],[𝛿P/𝛿du]]</f>
        <v>19.169900218858253</v>
      </c>
    </row>
    <row r="140" spans="1:27">
      <c r="A140" s="2" t="s">
        <v>85</v>
      </c>
      <c r="B140" s="3">
        <v>51363</v>
      </c>
      <c r="C140" s="3">
        <v>50997</v>
      </c>
      <c r="D140" s="4">
        <f>NETWORKDAYS(Dashboard!$C$10,bonds!C140,feriados)-1</f>
        <v>4241</v>
      </c>
      <c r="E140" s="2">
        <f>IF(tbl_Bonds[[#This Row],[Coupon]]&lt;tbl_Bonds[[#This Row],[Maturity]],SQRT(1.06)-1,SQRT(1.06))</f>
        <v>2.9563014098699991E-2</v>
      </c>
      <c r="F140" s="5" cm="1">
        <f t="array" ref="F140">Svensson(betas_pre,tbl_Bonds[[#This Row],[DU]])</f>
        <v>0.12056318553647621</v>
      </c>
      <c r="G140" s="49">
        <f>IF(curve_type="Simulada",_xlfn.XLOOKUP(tbl_Bonds[[#This Row],[Coupon]],Simulador!$B$5:$B$147,Simulador!$H$5:$H$147),0)</f>
        <v>0</v>
      </c>
      <c r="H140" s="5" cm="1">
        <f t="array" ref="H14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0.12056318553647621</v>
      </c>
      <c r="I140" s="5" cm="1">
        <f t="array" ref="I140">Interpola_FF(tbl_Bonds[[#This Row],[DU]],dus_svensson,svensson_implicita)</f>
        <v>5.8333783790841975E-2</v>
      </c>
      <c r="J140" s="49">
        <f>IF(curve_type="Simulada",_xlfn.XLOOKUP(tbl_Bonds[[#This Row],[Coupon]],Simulador!$B$5:$B$147,Simulador!$N$5:$N$147),0)</f>
        <v>0</v>
      </c>
      <c r="K140" s="5" cm="1">
        <f t="array" ref="K14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5.8333783790841975E-2</v>
      </c>
      <c r="L140" s="5" cm="1">
        <f t="array" ref="L140">Interpola_FF(tbl_Bonds[[#This Row],[DU]],dus_svensson,svensson_real_spot)</f>
        <v>5.8799409120790624E-2</v>
      </c>
      <c r="M140" s="49">
        <f>IF(curve_type="Simulada",_xlfn.XLOOKUP(tbl_Bonds[[#This Row],[Coupon]],Simulador!$B$5:$B$147,Simulador!$K$5:$K$147),0)</f>
        <v>0</v>
      </c>
      <c r="N140" s="5" cm="1">
        <f t="array" ref="N14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5.8799409120790624E-2</v>
      </c>
      <c r="O140" s="6">
        <f>IF(curve_type="Mercado",tbl_Bonds[[#This Row],[FC]]/(1+tbl_Bonds[[#This Row],[Real Mercado]])^(tbl_Bonds[[#This Row],[DU]]/252),tbl_Bonds[[#This Row],[FC]]/(1+tbl_Bonds[[#This Row],[Real Simulada]])^(tbl_Bonds[[#This Row],[DU]]/252))</f>
        <v>1.1301863508631512E-2</v>
      </c>
      <c r="P140" s="7">
        <f>tbl_Bonds[[#This Row],[Cotação]]*VNA</f>
        <v>44.702309335332671</v>
      </c>
      <c r="Q140" s="18">
        <f>tbl_Bonds[[#This Row],[Cotação]]%%*VNA</f>
        <v>4.4702309335332676E-3</v>
      </c>
      <c r="R14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-7.1053258739512348E-2</v>
      </c>
      <c r="S14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-6.7136908168725556E-2</v>
      </c>
      <c r="T14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7.1084518737696195E-2</v>
      </c>
      <c r="U140" s="18">
        <f>IF(curve_type="Mercado",tbl_Bonds[[#This Row],[VP Cupom]]*LN(1+tbl_Bonds[[#This Row],[Real Mercado]])/252,tbl_Bonds[[#This Row],[VP Cupom]]*LN(1+tbl_Bonds[[#This Row],[Real Simulada]])/252)</f>
        <v>1.0135296643253924E-2</v>
      </c>
      <c r="V140" s="18">
        <f>SUMIF(Dashboard!$B$28:$B$42,tbl_Bonds[[#This Row],[Bond]],Dashboard!$C$28:$C$42)</f>
        <v>1839</v>
      </c>
      <c r="W140" s="18">
        <f>tbl_Bonds[[#This Row],[Quantidade]]*tbl_Bonds[[#This Row],[𝛿P/𝛿VNA]]</f>
        <v>8.2207546867676786</v>
      </c>
      <c r="X140" s="18">
        <f>+tbl_Bonds[[#This Row],[Quantidade]]*tbl_Bonds[[#This Row],[𝛿P/𝛿r_real]]</f>
        <v>-130.6669428219632</v>
      </c>
      <c r="Y140" s="18">
        <f>tbl_Bonds[[#This Row],[Quantidade]]*tbl_Bonds[[#This Row],[𝛿P/𝛿r_pre]]</f>
        <v>-123.4647741222863</v>
      </c>
      <c r="Z140" s="18">
        <f>tbl_Bonds[[#This Row],[Quantidade]]*tbl_Bonds[[#This Row],[𝛿P/𝛿r_implicita]]</f>
        <v>130.72442995862329</v>
      </c>
      <c r="AA140" s="18">
        <f>tbl_Bonds[[#This Row],[Quantidade]]*tbl_Bonds[[#This Row],[𝛿P/𝛿du]]</f>
        <v>18.638810526943967</v>
      </c>
    </row>
    <row r="141" spans="1:27">
      <c r="A141" s="2" t="s">
        <v>85</v>
      </c>
      <c r="B141" s="3">
        <v>51363</v>
      </c>
      <c r="C141" s="3">
        <v>51181</v>
      </c>
      <c r="D141" s="4">
        <f>NETWORKDAYS(Dashboard!$C$10,bonds!C141,feriados)-1</f>
        <v>4367</v>
      </c>
      <c r="E141" s="2">
        <f>IF(tbl_Bonds[[#This Row],[Coupon]]&lt;tbl_Bonds[[#This Row],[Maturity]],SQRT(1.06)-1,SQRT(1.06))</f>
        <v>2.9563014098699991E-2</v>
      </c>
      <c r="F141" s="5" cm="1">
        <f t="array" ref="F141">Svensson(betas_pre,tbl_Bonds[[#This Row],[DU]])</f>
        <v>0.12061533809566234</v>
      </c>
      <c r="G141" s="49">
        <f>IF(curve_type="Simulada",_xlfn.XLOOKUP(tbl_Bonds[[#This Row],[Coupon]],Simulador!$B$5:$B$147,Simulador!$H$5:$H$147),0)</f>
        <v>0</v>
      </c>
      <c r="H141" s="5" cm="1">
        <f t="array" ref="H14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0.12061533809566234</v>
      </c>
      <c r="I141" s="5" cm="1">
        <f t="array" ref="I141">Interpola_FF(tbl_Bonds[[#This Row],[DU]],dus_svensson,svensson_implicita)</f>
        <v>5.8369365588984978E-2</v>
      </c>
      <c r="J141" s="49">
        <f>IF(curve_type="Simulada",_xlfn.XLOOKUP(tbl_Bonds[[#This Row],[Coupon]],Simulador!$B$5:$B$147,Simulador!$N$5:$N$147),0)</f>
        <v>0</v>
      </c>
      <c r="K141" s="5" cm="1">
        <f t="array" ref="K14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5.8369365588984978E-2</v>
      </c>
      <c r="L141" s="5" cm="1">
        <f t="array" ref="L141">Interpola_FF(tbl_Bonds[[#This Row],[DU]],dus_svensson,svensson_real_spot)</f>
        <v>5.8813089255010942E-2</v>
      </c>
      <c r="M141" s="49">
        <f>IF(curve_type="Simulada",_xlfn.XLOOKUP(tbl_Bonds[[#This Row],[Coupon]],Simulador!$B$5:$B$147,Simulador!$K$5:$K$147),0)</f>
        <v>0</v>
      </c>
      <c r="N141" s="5" cm="1">
        <f t="array" ref="N14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5.8813089255010942E-2</v>
      </c>
      <c r="O141" s="6">
        <f>IF(curve_type="Mercado",tbl_Bonds[[#This Row],[FC]]/(1+tbl_Bonds[[#This Row],[Real Mercado]])^(tbl_Bonds[[#This Row],[DU]]/252),tbl_Bonds[[#This Row],[FC]]/(1+tbl_Bonds[[#This Row],[Real Simulada]])^(tbl_Bonds[[#This Row],[DU]]/252))</f>
        <v>1.0981103220500979E-2</v>
      </c>
      <c r="P141" s="7">
        <f>tbl_Bonds[[#This Row],[Cotação]]*VNA</f>
        <v>43.433604788374488</v>
      </c>
      <c r="Q141" s="18">
        <f>tbl_Bonds[[#This Row],[Cotação]]%%*VNA</f>
        <v>4.343360478837449E-3</v>
      </c>
      <c r="R14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-7.1086842590904309E-2</v>
      </c>
      <c r="S14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-6.7166382805658842E-2</v>
      </c>
      <c r="T14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7.1116645307037429E-2</v>
      </c>
      <c r="U141" s="18">
        <f>IF(curve_type="Mercado",tbl_Bonds[[#This Row],[VP Cupom]]*LN(1+tbl_Bonds[[#This Row],[Real Mercado]])/252,tbl_Bonds[[#This Row],[VP Cupom]]*LN(1+tbl_Bonds[[#This Row],[Real Simulada]])/252)</f>
        <v>9.8498717982934744E-3</v>
      </c>
      <c r="V141" s="18">
        <f>SUMIF(Dashboard!$B$28:$B$42,tbl_Bonds[[#This Row],[Bond]],Dashboard!$C$28:$C$42)</f>
        <v>1839</v>
      </c>
      <c r="W141" s="18">
        <f>tbl_Bonds[[#This Row],[Quantidade]]*tbl_Bonds[[#This Row],[𝛿P/𝛿VNA]]</f>
        <v>7.9874399205820685</v>
      </c>
      <c r="X141" s="18">
        <f>+tbl_Bonds[[#This Row],[Quantidade]]*tbl_Bonds[[#This Row],[𝛿P/𝛿r_real]]</f>
        <v>-130.72870352467302</v>
      </c>
      <c r="Y141" s="18">
        <f>tbl_Bonds[[#This Row],[Quantidade]]*tbl_Bonds[[#This Row],[𝛿P/𝛿r_pre]]</f>
        <v>-123.5189779796066</v>
      </c>
      <c r="Z141" s="18">
        <f>tbl_Bonds[[#This Row],[Quantidade]]*tbl_Bonds[[#This Row],[𝛿P/𝛿r_implicita]]</f>
        <v>130.78351071964184</v>
      </c>
      <c r="AA141" s="18">
        <f>tbl_Bonds[[#This Row],[Quantidade]]*tbl_Bonds[[#This Row],[𝛿P/𝛿du]]</f>
        <v>18.113914237061699</v>
      </c>
    </row>
    <row r="142" spans="1:27">
      <c r="A142" s="2" t="s">
        <v>85</v>
      </c>
      <c r="B142" s="3">
        <v>51363</v>
      </c>
      <c r="C142" s="3">
        <v>51363</v>
      </c>
      <c r="D142" s="4">
        <f>NETWORKDAYS(Dashboard!$C$10,bonds!C142,feriados)-1</f>
        <v>4494</v>
      </c>
      <c r="E142" s="2">
        <f>IF(tbl_Bonds[[#This Row],[Coupon]]&lt;tbl_Bonds[[#This Row],[Maturity]],SQRT(1.06)-1,SQRT(1.06))</f>
        <v>1.0295630140987</v>
      </c>
      <c r="F142" s="5" cm="1">
        <f t="array" ref="F142">Svensson(betas_pre,tbl_Bonds[[#This Row],[DU]])</f>
        <v>0.12066494275144943</v>
      </c>
      <c r="G142" s="49">
        <f>IF(curve_type="Simulada",_xlfn.XLOOKUP(tbl_Bonds[[#This Row],[Coupon]],Simulador!$B$5:$B$147,Simulador!$H$5:$H$147),0)</f>
        <v>0</v>
      </c>
      <c r="H142" s="5" cm="1">
        <f t="array" ref="H14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0.12066494275144943</v>
      </c>
      <c r="I142" s="5" cm="1">
        <f t="array" ref="I142">Interpola_FF(tbl_Bonds[[#This Row],[DU]],dus_svensson,svensson_implicita)</f>
        <v>5.8405778317638379E-2</v>
      </c>
      <c r="J142" s="49">
        <f>IF(curve_type="Simulada",_xlfn.XLOOKUP(tbl_Bonds[[#This Row],[Coupon]],Simulador!$B$5:$B$147,Simulador!$N$5:$N$147),0)</f>
        <v>0</v>
      </c>
      <c r="K142" s="5" cm="1">
        <f t="array" ref="K14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5.8405778317638379E-2</v>
      </c>
      <c r="L142" s="5" cm="1">
        <f t="array" ref="L142">Interpola_FF(tbl_Bonds[[#This Row],[DU]],dus_svensson,svensson_real_spot)</f>
        <v>5.8823529904745264E-2</v>
      </c>
      <c r="M142" s="49">
        <f>IF(curve_type="Simulada",_xlfn.XLOOKUP(tbl_Bonds[[#This Row],[Coupon]],Simulador!$B$5:$B$147,Simulador!$K$5:$K$147),0)</f>
        <v>0</v>
      </c>
      <c r="N142" s="5" cm="1">
        <f t="array" ref="N14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5.8823529904745264E-2</v>
      </c>
      <c r="O142" s="6">
        <f>IF(curve_type="Mercado",tbl_Bonds[[#This Row],[FC]]/(1+tbl_Bonds[[#This Row],[Real Mercado]])^(tbl_Bonds[[#This Row],[DU]]/252),tbl_Bonds[[#This Row],[FC]]/(1+tbl_Bonds[[#This Row],[Real Simulada]])^(tbl_Bonds[[#This Row],[DU]]/252))</f>
        <v>0.37150587486231268</v>
      </c>
      <c r="P142" s="7">
        <f>tbl_Bonds[[#This Row],[Cotação]]*VNA</f>
        <v>1469.4187843717264</v>
      </c>
      <c r="Q142" s="18">
        <f>tbl_Bonds[[#This Row],[Cotação]]%%*VNA</f>
        <v>0.14694187843717263</v>
      </c>
      <c r="R14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-2.4748821921552779</v>
      </c>
      <c r="S14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-2.3383112817648448</v>
      </c>
      <c r="T14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2.4758590064383048</v>
      </c>
      <c r="U142" s="18">
        <f>IF(curve_type="Mercado",tbl_Bonds[[#This Row],[VP Cupom]]*LN(1+tbl_Bonds[[#This Row],[Real Mercado]])/252,tbl_Bonds[[#This Row],[VP Cupom]]*LN(1+tbl_Bonds[[#This Row],[Real Simulada]])/252)</f>
        <v>0.33329225264073048</v>
      </c>
      <c r="V142" s="18">
        <f>SUMIF(Dashboard!$B$28:$B$42,tbl_Bonds[[#This Row],[Bond]],Dashboard!$C$28:$C$42)</f>
        <v>1839</v>
      </c>
      <c r="W142" s="18">
        <f>tbl_Bonds[[#This Row],[Quantidade]]*tbl_Bonds[[#This Row],[𝛿P/𝛿VNA]]</f>
        <v>270.22611444596049</v>
      </c>
      <c r="X142" s="18">
        <f>+tbl_Bonds[[#This Row],[Quantidade]]*tbl_Bonds[[#This Row],[𝛿P/𝛿r_real]]</f>
        <v>-4551.3083513735564</v>
      </c>
      <c r="Y142" s="18">
        <f>tbl_Bonds[[#This Row],[Quantidade]]*tbl_Bonds[[#This Row],[𝛿P/𝛿r_pre]]</f>
        <v>-4300.1544471655498</v>
      </c>
      <c r="Z142" s="18">
        <f>tbl_Bonds[[#This Row],[Quantidade]]*tbl_Bonds[[#This Row],[𝛿P/𝛿r_implicita]]</f>
        <v>4553.1047128400423</v>
      </c>
      <c r="AA142" s="18">
        <f>tbl_Bonds[[#This Row],[Quantidade]]*tbl_Bonds[[#This Row],[𝛿P/𝛿du]]</f>
        <v>612.92445260630336</v>
      </c>
    </row>
    <row r="143" spans="1:27">
      <c r="A143" s="2" t="s">
        <v>86</v>
      </c>
      <c r="B143" s="3">
        <v>53097</v>
      </c>
      <c r="C143" s="3">
        <v>44881</v>
      </c>
      <c r="D143" s="4">
        <f>NETWORKDAYS(Dashboard!$C$10,bonds!C143,feriados)-1</f>
        <v>34</v>
      </c>
      <c r="E143" s="2">
        <f>IF(tbl_Bonds[[#This Row],[Coupon]]&lt;tbl_Bonds[[#This Row],[Maturity]],SQRT(1.06)-1,SQRT(1.06))</f>
        <v>2.9563014098699991E-2</v>
      </c>
      <c r="F143" s="5" cm="1">
        <f t="array" ref="F143">Svensson(betas_pre,tbl_Bonds[[#This Row],[DU]])</f>
        <v>0.13709542415198134</v>
      </c>
      <c r="G143" s="49">
        <f>IF(curve_type="Simulada",_xlfn.XLOOKUP(tbl_Bonds[[#This Row],[Coupon]],Simulador!$B$5:$B$147,Simulador!$H$5:$H$147),0)</f>
        <v>0</v>
      </c>
      <c r="H143" s="5" cm="1">
        <f t="array" ref="H14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0.13709542415198134</v>
      </c>
      <c r="I143" s="5" cm="1">
        <f t="array" ref="I143">Interpola_FF(tbl_Bonds[[#This Row],[DU]],dus_svensson,svensson_implicita)</f>
        <v>3.9260043860060989E-2</v>
      </c>
      <c r="J143" s="49">
        <f>IF(curve_type="Simulada",_xlfn.XLOOKUP(tbl_Bonds[[#This Row],[Coupon]],Simulador!$B$5:$B$147,Simulador!$N$5:$N$147),0)</f>
        <v>0</v>
      </c>
      <c r="K143" s="5" cm="1">
        <f t="array" ref="K14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3.9260043860060989E-2</v>
      </c>
      <c r="L143" s="5" cm="1">
        <f t="array" ref="L143">Interpola_FF(tbl_Bonds[[#This Row],[DU]],dus_svensson,svensson_real_spot)</f>
        <v>9.4238501847281109E-2</v>
      </c>
      <c r="M143" s="49">
        <f>IF(curve_type="Simulada",_xlfn.XLOOKUP(tbl_Bonds[[#This Row],[Coupon]],Simulador!$B$5:$B$147,Simulador!$K$5:$K$147),0)</f>
        <v>0</v>
      </c>
      <c r="N143" s="5" cm="1">
        <f t="array" ref="N14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9.4238501847281109E-2</v>
      </c>
      <c r="O143" s="6">
        <f>IF(curve_type="Mercado",tbl_Bonds[[#This Row],[FC]]/(1+tbl_Bonds[[#This Row],[Real Mercado]])^(tbl_Bonds[[#This Row],[DU]]/252),tbl_Bonds[[#This Row],[FC]]/(1+tbl_Bonds[[#This Row],[Real Simulada]])^(tbl_Bonds[[#This Row],[DU]]/252))</f>
        <v>2.9205974099578352E-2</v>
      </c>
      <c r="P143" s="7">
        <f>tbl_Bonds[[#This Row],[Cotação]]*VNA</f>
        <v>115.51851494596143</v>
      </c>
      <c r="Q143" s="18">
        <f>tbl_Bonds[[#This Row],[Cotação]]%%*VNA</f>
        <v>1.1551851494596142E-2</v>
      </c>
      <c r="R14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-1.4243541380865455E-3</v>
      </c>
      <c r="S14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-1.3706872257140204E-3</v>
      </c>
      <c r="T14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1.4997229822422155E-3</v>
      </c>
      <c r="U143" s="18">
        <f>IF(curve_type="Mercado",tbl_Bonds[[#This Row],[VP Cupom]]*LN(1+tbl_Bonds[[#This Row],[Real Mercado]])/252,tbl_Bonds[[#This Row],[VP Cupom]]*LN(1+tbl_Bonds[[#This Row],[Real Simulada]])/252)</f>
        <v>4.1283516027923767E-2</v>
      </c>
      <c r="V143" s="18">
        <f>SUMIF(Dashboard!$B$28:$B$42,tbl_Bonds[[#This Row],[Bond]],Dashboard!$C$28:$C$42)</f>
        <v>13940</v>
      </c>
      <c r="W143" s="18">
        <f>tbl_Bonds[[#This Row],[Quantidade]]*tbl_Bonds[[#This Row],[𝛿P/𝛿VNA]]</f>
        <v>161.03280983467022</v>
      </c>
      <c r="X143" s="18">
        <f>+tbl_Bonds[[#This Row],[Quantidade]]*tbl_Bonds[[#This Row],[𝛿P/𝛿r_real]]</f>
        <v>-19.855496684926443</v>
      </c>
      <c r="Y143" s="18">
        <f>tbl_Bonds[[#This Row],[Quantidade]]*tbl_Bonds[[#This Row],[𝛿P/𝛿r_pre]]</f>
        <v>-19.107379926453444</v>
      </c>
      <c r="Z143" s="18">
        <f>tbl_Bonds[[#This Row],[Quantidade]]*tbl_Bonds[[#This Row],[𝛿P/𝛿r_implicita]]</f>
        <v>20.906138372456486</v>
      </c>
      <c r="AA143" s="18">
        <f>tbl_Bonds[[#This Row],[Quantidade]]*tbl_Bonds[[#This Row],[𝛿P/𝛿du]]</f>
        <v>575.49221342925728</v>
      </c>
    </row>
    <row r="144" spans="1:27">
      <c r="A144" s="2" t="s">
        <v>86</v>
      </c>
      <c r="B144" s="3">
        <v>53097</v>
      </c>
      <c r="C144" s="3">
        <v>45061</v>
      </c>
      <c r="D144" s="4">
        <f>NETWORKDAYS(Dashboard!$C$10,bonds!C144,feriados)-1</f>
        <v>157</v>
      </c>
      <c r="E144" s="2">
        <f>IF(tbl_Bonds[[#This Row],[Coupon]]&lt;tbl_Bonds[[#This Row],[Maturity]],SQRT(1.06)-1,SQRT(1.06))</f>
        <v>2.9563014098699991E-2</v>
      </c>
      <c r="F144" s="5" cm="1">
        <f t="array" ref="F144">Svensson(betas_pre,tbl_Bonds[[#This Row],[DU]])</f>
        <v>0.1367085106174083</v>
      </c>
      <c r="G144" s="49">
        <f>IF(curve_type="Simulada",_xlfn.XLOOKUP(tbl_Bonds[[#This Row],[Coupon]],Simulador!$B$5:$B$147,Simulador!$H$5:$H$147),0)</f>
        <v>0</v>
      </c>
      <c r="H144" s="5" cm="1">
        <f t="array" ref="H14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0.1367085106174083</v>
      </c>
      <c r="I144" s="5" cm="1">
        <f t="array" ref="I144">Interpola_FF(tbl_Bonds[[#This Row],[DU]],dus_svensson,svensson_implicita)</f>
        <v>4.8774403248048603E-2</v>
      </c>
      <c r="J144" s="49">
        <f>IF(curve_type="Simulada",_xlfn.XLOOKUP(tbl_Bonds[[#This Row],[Coupon]],Simulador!$B$5:$B$147,Simulador!$N$5:$N$147),0)</f>
        <v>0</v>
      </c>
      <c r="K144" s="5" cm="1">
        <f t="array" ref="K14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4.8774403248048603E-2</v>
      </c>
      <c r="L144" s="5" cm="1">
        <f t="array" ref="L144">Interpola_FF(tbl_Bonds[[#This Row],[DU]],dus_svensson,svensson_real_spot)</f>
        <v>8.3802406981866362E-2</v>
      </c>
      <c r="M144" s="49">
        <f>IF(curve_type="Simulada",_xlfn.XLOOKUP(tbl_Bonds[[#This Row],[Coupon]],Simulador!$B$5:$B$147,Simulador!$K$5:$K$147),0)</f>
        <v>0</v>
      </c>
      <c r="N144" s="5" cm="1">
        <f t="array" ref="N14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8.3802406981866362E-2</v>
      </c>
      <c r="O144" s="6">
        <f>IF(curve_type="Mercado",tbl_Bonds[[#This Row],[FC]]/(1+tbl_Bonds[[#This Row],[Real Mercado]])^(tbl_Bonds[[#This Row],[DU]]/252),tbl_Bonds[[#This Row],[FC]]/(1+tbl_Bonds[[#This Row],[Real Simulada]])^(tbl_Bonds[[#This Row],[DU]]/252))</f>
        <v>2.811734025699774E-2</v>
      </c>
      <c r="P144" s="7">
        <f>tbl_Bonds[[#This Row],[Cotação]]*VNA</f>
        <v>111.21263682711987</v>
      </c>
      <c r="Q144" s="18">
        <f>tbl_Bonds[[#This Row],[Cotação]]%%*VNA</f>
        <v>1.1121263682711989E-2</v>
      </c>
      <c r="R14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-6.3929769464337967E-3</v>
      </c>
      <c r="S14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-6.0952790892216937E-3</v>
      </c>
      <c r="T14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6.6063355416083073E-3</v>
      </c>
      <c r="U144" s="18">
        <f>IF(curve_type="Mercado",tbl_Bonds[[#This Row],[VP Cupom]]*LN(1+tbl_Bonds[[#This Row],[Real Mercado]])/252,tbl_Bonds[[#This Row],[VP Cupom]]*LN(1+tbl_Bonds[[#This Row],[Real Simulada]])/252)</f>
        <v>3.5515492994237334E-2</v>
      </c>
      <c r="V144" s="18">
        <f>SUMIF(Dashboard!$B$28:$B$42,tbl_Bonds[[#This Row],[Bond]],Dashboard!$C$28:$C$42)</f>
        <v>13940</v>
      </c>
      <c r="W144" s="18">
        <f>tbl_Bonds[[#This Row],[Quantidade]]*tbl_Bonds[[#This Row],[𝛿P/𝛿VNA]]</f>
        <v>155.03041573700511</v>
      </c>
      <c r="X144" s="18">
        <f>+tbl_Bonds[[#This Row],[Quantidade]]*tbl_Bonds[[#This Row],[𝛿P/𝛿r_real]]</f>
        <v>-89.118098633287119</v>
      </c>
      <c r="Y144" s="18">
        <f>tbl_Bonds[[#This Row],[Quantidade]]*tbl_Bonds[[#This Row],[𝛿P/𝛿r_pre]]</f>
        <v>-84.968190503750407</v>
      </c>
      <c r="Z144" s="18">
        <f>tbl_Bonds[[#This Row],[Quantidade]]*tbl_Bonds[[#This Row],[𝛿P/𝛿r_implicita]]</f>
        <v>92.092317450019806</v>
      </c>
      <c r="AA144" s="18">
        <f>tbl_Bonds[[#This Row],[Quantidade]]*tbl_Bonds[[#This Row],[𝛿P/𝛿du]]</f>
        <v>495.08597233966844</v>
      </c>
    </row>
    <row r="145" spans="1:27">
      <c r="A145" s="2" t="s">
        <v>86</v>
      </c>
      <c r="B145" s="3">
        <v>53097</v>
      </c>
      <c r="C145" s="3">
        <v>45246</v>
      </c>
      <c r="D145" s="4">
        <f>NETWORKDAYS(Dashboard!$C$10,bonds!C145,feriados)-1</f>
        <v>285</v>
      </c>
      <c r="E145" s="2">
        <f>IF(tbl_Bonds[[#This Row],[Coupon]]&lt;tbl_Bonds[[#This Row],[Maturity]],SQRT(1.06)-1,SQRT(1.06))</f>
        <v>2.9563014098699991E-2</v>
      </c>
      <c r="F145" s="5" cm="1">
        <f t="array" ref="F145">Svensson(betas_pre,tbl_Bonds[[#This Row],[DU]])</f>
        <v>0.13048300825828854</v>
      </c>
      <c r="G145" s="49">
        <f>IF(curve_type="Simulada",_xlfn.XLOOKUP(tbl_Bonds[[#This Row],[Coupon]],Simulador!$B$5:$B$147,Simulador!$H$5:$H$147),0)</f>
        <v>0</v>
      </c>
      <c r="H145" s="5" cm="1">
        <f t="array" ref="H14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0.13048300825828854</v>
      </c>
      <c r="I145" s="5" cm="1">
        <f t="array" ref="I145">Interpola_FF(tbl_Bonds[[#This Row],[DU]],dus_svensson,svensson_implicita)</f>
        <v>5.1052336771006734E-2</v>
      </c>
      <c r="J145" s="49">
        <f>IF(curve_type="Simulada",_xlfn.XLOOKUP(tbl_Bonds[[#This Row],[Coupon]],Simulador!$B$5:$B$147,Simulador!$N$5:$N$147),0)</f>
        <v>0</v>
      </c>
      <c r="K145" s="5" cm="1">
        <f t="array" ref="K14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5.1052336771006734E-2</v>
      </c>
      <c r="L145" s="5" cm="1">
        <f t="array" ref="L145">Interpola_FF(tbl_Bonds[[#This Row],[DU]],dus_svensson,svensson_real_spot)</f>
        <v>7.5555946570935895E-2</v>
      </c>
      <c r="M145" s="49">
        <f>IF(curve_type="Simulada",_xlfn.XLOOKUP(tbl_Bonds[[#This Row],[Coupon]],Simulador!$B$5:$B$147,Simulador!$K$5:$K$147),0)</f>
        <v>0</v>
      </c>
      <c r="N145" s="5" cm="1">
        <f t="array" ref="N14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7.5555946570935895E-2</v>
      </c>
      <c r="O145" s="6">
        <f>IF(curve_type="Mercado",tbl_Bonds[[#This Row],[FC]]/(1+tbl_Bonds[[#This Row],[Real Mercado]])^(tbl_Bonds[[#This Row],[DU]]/252),tbl_Bonds[[#This Row],[FC]]/(1+tbl_Bonds[[#This Row],[Real Simulada]])^(tbl_Bonds[[#This Row],[DU]]/252))</f>
        <v>2.7225338447297978E-2</v>
      </c>
      <c r="P145" s="7">
        <f>tbl_Bonds[[#This Row],[Cotação]]*VNA</f>
        <v>107.68449823347802</v>
      </c>
      <c r="Q145" s="18">
        <f>tbl_Bonds[[#This Row],[Cotação]]%%*VNA</f>
        <v>1.0768449823347803E-2</v>
      </c>
      <c r="R14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-1.1323078084137794E-2</v>
      </c>
      <c r="S14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-1.0772733134262443E-2</v>
      </c>
      <c r="T14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1.1586855701399822E-2</v>
      </c>
      <c r="U145" s="18">
        <f>IF(curve_type="Mercado",tbl_Bonds[[#This Row],[VP Cupom]]*LN(1+tbl_Bonds[[#This Row],[Real Mercado]])/252,tbl_Bonds[[#This Row],[VP Cupom]]*LN(1+tbl_Bonds[[#This Row],[Real Simulada]])/252)</f>
        <v>3.1124959646336391E-2</v>
      </c>
      <c r="V145" s="18">
        <f>SUMIF(Dashboard!$B$28:$B$42,tbl_Bonds[[#This Row],[Bond]],Dashboard!$C$28:$C$42)</f>
        <v>13940</v>
      </c>
      <c r="W145" s="18">
        <f>tbl_Bonds[[#This Row],[Quantidade]]*tbl_Bonds[[#This Row],[𝛿P/𝛿VNA]]</f>
        <v>150.11219053746836</v>
      </c>
      <c r="X145" s="18">
        <f>+tbl_Bonds[[#This Row],[Quantidade]]*tbl_Bonds[[#This Row],[𝛿P/𝛿r_real]]</f>
        <v>-157.84370849288086</v>
      </c>
      <c r="Y145" s="18">
        <f>tbl_Bonds[[#This Row],[Quantidade]]*tbl_Bonds[[#This Row],[𝛿P/𝛿r_pre]]</f>
        <v>-150.17189989161847</v>
      </c>
      <c r="Z145" s="18">
        <f>tbl_Bonds[[#This Row],[Quantidade]]*tbl_Bonds[[#This Row],[𝛿P/𝛿r_implicita]]</f>
        <v>161.52076847751351</v>
      </c>
      <c r="AA145" s="18">
        <f>tbl_Bonds[[#This Row],[Quantidade]]*tbl_Bonds[[#This Row],[𝛿P/𝛿du]]</f>
        <v>433.88193746992931</v>
      </c>
    </row>
    <row r="146" spans="1:27">
      <c r="A146" s="2" t="s">
        <v>86</v>
      </c>
      <c r="B146" s="3">
        <v>53097</v>
      </c>
      <c r="C146" s="3">
        <v>45427</v>
      </c>
      <c r="D146" s="4">
        <f>NETWORKDAYS(Dashboard!$C$10,bonds!C146,feriados)-1</f>
        <v>408</v>
      </c>
      <c r="E146" s="2">
        <f>IF(tbl_Bonds[[#This Row],[Coupon]]&lt;tbl_Bonds[[#This Row],[Maturity]],SQRT(1.06)-1,SQRT(1.06))</f>
        <v>2.9563014098699991E-2</v>
      </c>
      <c r="F146" s="5" cm="1">
        <f t="array" ref="F146">Svensson(betas_pre,tbl_Bonds[[#This Row],[DU]])</f>
        <v>0.12477200252598092</v>
      </c>
      <c r="G146" s="49">
        <f>IF(curve_type="Simulada",_xlfn.XLOOKUP(tbl_Bonds[[#This Row],[Coupon]],Simulador!$B$5:$B$147,Simulador!$H$5:$H$147),0)</f>
        <v>0</v>
      </c>
      <c r="H146" s="5" cm="1">
        <f t="array" ref="H14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0.12477200252598092</v>
      </c>
      <c r="I146" s="5" cm="1">
        <f t="array" ref="I146">Interpola_FF(tbl_Bonds[[#This Row],[DU]],dus_svensson,svensson_implicita)</f>
        <v>5.145750573058927E-2</v>
      </c>
      <c r="J146" s="49">
        <f>IF(curve_type="Simulada",_xlfn.XLOOKUP(tbl_Bonds[[#This Row],[Coupon]],Simulador!$B$5:$B$147,Simulador!$N$5:$N$147),0)</f>
        <v>0</v>
      </c>
      <c r="K146" s="5" cm="1">
        <f t="array" ref="K14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5.145750573058927E-2</v>
      </c>
      <c r="L146" s="5" cm="1">
        <f t="array" ref="L146">Interpola_FF(tbl_Bonds[[#This Row],[DU]],dus_svensson,svensson_real_spot)</f>
        <v>6.9722414488002649E-2</v>
      </c>
      <c r="M146" s="49">
        <f>IF(curve_type="Simulada",_xlfn.XLOOKUP(tbl_Bonds[[#This Row],[Coupon]],Simulador!$B$5:$B$147,Simulador!$K$5:$K$147),0)</f>
        <v>0</v>
      </c>
      <c r="N146" s="5" cm="1">
        <f t="array" ref="N14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6.9722414488002649E-2</v>
      </c>
      <c r="O146" s="6">
        <f>IF(curve_type="Mercado",tbl_Bonds[[#This Row],[FC]]/(1+tbl_Bonds[[#This Row],[Real Mercado]])^(tbl_Bonds[[#This Row],[DU]]/252),tbl_Bonds[[#This Row],[FC]]/(1+tbl_Bonds[[#This Row],[Real Simulada]])^(tbl_Bonds[[#This Row],[DU]]/252))</f>
        <v>2.6506806781420551E-2</v>
      </c>
      <c r="P146" s="7">
        <f>tbl_Bonds[[#This Row],[Cotação]]*VNA</f>
        <v>104.84248684564328</v>
      </c>
      <c r="Q146" s="18">
        <f>tbl_Bonds[[#This Row],[Cotação]]%%*VNA</f>
        <v>1.0484248684564327E-2</v>
      </c>
      <c r="R14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-1.5868133302947989E-2</v>
      </c>
      <c r="S14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-1.5091406765664775E-2</v>
      </c>
      <c r="T14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1.6143678385705663E-2</v>
      </c>
      <c r="U146" s="18">
        <f>IF(curve_type="Mercado",tbl_Bonds[[#This Row],[VP Cupom]]*LN(1+tbl_Bonds[[#This Row],[Real Mercado]])/252,tbl_Bonds[[#This Row],[VP Cupom]]*LN(1+tbl_Bonds[[#This Row],[Real Simulada]])/252)</f>
        <v>2.804086744899854E-2</v>
      </c>
      <c r="V146" s="18">
        <f>SUMIF(Dashboard!$B$28:$B$42,tbl_Bonds[[#This Row],[Bond]],Dashboard!$C$28:$C$42)</f>
        <v>13940</v>
      </c>
      <c r="W146" s="18">
        <f>tbl_Bonds[[#This Row],[Quantidade]]*tbl_Bonds[[#This Row],[𝛿P/𝛿VNA]]</f>
        <v>146.1504266628267</v>
      </c>
      <c r="X146" s="18">
        <f>+tbl_Bonds[[#This Row],[Quantidade]]*tbl_Bonds[[#This Row],[𝛿P/𝛿r_real]]</f>
        <v>-221.20177824309496</v>
      </c>
      <c r="Y146" s="18">
        <f>tbl_Bonds[[#This Row],[Quantidade]]*tbl_Bonds[[#This Row],[𝛿P/𝛿r_pre]]</f>
        <v>-210.37421031336694</v>
      </c>
      <c r="Z146" s="18">
        <f>tbl_Bonds[[#This Row],[Quantidade]]*tbl_Bonds[[#This Row],[𝛿P/𝛿r_implicita]]</f>
        <v>225.04287669673695</v>
      </c>
      <c r="AA146" s="18">
        <f>tbl_Bonds[[#This Row],[Quantidade]]*tbl_Bonds[[#This Row],[𝛿P/𝛿du]]</f>
        <v>390.88969223903968</v>
      </c>
    </row>
    <row r="147" spans="1:27">
      <c r="A147" s="2" t="s">
        <v>86</v>
      </c>
      <c r="B147" s="3">
        <v>53097</v>
      </c>
      <c r="C147" s="3">
        <v>45614</v>
      </c>
      <c r="D147" s="4">
        <f>NETWORKDAYS(Dashboard!$C$10,bonds!C147,feriados)-1</f>
        <v>539</v>
      </c>
      <c r="E147" s="2">
        <f>IF(tbl_Bonds[[#This Row],[Coupon]]&lt;tbl_Bonds[[#This Row],[Maturity]],SQRT(1.06)-1,SQRT(1.06))</f>
        <v>2.9563014098699991E-2</v>
      </c>
      <c r="F147" s="5" cm="1">
        <f t="array" ref="F147">Svensson(betas_pre,tbl_Bonds[[#This Row],[DU]])</f>
        <v>0.1205205679154658</v>
      </c>
      <c r="G147" s="49">
        <f>IF(curve_type="Simulada",_xlfn.XLOOKUP(tbl_Bonds[[#This Row],[Coupon]],Simulador!$B$5:$B$147,Simulador!$H$5:$H$147),0)</f>
        <v>0</v>
      </c>
      <c r="H147" s="5" cm="1">
        <f t="array" ref="H14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0.1205205679154658</v>
      </c>
      <c r="I147" s="5" cm="1">
        <f t="array" ref="I147">Interpola_FF(tbl_Bonds[[#This Row],[DU]],dus_svensson,svensson_implicita)</f>
        <v>5.1902571978476253E-2</v>
      </c>
      <c r="J147" s="49">
        <f>IF(curve_type="Simulada",_xlfn.XLOOKUP(tbl_Bonds[[#This Row],[Coupon]],Simulador!$B$5:$B$147,Simulador!$N$5:$N$147),0)</f>
        <v>0</v>
      </c>
      <c r="K147" s="5" cm="1">
        <f t="array" ref="K14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5.1902571978476253E-2</v>
      </c>
      <c r="L147" s="5" cm="1">
        <f t="array" ref="L147">Interpola_FF(tbl_Bonds[[#This Row],[DU]],dus_svensson,svensson_real_spot)</f>
        <v>6.5232770467420487E-2</v>
      </c>
      <c r="M147" s="49">
        <f>IF(curve_type="Simulada",_xlfn.XLOOKUP(tbl_Bonds[[#This Row],[Coupon]],Simulador!$B$5:$B$147,Simulador!$K$5:$K$147),0)</f>
        <v>0</v>
      </c>
      <c r="N147" s="5" cm="1">
        <f t="array" ref="N14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6.5232770467420487E-2</v>
      </c>
      <c r="O147" s="6">
        <f>IF(curve_type="Mercado",tbl_Bonds[[#This Row],[FC]]/(1+tbl_Bonds[[#This Row],[Real Mercado]])^(tbl_Bonds[[#This Row],[DU]]/252),tbl_Bonds[[#This Row],[FC]]/(1+tbl_Bonds[[#This Row],[Real Simulada]])^(tbl_Bonds[[#This Row],[DU]]/252))</f>
        <v>2.582545221198981E-2</v>
      </c>
      <c r="P147" s="7">
        <f>tbl_Bonds[[#This Row],[Cotação]]*VNA</f>
        <v>102.147522187251</v>
      </c>
      <c r="Q147" s="18">
        <f>tbl_Bonds[[#This Row],[Cotação]]%%*VNA</f>
        <v>1.0214752218725099E-2</v>
      </c>
      <c r="R14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-2.0510277780693243E-2</v>
      </c>
      <c r="S14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-1.9498296117425307E-2</v>
      </c>
      <c r="T14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2.0770214296356313E-2</v>
      </c>
      <c r="U147" s="18">
        <f>IF(curve_type="Mercado",tbl_Bonds[[#This Row],[VP Cupom]]*LN(1+tbl_Bonds[[#This Row],[Real Mercado]])/252,tbl_Bonds[[#This Row],[VP Cupom]]*LN(1+tbl_Bonds[[#This Row],[Real Simulada]])/252)</f>
        <v>2.5615250030549975E-2</v>
      </c>
      <c r="V147" s="18">
        <f>SUMIF(Dashboard!$B$28:$B$42,tbl_Bonds[[#This Row],[Bond]],Dashboard!$C$28:$C$42)</f>
        <v>13940</v>
      </c>
      <c r="W147" s="18">
        <f>tbl_Bonds[[#This Row],[Quantidade]]*tbl_Bonds[[#This Row],[𝛿P/𝛿VNA]]</f>
        <v>142.39364592902788</v>
      </c>
      <c r="X147" s="18">
        <f>+tbl_Bonds[[#This Row],[Quantidade]]*tbl_Bonds[[#This Row],[𝛿P/𝛿r_real]]</f>
        <v>-285.91327226286381</v>
      </c>
      <c r="Y147" s="18">
        <f>tbl_Bonds[[#This Row],[Quantidade]]*tbl_Bonds[[#This Row],[𝛿P/𝛿r_pre]]</f>
        <v>-271.8062478769088</v>
      </c>
      <c r="Z147" s="18">
        <f>tbl_Bonds[[#This Row],[Quantidade]]*tbl_Bonds[[#This Row],[𝛿P/𝛿r_implicita]]</f>
        <v>289.53678729120702</v>
      </c>
      <c r="AA147" s="18">
        <f>tbl_Bonds[[#This Row],[Quantidade]]*tbl_Bonds[[#This Row],[𝛿P/𝛿du]]</f>
        <v>357.07658542586665</v>
      </c>
    </row>
    <row r="148" spans="1:27">
      <c r="A148" s="2" t="s">
        <v>86</v>
      </c>
      <c r="B148" s="3">
        <v>53097</v>
      </c>
      <c r="C148" s="3">
        <v>45792</v>
      </c>
      <c r="D148" s="4">
        <f>NETWORKDAYS(Dashboard!$C$10,bonds!C148,feriados)-1</f>
        <v>660</v>
      </c>
      <c r="E148" s="2">
        <f>IF(tbl_Bonds[[#This Row],[Coupon]]&lt;tbl_Bonds[[#This Row],[Maturity]],SQRT(1.06)-1,SQRT(1.06))</f>
        <v>2.9563014098699991E-2</v>
      </c>
      <c r="F148" s="5" cm="1">
        <f t="array" ref="F148">Svensson(betas_pre,tbl_Bonds[[#This Row],[DU]])</f>
        <v>0.11818582291207119</v>
      </c>
      <c r="G148" s="49">
        <f>IF(curve_type="Simulada",_xlfn.XLOOKUP(tbl_Bonds[[#This Row],[Coupon]],Simulador!$B$5:$B$147,Simulador!$H$5:$H$147),0)</f>
        <v>0</v>
      </c>
      <c r="H148" s="5" cm="1">
        <f t="array" ref="H14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0.11818582291207119</v>
      </c>
      <c r="I148" s="5" cm="1">
        <f t="array" ref="I148">Interpola_FF(tbl_Bonds[[#This Row],[DU]],dus_svensson,svensson_implicita)</f>
        <v>5.2626601395276529E-2</v>
      </c>
      <c r="J148" s="49">
        <f>IF(curve_type="Simulada",_xlfn.XLOOKUP(tbl_Bonds[[#This Row],[Coupon]],Simulador!$B$5:$B$147,Simulador!$N$5:$N$147),0)</f>
        <v>0</v>
      </c>
      <c r="K148" s="5" cm="1">
        <f t="array" ref="K14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5.2626601395276529E-2</v>
      </c>
      <c r="L148" s="5" cm="1">
        <f t="array" ref="L148">Interpola_FF(tbl_Bonds[[#This Row],[DU]],dus_svensson,svensson_real_spot)</f>
        <v>6.2283233879442124E-2</v>
      </c>
      <c r="M148" s="49">
        <f>IF(curve_type="Simulada",_xlfn.XLOOKUP(tbl_Bonds[[#This Row],[Coupon]],Simulador!$B$5:$B$147,Simulador!$K$5:$K$147),0)</f>
        <v>0</v>
      </c>
      <c r="N148" s="5" cm="1">
        <f t="array" ref="N14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6.2283233879442124E-2</v>
      </c>
      <c r="O148" s="6">
        <f>IF(curve_type="Mercado",tbl_Bonds[[#This Row],[FC]]/(1+tbl_Bonds[[#This Row],[Real Mercado]])^(tbl_Bonds[[#This Row],[DU]]/252),tbl_Bonds[[#This Row],[FC]]/(1+tbl_Bonds[[#This Row],[Real Simulada]])^(tbl_Bonds[[#This Row],[DU]]/252))</f>
        <v>2.5236204875844076E-2</v>
      </c>
      <c r="P148" s="7">
        <f>tbl_Bonds[[#This Row],[Cotação]]*VNA</f>
        <v>99.816869664745283</v>
      </c>
      <c r="Q148" s="18">
        <f>tbl_Bonds[[#This Row],[Cotação]]%%*VNA</f>
        <v>9.9816869664745272E-3</v>
      </c>
      <c r="R14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-2.4609739333032402E-2</v>
      </c>
      <c r="S14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-2.3379496647249337E-2</v>
      </c>
      <c r="T14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2.4835608052391964E-2</v>
      </c>
      <c r="U148" s="18">
        <f>IF(curve_type="Mercado",tbl_Bonds[[#This Row],[VP Cupom]]*LN(1+tbl_Bonds[[#This Row],[Real Mercado]])/252,tbl_Bonds[[#This Row],[VP Cupom]]*LN(1+tbl_Bonds[[#This Row],[Real Simulada]])/252)</f>
        <v>2.3932514844771872E-2</v>
      </c>
      <c r="V148" s="18">
        <f>SUMIF(Dashboard!$B$28:$B$42,tbl_Bonds[[#This Row],[Bond]],Dashboard!$C$28:$C$42)</f>
        <v>13940</v>
      </c>
      <c r="W148" s="18">
        <f>tbl_Bonds[[#This Row],[Quantidade]]*tbl_Bonds[[#This Row],[𝛿P/𝛿VNA]]</f>
        <v>139.14471631265491</v>
      </c>
      <c r="X148" s="18">
        <f>+tbl_Bonds[[#This Row],[Quantidade]]*tbl_Bonds[[#This Row],[𝛿P/𝛿r_real]]</f>
        <v>-343.0597663024717</v>
      </c>
      <c r="Y148" s="18">
        <f>tbl_Bonds[[#This Row],[Quantidade]]*tbl_Bonds[[#This Row],[𝛿P/𝛿r_pre]]</f>
        <v>-325.91018326265578</v>
      </c>
      <c r="Z148" s="18">
        <f>tbl_Bonds[[#This Row],[Quantidade]]*tbl_Bonds[[#This Row],[𝛿P/𝛿r_implicita]]</f>
        <v>346.20837625034397</v>
      </c>
      <c r="AA148" s="18">
        <f>tbl_Bonds[[#This Row],[Quantidade]]*tbl_Bonds[[#This Row],[𝛿P/𝛿du]]</f>
        <v>333.61925693611988</v>
      </c>
    </row>
    <row r="149" spans="1:27">
      <c r="A149" s="2" t="s">
        <v>86</v>
      </c>
      <c r="B149" s="3">
        <v>53097</v>
      </c>
      <c r="C149" s="3">
        <v>45978</v>
      </c>
      <c r="D149" s="4">
        <f>NETWORKDAYS(Dashboard!$C$10,bonds!C149,feriados)-1</f>
        <v>791</v>
      </c>
      <c r="E149" s="2">
        <f>IF(tbl_Bonds[[#This Row],[Coupon]]&lt;tbl_Bonds[[#This Row],[Maturity]],SQRT(1.06)-1,SQRT(1.06))</f>
        <v>2.9563014098699991E-2</v>
      </c>
      <c r="F149" s="5" cm="1">
        <f t="array" ref="F149">Svensson(betas_pre,tbl_Bonds[[#This Row],[DU]])</f>
        <v>0.11689729255746713</v>
      </c>
      <c r="G149" s="49">
        <f>IF(curve_type="Simulada",_xlfn.XLOOKUP(tbl_Bonds[[#This Row],[Coupon]],Simulador!$B$5:$B$147,Simulador!$H$5:$H$147),0)</f>
        <v>0</v>
      </c>
      <c r="H149" s="5" cm="1">
        <f t="array" ref="H14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0.11689729255746713</v>
      </c>
      <c r="I149" s="5" cm="1">
        <f t="array" ref="I149">Interpola_FF(tbl_Bonds[[#This Row],[DU]],dus_svensson,svensson_implicita)</f>
        <v>5.3651431773697356E-2</v>
      </c>
      <c r="J149" s="49">
        <f>IF(curve_type="Simulada",_xlfn.XLOOKUP(tbl_Bonds[[#This Row],[Coupon]],Simulador!$B$5:$B$147,Simulador!$N$5:$N$147),0)</f>
        <v>0</v>
      </c>
      <c r="K149" s="5" cm="1">
        <f t="array" ref="K14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5.3651431773697356E-2</v>
      </c>
      <c r="L149" s="5" cm="1">
        <f t="array" ref="L149">Interpola_FF(tbl_Bonds[[#This Row],[DU]],dus_svensson,svensson_real_spot)</f>
        <v>6.0071388550429816E-2</v>
      </c>
      <c r="M149" s="49">
        <f>IF(curve_type="Simulada",_xlfn.XLOOKUP(tbl_Bonds[[#This Row],[Coupon]],Simulador!$B$5:$B$147,Simulador!$K$5:$K$147),0)</f>
        <v>0</v>
      </c>
      <c r="N149" s="5" cm="1">
        <f t="array" ref="N14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6.0071388550429816E-2</v>
      </c>
      <c r="O149" s="6">
        <f>IF(curve_type="Mercado",tbl_Bonds[[#This Row],[FC]]/(1+tbl_Bonds[[#This Row],[Real Mercado]])^(tbl_Bonds[[#This Row],[DU]]/252),tbl_Bonds[[#This Row],[FC]]/(1+tbl_Bonds[[#This Row],[Real Simulada]])^(tbl_Bonds[[#This Row],[DU]]/252))</f>
        <v>2.4616403711601106E-2</v>
      </c>
      <c r="P149" s="7">
        <f>tbl_Bonds[[#This Row],[Cotação]]*VNA</f>
        <v>97.365367454580706</v>
      </c>
      <c r="Q149" s="18">
        <f>tbl_Bonds[[#This Row],[Cotação]]%%*VNA</f>
        <v>9.7365367454580708E-3</v>
      </c>
      <c r="R14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-2.883004610507213E-2</v>
      </c>
      <c r="S14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-2.7366946131968849E-2</v>
      </c>
      <c r="T14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2.9009658335401964E-2</v>
      </c>
      <c r="U149" s="18">
        <f>IF(curve_type="Mercado",tbl_Bonds[[#This Row],[VP Cupom]]*LN(1+tbl_Bonds[[#This Row],[Real Mercado]])/252,tbl_Bonds[[#This Row],[VP Cupom]]*LN(1+tbl_Bonds[[#This Row],[Real Simulada]])/252)</f>
        <v>2.2539407787152282E-2</v>
      </c>
      <c r="V149" s="18">
        <f>SUMIF(Dashboard!$B$28:$B$42,tbl_Bonds[[#This Row],[Bond]],Dashboard!$C$28:$C$42)</f>
        <v>13940</v>
      </c>
      <c r="W149" s="18">
        <f>tbl_Bonds[[#This Row],[Quantidade]]*tbl_Bonds[[#This Row],[𝛿P/𝛿VNA]]</f>
        <v>135.72732223168552</v>
      </c>
      <c r="X149" s="18">
        <f>+tbl_Bonds[[#This Row],[Quantidade]]*tbl_Bonds[[#This Row],[𝛿P/𝛿r_real]]</f>
        <v>-401.89084270470551</v>
      </c>
      <c r="Y149" s="18">
        <f>tbl_Bonds[[#This Row],[Quantidade]]*tbl_Bonds[[#This Row],[𝛿P/𝛿r_pre]]</f>
        <v>-381.49522907964575</v>
      </c>
      <c r="Z149" s="18">
        <f>tbl_Bonds[[#This Row],[Quantidade]]*tbl_Bonds[[#This Row],[𝛿P/𝛿r_implicita]]</f>
        <v>404.39463719550338</v>
      </c>
      <c r="AA149" s="18">
        <f>tbl_Bonds[[#This Row],[Quantidade]]*tbl_Bonds[[#This Row],[𝛿P/𝛿du]]</f>
        <v>314.1993445529028</v>
      </c>
    </row>
    <row r="150" spans="1:27">
      <c r="A150" s="2" t="s">
        <v>86</v>
      </c>
      <c r="B150" s="3">
        <v>53097</v>
      </c>
      <c r="C150" s="3">
        <v>46157</v>
      </c>
      <c r="D150" s="4">
        <f>NETWORKDAYS(Dashboard!$C$10,bonds!C150,feriados)-1</f>
        <v>913</v>
      </c>
      <c r="E150" s="2">
        <f>IF(tbl_Bonds[[#This Row],[Coupon]]&lt;tbl_Bonds[[#This Row],[Maturity]],SQRT(1.06)-1,SQRT(1.06))</f>
        <v>2.9563014098699991E-2</v>
      </c>
      <c r="F150" s="5" cm="1">
        <f t="array" ref="F150">Svensson(betas_pre,tbl_Bonds[[#This Row],[DU]])</f>
        <v>0.11643527123250733</v>
      </c>
      <c r="G150" s="49">
        <f>IF(curve_type="Simulada",_xlfn.XLOOKUP(tbl_Bonds[[#This Row],[Coupon]],Simulador!$B$5:$B$147,Simulador!$H$5:$H$147),0)</f>
        <v>0</v>
      </c>
      <c r="H150" s="5" cm="1">
        <f t="array" ref="H15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0.11643527123250733</v>
      </c>
      <c r="I150" s="5" cm="1">
        <f t="array" ref="I150">Interpola_FF(tbl_Bonds[[#This Row],[DU]],dus_svensson,svensson_implicita)</f>
        <v>5.4589692520684352E-2</v>
      </c>
      <c r="J150" s="49">
        <f>IF(curve_type="Simulada",_xlfn.XLOOKUP(tbl_Bonds[[#This Row],[Coupon]],Simulador!$B$5:$B$147,Simulador!$N$5:$N$147),0)</f>
        <v>0</v>
      </c>
      <c r="K150" s="5" cm="1">
        <f t="array" ref="K15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5.4589692520684352E-2</v>
      </c>
      <c r="L150" s="5" cm="1">
        <f t="array" ref="L150">Interpola_FF(tbl_Bonds[[#This Row],[DU]],dus_svensson,svensson_real_spot)</f>
        <v>5.8675502773394728E-2</v>
      </c>
      <c r="M150" s="49">
        <f>IF(curve_type="Simulada",_xlfn.XLOOKUP(tbl_Bonds[[#This Row],[Coupon]],Simulador!$B$5:$B$147,Simulador!$K$5:$K$147),0)</f>
        <v>0</v>
      </c>
      <c r="N150" s="5" cm="1">
        <f t="array" ref="N15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5.8675502773394728E-2</v>
      </c>
      <c r="O150" s="6">
        <f>IF(curve_type="Mercado",tbl_Bonds[[#This Row],[FC]]/(1+tbl_Bonds[[#This Row],[Real Mercado]])^(tbl_Bonds[[#This Row],[DU]]/252),tbl_Bonds[[#This Row],[FC]]/(1+tbl_Bonds[[#This Row],[Real Simulada]])^(tbl_Bonds[[#This Row],[DU]]/252))</f>
        <v>2.4045425231161977E-2</v>
      </c>
      <c r="P150" s="7">
        <f>tbl_Bonds[[#This Row],[Cotação]]*VNA</f>
        <v>95.106973815610033</v>
      </c>
      <c r="Q150" s="18">
        <f>tbl_Bonds[[#This Row],[Cotação]]%%*VNA</f>
        <v>9.5106973815610035E-3</v>
      </c>
      <c r="R15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-3.2547657413984278E-2</v>
      </c>
      <c r="S15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-3.0867081019489678E-2</v>
      </c>
      <c r="T15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3.2677256580974812E-2</v>
      </c>
      <c r="U150" s="18">
        <f>IF(curve_type="Mercado",tbl_Bonds[[#This Row],[VP Cupom]]*LN(1+tbl_Bonds[[#This Row],[Real Mercado]])/252,tbl_Bonds[[#This Row],[VP Cupom]]*LN(1+tbl_Bonds[[#This Row],[Real Simulada]])/252)</f>
        <v>2.1519311923447255E-2</v>
      </c>
      <c r="V150" s="18">
        <f>SUMIF(Dashboard!$B$28:$B$42,tbl_Bonds[[#This Row],[Bond]],Dashboard!$C$28:$C$42)</f>
        <v>13940</v>
      </c>
      <c r="W150" s="18">
        <f>tbl_Bonds[[#This Row],[Quantidade]]*tbl_Bonds[[#This Row],[𝛿P/𝛿VNA]]</f>
        <v>132.57912149896038</v>
      </c>
      <c r="X150" s="18">
        <f>+tbl_Bonds[[#This Row],[Quantidade]]*tbl_Bonds[[#This Row],[𝛿P/𝛿r_real]]</f>
        <v>-453.71434435094085</v>
      </c>
      <c r="Y150" s="18">
        <f>tbl_Bonds[[#This Row],[Quantidade]]*tbl_Bonds[[#This Row],[𝛿P/𝛿r_pre]]</f>
        <v>-430.28710941168612</v>
      </c>
      <c r="Z150" s="18">
        <f>tbl_Bonds[[#This Row],[Quantidade]]*tbl_Bonds[[#This Row],[𝛿P/𝛿r_implicita]]</f>
        <v>455.52095673878887</v>
      </c>
      <c r="AA150" s="18">
        <f>tbl_Bonds[[#This Row],[Quantidade]]*tbl_Bonds[[#This Row],[𝛿P/𝛿du]]</f>
        <v>299.97920821285476</v>
      </c>
    </row>
    <row r="151" spans="1:27">
      <c r="A151" s="2" t="s">
        <v>86</v>
      </c>
      <c r="B151" s="3">
        <v>53097</v>
      </c>
      <c r="C151" s="3">
        <v>46342</v>
      </c>
      <c r="D151" s="4">
        <f>NETWORKDAYS(Dashboard!$C$10,bonds!C151,feriados)-1</f>
        <v>1040</v>
      </c>
      <c r="E151" s="2">
        <f>IF(tbl_Bonds[[#This Row],[Coupon]]&lt;tbl_Bonds[[#This Row],[Maturity]],SQRT(1.06)-1,SQRT(1.06))</f>
        <v>2.9563014098699991E-2</v>
      </c>
      <c r="F151" s="5" cm="1">
        <f t="array" ref="F151">Svensson(betas_pre,tbl_Bonds[[#This Row],[DU]])</f>
        <v>0.11639008955215797</v>
      </c>
      <c r="G151" s="49">
        <f>IF(curve_type="Simulada",_xlfn.XLOOKUP(tbl_Bonds[[#This Row],[Coupon]],Simulador!$B$5:$B$147,Simulador!$H$5:$H$147),0)</f>
        <v>0</v>
      </c>
      <c r="H151" s="5" cm="1">
        <f t="array" ref="H15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0.11639008955215797</v>
      </c>
      <c r="I151" s="5" cm="1">
        <f t="array" ref="I151">Interpola_FF(tbl_Bonds[[#This Row],[DU]],dus_svensson,svensson_implicita)</f>
        <v>5.5484848781022444E-2</v>
      </c>
      <c r="J151" s="49">
        <f>IF(curve_type="Simulada",_xlfn.XLOOKUP(tbl_Bonds[[#This Row],[Coupon]],Simulador!$B$5:$B$147,Simulador!$N$5:$N$147),0)</f>
        <v>0</v>
      </c>
      <c r="K151" s="5" cm="1">
        <f t="array" ref="K15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5.5484848781022444E-2</v>
      </c>
      <c r="L151" s="5" cm="1">
        <f t="array" ref="L151">Interpola_FF(tbl_Bonds[[#This Row],[DU]],dus_svensson,svensson_real_spot)</f>
        <v>5.7724810900317891E-2</v>
      </c>
      <c r="M151" s="49">
        <f>IF(curve_type="Simulada",_xlfn.XLOOKUP(tbl_Bonds[[#This Row],[Coupon]],Simulador!$B$5:$B$147,Simulador!$K$5:$K$147),0)</f>
        <v>0</v>
      </c>
      <c r="N151" s="5" cm="1">
        <f t="array" ref="N15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5.7724810900317891E-2</v>
      </c>
      <c r="O151" s="6">
        <f>IF(curve_type="Mercado",tbl_Bonds[[#This Row],[FC]]/(1+tbl_Bonds[[#This Row],[Real Mercado]])^(tbl_Bonds[[#This Row],[DU]]/252),tbl_Bonds[[#This Row],[FC]]/(1+tbl_Bonds[[#This Row],[Real Simulada]])^(tbl_Bonds[[#This Row],[DU]]/252))</f>
        <v>2.3451088136767103E-2</v>
      </c>
      <c r="P151" s="7">
        <f>tbl_Bonds[[#This Row],[Cotação]]*VNA</f>
        <v>92.756189750414791</v>
      </c>
      <c r="Q151" s="18">
        <f>tbl_Bonds[[#This Row],[Cotação]]%%*VNA</f>
        <v>9.2756189750414809E-3</v>
      </c>
      <c r="R15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-3.6191201986994492E-2</v>
      </c>
      <c r="S15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-3.429222973932803E-2</v>
      </c>
      <c r="T15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3.6271013718335375E-2</v>
      </c>
      <c r="U151" s="18">
        <f>IF(curve_type="Mercado",tbl_Bonds[[#This Row],[VP Cupom]]*LN(1+tbl_Bonds[[#This Row],[Real Mercado]])/252,tbl_Bonds[[#This Row],[VP Cupom]]*LN(1+tbl_Bonds[[#This Row],[Real Simulada]])/252)</f>
        <v>2.0656728547456874E-2</v>
      </c>
      <c r="V151" s="18">
        <f>SUMIF(Dashboard!$B$28:$B$42,tbl_Bonds[[#This Row],[Bond]],Dashboard!$C$28:$C$42)</f>
        <v>13940</v>
      </c>
      <c r="W151" s="18">
        <f>tbl_Bonds[[#This Row],[Quantidade]]*tbl_Bonds[[#This Row],[𝛿P/𝛿VNA]]</f>
        <v>129.30212851207824</v>
      </c>
      <c r="X151" s="18">
        <f>+tbl_Bonds[[#This Row],[Quantidade]]*tbl_Bonds[[#This Row],[𝛿P/𝛿r_real]]</f>
        <v>-504.50535569870323</v>
      </c>
      <c r="Y151" s="18">
        <f>tbl_Bonds[[#This Row],[Quantidade]]*tbl_Bonds[[#This Row],[𝛿P/𝛿r_pre]]</f>
        <v>-478.03368256623276</v>
      </c>
      <c r="Z151" s="18">
        <f>tbl_Bonds[[#This Row],[Quantidade]]*tbl_Bonds[[#This Row],[𝛿P/𝛿r_implicita]]</f>
        <v>505.61793123359513</v>
      </c>
      <c r="AA151" s="18">
        <f>tbl_Bonds[[#This Row],[Quantidade]]*tbl_Bonds[[#This Row],[𝛿P/𝛿du]]</f>
        <v>287.95479595154882</v>
      </c>
    </row>
    <row r="152" spans="1:27">
      <c r="A152" s="2" t="s">
        <v>86</v>
      </c>
      <c r="B152" s="3">
        <v>53097</v>
      </c>
      <c r="C152" s="3">
        <v>46524</v>
      </c>
      <c r="D152" s="4">
        <f>NETWORKDAYS(Dashboard!$C$10,bonds!C152,feriados)-1</f>
        <v>1164</v>
      </c>
      <c r="E152" s="2">
        <f>IF(tbl_Bonds[[#This Row],[Coupon]]&lt;tbl_Bonds[[#This Row],[Maturity]],SQRT(1.06)-1,SQRT(1.06))</f>
        <v>2.9563014098699991E-2</v>
      </c>
      <c r="F152" s="5" cm="1">
        <f t="array" ref="F152">Svensson(betas_pre,tbl_Bonds[[#This Row],[DU]])</f>
        <v>0.11657438368857059</v>
      </c>
      <c r="G152" s="49">
        <f>IF(curve_type="Simulada",_xlfn.XLOOKUP(tbl_Bonds[[#This Row],[Coupon]],Simulador!$B$5:$B$147,Simulador!$H$5:$H$147),0)</f>
        <v>0</v>
      </c>
      <c r="H152" s="5" cm="1">
        <f t="array" ref="H15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0.11657438368857059</v>
      </c>
      <c r="I152" s="5" cm="1">
        <f t="array" ref="I152">Interpola_FF(tbl_Bonds[[#This Row],[DU]],dus_svensson,svensson_implicita)</f>
        <v>5.6218908932760714E-2</v>
      </c>
      <c r="J152" s="49">
        <f>IF(curve_type="Simulada",_xlfn.XLOOKUP(tbl_Bonds[[#This Row],[Coupon]],Simulador!$B$5:$B$147,Simulador!$N$5:$N$147),0)</f>
        <v>0</v>
      </c>
      <c r="K152" s="5" cm="1">
        <f t="array" ref="K15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5.6218908932760714E-2</v>
      </c>
      <c r="L152" s="5" cm="1">
        <f t="array" ref="L152">Interpola_FF(tbl_Bonds[[#This Row],[DU]],dus_svensson,svensson_real_spot)</f>
        <v>5.715583461245699E-2</v>
      </c>
      <c r="M152" s="49">
        <f>IF(curve_type="Simulada",_xlfn.XLOOKUP(tbl_Bonds[[#This Row],[Coupon]],Simulador!$B$5:$B$147,Simulador!$K$5:$K$147),0)</f>
        <v>0</v>
      </c>
      <c r="N152" s="5" cm="1">
        <f t="array" ref="N15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5.715583461245699E-2</v>
      </c>
      <c r="O152" s="6">
        <f>IF(curve_type="Mercado",tbl_Bonds[[#This Row],[FC]]/(1+tbl_Bonds[[#This Row],[Real Mercado]])^(tbl_Bonds[[#This Row],[DU]]/252),tbl_Bonds[[#This Row],[FC]]/(1+tbl_Bonds[[#This Row],[Real Simulada]])^(tbl_Bonds[[#This Row],[DU]]/252))</f>
        <v>2.2869120816788407E-2</v>
      </c>
      <c r="P152" s="7">
        <f>tbl_Bonds[[#This Row],[Cotação]]*VNA</f>
        <v>90.454331907159684</v>
      </c>
      <c r="Q152" s="18">
        <f>tbl_Bonds[[#This Row],[Cotação]]%%*VNA</f>
        <v>9.0454331907159676E-3</v>
      </c>
      <c r="R15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-3.9522353540381784E-2</v>
      </c>
      <c r="S15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-3.7421275004550628E-2</v>
      </c>
      <c r="T15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3.9559637421437782E-2</v>
      </c>
      <c r="U152" s="18">
        <f>IF(curve_type="Mercado",tbl_Bonds[[#This Row],[VP Cupom]]*LN(1+tbl_Bonds[[#This Row],[Real Mercado]])/252,tbl_Bonds[[#This Row],[VP Cupom]]*LN(1+tbl_Bonds[[#This Row],[Real Simulada]])/252)</f>
        <v>1.9950968926875819E-2</v>
      </c>
      <c r="V152" s="18">
        <f>SUMIF(Dashboard!$B$28:$B$42,tbl_Bonds[[#This Row],[Bond]],Dashboard!$C$28:$C$42)</f>
        <v>13940</v>
      </c>
      <c r="W152" s="18">
        <f>tbl_Bonds[[#This Row],[Quantidade]]*tbl_Bonds[[#This Row],[𝛿P/𝛿VNA]]</f>
        <v>126.09333867858059</v>
      </c>
      <c r="X152" s="18">
        <f>+tbl_Bonds[[#This Row],[Quantidade]]*tbl_Bonds[[#This Row],[𝛿P/𝛿r_real]]</f>
        <v>-550.94160835292212</v>
      </c>
      <c r="Y152" s="18">
        <f>tbl_Bonds[[#This Row],[Quantidade]]*tbl_Bonds[[#This Row],[𝛿P/𝛿r_pre]]</f>
        <v>-521.65257356343579</v>
      </c>
      <c r="Z152" s="18">
        <f>tbl_Bonds[[#This Row],[Quantidade]]*tbl_Bonds[[#This Row],[𝛿P/𝛿r_implicita]]</f>
        <v>551.46134565484272</v>
      </c>
      <c r="AA152" s="18">
        <f>tbl_Bonds[[#This Row],[Quantidade]]*tbl_Bonds[[#This Row],[𝛿P/𝛿du]]</f>
        <v>278.11650684064892</v>
      </c>
    </row>
    <row r="153" spans="1:27">
      <c r="A153" s="2" t="s">
        <v>86</v>
      </c>
      <c r="B153" s="3">
        <v>53097</v>
      </c>
      <c r="C153" s="3">
        <v>46707</v>
      </c>
      <c r="D153" s="4">
        <f>NETWORKDAYS(Dashboard!$C$10,bonds!C153,feriados)-1</f>
        <v>1290</v>
      </c>
      <c r="E153" s="2">
        <f>IF(tbl_Bonds[[#This Row],[Coupon]]&lt;tbl_Bonds[[#This Row],[Maturity]],SQRT(1.06)-1,SQRT(1.06))</f>
        <v>2.9563014098699991E-2</v>
      </c>
      <c r="F153" s="5" cm="1">
        <f t="array" ref="F153">Svensson(betas_pre,tbl_Bonds[[#This Row],[DU]])</f>
        <v>0.11686894003503029</v>
      </c>
      <c r="G153" s="49">
        <f>IF(curve_type="Simulada",_xlfn.XLOOKUP(tbl_Bonds[[#This Row],[Coupon]],Simulador!$B$5:$B$147,Simulador!$H$5:$H$147),0)</f>
        <v>0</v>
      </c>
      <c r="H153" s="5" cm="1">
        <f t="array" ref="H15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0.11686894003503029</v>
      </c>
      <c r="I153" s="5" cm="1">
        <f t="array" ref="I153">Interpola_FF(tbl_Bonds[[#This Row],[DU]],dus_svensson,svensson_implicita)</f>
        <v>5.6808529739978075E-2</v>
      </c>
      <c r="J153" s="49">
        <f>IF(curve_type="Simulada",_xlfn.XLOOKUP(tbl_Bonds[[#This Row],[Coupon]],Simulador!$B$5:$B$147,Simulador!$N$5:$N$147),0)</f>
        <v>0</v>
      </c>
      <c r="K153" s="5" cm="1">
        <f t="array" ref="K15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5.6808529739978075E-2</v>
      </c>
      <c r="L153" s="5" cm="1">
        <f t="array" ref="L153">Interpola_FF(tbl_Bonds[[#This Row],[DU]],dus_svensson,svensson_real_spot)</f>
        <v>5.6839715309690009E-2</v>
      </c>
      <c r="M153" s="49">
        <f>IF(curve_type="Simulada",_xlfn.XLOOKUP(tbl_Bonds[[#This Row],[Coupon]],Simulador!$B$5:$B$147,Simulador!$K$5:$K$147),0)</f>
        <v>0</v>
      </c>
      <c r="N153" s="5" cm="1">
        <f t="array" ref="N15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5.6839715309690009E-2</v>
      </c>
      <c r="O153" s="6">
        <f>IF(curve_type="Mercado",tbl_Bonds[[#This Row],[FC]]/(1+tbl_Bonds[[#This Row],[Real Mercado]])^(tbl_Bonds[[#This Row],[DU]]/252),tbl_Bonds[[#This Row],[FC]]/(1+tbl_Bonds[[#This Row],[Real Simulada]])^(tbl_Bonds[[#This Row],[DU]]/252))</f>
        <v>2.2276392136812775E-2</v>
      </c>
      <c r="P153" s="7">
        <f>tbl_Bonds[[#This Row],[Cotação]]*VNA</f>
        <v>88.109909610433292</v>
      </c>
      <c r="Q153" s="18">
        <f>tbl_Bonds[[#This Row],[Cotação]]%%*VNA</f>
        <v>8.8109909610433277E-3</v>
      </c>
      <c r="R15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-4.2678072793055445E-2</v>
      </c>
      <c r="S15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-4.0385754851421457E-2</v>
      </c>
      <c r="T15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4.2680953024214943E-2</v>
      </c>
      <c r="U153" s="18">
        <f>IF(curve_type="Mercado",tbl_Bonds[[#This Row],[VP Cupom]]*LN(1+tbl_Bonds[[#This Row],[Real Mercado]])/252,tbl_Bonds[[#This Row],[VP Cupom]]*LN(1+tbl_Bonds[[#This Row],[Real Simulada]])/252)</f>
        <v>1.9329305208177574E-2</v>
      </c>
      <c r="V153" s="18">
        <f>SUMIF(Dashboard!$B$28:$B$42,tbl_Bonds[[#This Row],[Bond]],Dashboard!$C$28:$C$42)</f>
        <v>13940</v>
      </c>
      <c r="W153" s="18">
        <f>tbl_Bonds[[#This Row],[Quantidade]]*tbl_Bonds[[#This Row],[𝛿P/𝛿VNA]]</f>
        <v>122.82521399694399</v>
      </c>
      <c r="X153" s="18">
        <f>+tbl_Bonds[[#This Row],[Quantidade]]*tbl_Bonds[[#This Row],[𝛿P/𝛿r_real]]</f>
        <v>-594.93233473519285</v>
      </c>
      <c r="Y153" s="18">
        <f>tbl_Bonds[[#This Row],[Quantidade]]*tbl_Bonds[[#This Row],[𝛿P/𝛿r_pre]]</f>
        <v>-562.97742262881513</v>
      </c>
      <c r="Z153" s="18">
        <f>tbl_Bonds[[#This Row],[Quantidade]]*tbl_Bonds[[#This Row],[𝛿P/𝛿r_implicita]]</f>
        <v>594.97248515755632</v>
      </c>
      <c r="AA153" s="18">
        <f>tbl_Bonds[[#This Row],[Quantidade]]*tbl_Bonds[[#This Row],[𝛿P/𝛿du]]</f>
        <v>269.45051460199539</v>
      </c>
    </row>
    <row r="154" spans="1:27">
      <c r="A154" s="2" t="s">
        <v>86</v>
      </c>
      <c r="B154" s="3">
        <v>53097</v>
      </c>
      <c r="C154" s="3">
        <v>46888</v>
      </c>
      <c r="D154" s="4">
        <f>NETWORKDAYS(Dashboard!$C$10,bonds!C154,feriados)-1</f>
        <v>1414</v>
      </c>
      <c r="E154" s="2">
        <f>IF(tbl_Bonds[[#This Row],[Coupon]]&lt;tbl_Bonds[[#This Row],[Maturity]],SQRT(1.06)-1,SQRT(1.06))</f>
        <v>2.9563014098699991E-2</v>
      </c>
      <c r="F154" s="5" cm="1">
        <f t="array" ref="F154">Svensson(betas_pre,tbl_Bonds[[#This Row],[DU]])</f>
        <v>0.11719588464999479</v>
      </c>
      <c r="G154" s="49">
        <f>IF(curve_type="Simulada",_xlfn.XLOOKUP(tbl_Bonds[[#This Row],[Coupon]],Simulador!$B$5:$B$147,Simulador!$H$5:$H$147),0)</f>
        <v>0</v>
      </c>
      <c r="H154" s="5" cm="1">
        <f t="array" ref="H15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0.11719588464999479</v>
      </c>
      <c r="I154" s="5" cm="1">
        <f t="array" ref="I154">Interpola_FF(tbl_Bonds[[#This Row],[DU]],dus_svensson,svensson_implicita)</f>
        <v>5.724503337137854E-2</v>
      </c>
      <c r="J154" s="49">
        <f>IF(curve_type="Simulada",_xlfn.XLOOKUP(tbl_Bonds[[#This Row],[Coupon]],Simulador!$B$5:$B$147,Simulador!$N$5:$N$147),0)</f>
        <v>0</v>
      </c>
      <c r="K154" s="5" cm="1">
        <f t="array" ref="K15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5.724503337137854E-2</v>
      </c>
      <c r="L154" s="5" cm="1">
        <f t="array" ref="L154">Interpola_FF(tbl_Bonds[[#This Row],[DU]],dus_svensson,svensson_real_spot)</f>
        <v>5.6709240208270062E-2</v>
      </c>
      <c r="M154" s="49">
        <f>IF(curve_type="Simulada",_xlfn.XLOOKUP(tbl_Bonds[[#This Row],[Coupon]],Simulador!$B$5:$B$147,Simulador!$K$5:$K$147),0)</f>
        <v>0</v>
      </c>
      <c r="N154" s="5" cm="1">
        <f t="array" ref="N15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5.6709240208270062E-2</v>
      </c>
      <c r="O154" s="6">
        <f>IF(curve_type="Mercado",tbl_Bonds[[#This Row],[FC]]/(1+tbl_Bonds[[#This Row],[Real Mercado]])^(tbl_Bonds[[#This Row],[DU]]/252),tbl_Bonds[[#This Row],[FC]]/(1+tbl_Bonds[[#This Row],[Real Simulada]])^(tbl_Bonds[[#This Row],[DU]]/252))</f>
        <v>2.1693604087250247E-2</v>
      </c>
      <c r="P154" s="7">
        <f>tbl_Bonds[[#This Row],[Cotação]]*VNA</f>
        <v>85.804805531925993</v>
      </c>
      <c r="Q154" s="18">
        <f>tbl_Bonds[[#This Row],[Cotação]]%%*VNA</f>
        <v>8.5804805531925973E-3</v>
      </c>
      <c r="R15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-4.5562230307745345E-2</v>
      </c>
      <c r="S15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-4.3096443240183024E-2</v>
      </c>
      <c r="T15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4.5540217746354646E-2</v>
      </c>
      <c r="U154" s="18">
        <f>IF(curve_type="Mercado",tbl_Bonds[[#This Row],[VP Cupom]]*LN(1+tbl_Bonds[[#This Row],[Real Mercado]])/252,tbl_Bonds[[#This Row],[VP Cupom]]*LN(1+tbl_Bonds[[#This Row],[Real Simulada]])/252)</f>
        <v>1.8781578541876735E-2</v>
      </c>
      <c r="V154" s="18">
        <f>SUMIF(Dashboard!$B$28:$B$42,tbl_Bonds[[#This Row],[Bond]],Dashboard!$C$28:$C$42)</f>
        <v>13940</v>
      </c>
      <c r="W154" s="18">
        <f>tbl_Bonds[[#This Row],[Quantidade]]*tbl_Bonds[[#This Row],[𝛿P/𝛿VNA]]</f>
        <v>119.61189891150481</v>
      </c>
      <c r="X154" s="18">
        <f>+tbl_Bonds[[#This Row],[Quantidade]]*tbl_Bonds[[#This Row],[𝛿P/𝛿r_real]]</f>
        <v>-635.13749048997011</v>
      </c>
      <c r="Y154" s="18">
        <f>tbl_Bonds[[#This Row],[Quantidade]]*tbl_Bonds[[#This Row],[𝛿P/𝛿r_pre]]</f>
        <v>-600.76441876815136</v>
      </c>
      <c r="Z154" s="18">
        <f>tbl_Bonds[[#This Row],[Quantidade]]*tbl_Bonds[[#This Row],[𝛿P/𝛿r_implicita]]</f>
        <v>634.83063538418378</v>
      </c>
      <c r="AA154" s="18">
        <f>tbl_Bonds[[#This Row],[Quantidade]]*tbl_Bonds[[#This Row],[𝛿P/𝛿du]]</f>
        <v>261.81520487376167</v>
      </c>
    </row>
    <row r="155" spans="1:27">
      <c r="A155" s="2" t="s">
        <v>86</v>
      </c>
      <c r="B155" s="3">
        <v>53097</v>
      </c>
      <c r="C155" s="3">
        <v>47073</v>
      </c>
      <c r="D155" s="4">
        <f>NETWORKDAYS(Dashboard!$C$10,bonds!C155,feriados)-1</f>
        <v>1542</v>
      </c>
      <c r="E155" s="2">
        <f>IF(tbl_Bonds[[#This Row],[Coupon]]&lt;tbl_Bonds[[#This Row],[Maturity]],SQRT(1.06)-1,SQRT(1.06))</f>
        <v>2.9563014098699991E-2</v>
      </c>
      <c r="F155" s="5" cm="1">
        <f t="array" ref="F155">Svensson(betas_pre,tbl_Bonds[[#This Row],[DU]])</f>
        <v>0.11753368327278076</v>
      </c>
      <c r="G155" s="49">
        <f>IF(curve_type="Simulada",_xlfn.XLOOKUP(tbl_Bonds[[#This Row],[Coupon]],Simulador!$B$5:$B$147,Simulador!$H$5:$H$147),0)</f>
        <v>0</v>
      </c>
      <c r="H155" s="5" cm="1">
        <f t="array" ref="H15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0.11753368327278076</v>
      </c>
      <c r="I155" s="5" cm="1">
        <f t="array" ref="I155">Interpola_FF(tbl_Bonds[[#This Row],[DU]],dus_svensson,svensson_implicita)</f>
        <v>5.7567744841153123E-2</v>
      </c>
      <c r="J155" s="49">
        <f>IF(curve_type="Simulada",_xlfn.XLOOKUP(tbl_Bonds[[#This Row],[Coupon]],Simulador!$B$5:$B$147,Simulador!$N$5:$N$147),0)</f>
        <v>0</v>
      </c>
      <c r="K155" s="5" cm="1">
        <f t="array" ref="K15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5.7567744841153123E-2</v>
      </c>
      <c r="L155" s="5" cm="1">
        <f t="array" ref="L155">Interpola_FF(tbl_Bonds[[#This Row],[DU]],dus_svensson,svensson_real_spot)</f>
        <v>5.6704466377620388E-2</v>
      </c>
      <c r="M155" s="49">
        <f>IF(curve_type="Simulada",_xlfn.XLOOKUP(tbl_Bonds[[#This Row],[Coupon]],Simulador!$B$5:$B$147,Simulador!$K$5:$K$147),0)</f>
        <v>0</v>
      </c>
      <c r="N155" s="5" cm="1">
        <f t="array" ref="N15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5.6704466377620388E-2</v>
      </c>
      <c r="O155" s="6">
        <f>IF(curve_type="Mercado",tbl_Bonds[[#This Row],[FC]]/(1+tbl_Bonds[[#This Row],[Real Mercado]])^(tbl_Bonds[[#This Row],[DU]]/252),tbl_Bonds[[#This Row],[FC]]/(1+tbl_Bonds[[#This Row],[Real Simulada]])^(tbl_Bonds[[#This Row],[DU]]/252))</f>
        <v>2.1094820773065563E-2</v>
      </c>
      <c r="P155" s="7">
        <f>tbl_Bonds[[#This Row],[Cotação]]*VNA</f>
        <v>83.436435314476739</v>
      </c>
      <c r="Q155" s="18">
        <f>tbl_Bonds[[#This Row],[Cotação]]%%*VNA</f>
        <v>8.3436435314476719E-3</v>
      </c>
      <c r="R15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-4.831545026047241E-2</v>
      </c>
      <c r="S15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-4.5686279440131455E-2</v>
      </c>
      <c r="T15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4.8276771286579125E-2</v>
      </c>
      <c r="U155" s="18">
        <f>IF(curve_type="Mercado",tbl_Bonds[[#This Row],[VP Cupom]]*LN(1+tbl_Bonds[[#This Row],[Real Mercado]])/252,tbl_Bonds[[#This Row],[VP Cupom]]*LN(1+tbl_Bonds[[#This Row],[Real Simulada]])/252)</f>
        <v>1.8261676700950958E-2</v>
      </c>
      <c r="V155" s="18">
        <f>SUMIF(Dashboard!$B$28:$B$42,tbl_Bonds[[#This Row],[Bond]],Dashboard!$C$28:$C$42)</f>
        <v>13940</v>
      </c>
      <c r="W155" s="18">
        <f>tbl_Bonds[[#This Row],[Quantidade]]*tbl_Bonds[[#This Row],[𝛿P/𝛿VNA]]</f>
        <v>116.31039082838055</v>
      </c>
      <c r="X155" s="18">
        <f>+tbl_Bonds[[#This Row],[Quantidade]]*tbl_Bonds[[#This Row],[𝛿P/𝛿r_real]]</f>
        <v>-673.51737663098538</v>
      </c>
      <c r="Y155" s="18">
        <f>tbl_Bonds[[#This Row],[Quantidade]]*tbl_Bonds[[#This Row],[𝛿P/𝛿r_pre]]</f>
        <v>-636.86673539543244</v>
      </c>
      <c r="Z155" s="18">
        <f>tbl_Bonds[[#This Row],[Quantidade]]*tbl_Bonds[[#This Row],[𝛿P/𝛿r_implicita]]</f>
        <v>672.97819173491303</v>
      </c>
      <c r="AA155" s="18">
        <f>tbl_Bonds[[#This Row],[Quantidade]]*tbl_Bonds[[#This Row],[𝛿P/𝛿du]]</f>
        <v>254.56777321125637</v>
      </c>
    </row>
    <row r="156" spans="1:27">
      <c r="A156" s="2" t="s">
        <v>86</v>
      </c>
      <c r="B156" s="3">
        <v>53097</v>
      </c>
      <c r="C156" s="3">
        <v>47253</v>
      </c>
      <c r="D156" s="4">
        <f>NETWORKDAYS(Dashboard!$C$10,bonds!C156,feriados)-1</f>
        <v>1664</v>
      </c>
      <c r="E156" s="2">
        <f>IF(tbl_Bonds[[#This Row],[Coupon]]&lt;tbl_Bonds[[#This Row],[Maturity]],SQRT(1.06)-1,SQRT(1.06))</f>
        <v>2.9563014098699991E-2</v>
      </c>
      <c r="F156" s="5" cm="1">
        <f t="array" ref="F156">Svensson(betas_pre,tbl_Bonds[[#This Row],[DU]])</f>
        <v>0.1178385328920409</v>
      </c>
      <c r="G156" s="49">
        <f>IF(curve_type="Simulada",_xlfn.XLOOKUP(tbl_Bonds[[#This Row],[Coupon]],Simulador!$B$5:$B$147,Simulador!$H$5:$H$147),0)</f>
        <v>0</v>
      </c>
      <c r="H156" s="5" cm="1">
        <f t="array" ref="H15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0.1178385328920409</v>
      </c>
      <c r="I156" s="5" cm="1">
        <f t="array" ref="I156">Interpola_FF(tbl_Bonds[[#This Row],[DU]],dus_svensson,svensson_implicita)</f>
        <v>5.7779762342214047E-2</v>
      </c>
      <c r="J156" s="49">
        <f>IF(curve_type="Simulada",_xlfn.XLOOKUP(tbl_Bonds[[#This Row],[Coupon]],Simulador!$B$5:$B$147,Simulador!$N$5:$N$147),0)</f>
        <v>0</v>
      </c>
      <c r="K156" s="5" cm="1">
        <f t="array" ref="K15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5.7779762342214047E-2</v>
      </c>
      <c r="L156" s="5" cm="1">
        <f t="array" ref="L156">Interpola_FF(tbl_Bonds[[#This Row],[DU]],dus_svensson,svensson_real_spot)</f>
        <v>5.6779566995880826E-2</v>
      </c>
      <c r="M156" s="49">
        <f>IF(curve_type="Simulada",_xlfn.XLOOKUP(tbl_Bonds[[#This Row],[Coupon]],Simulador!$B$5:$B$147,Simulador!$K$5:$K$147),0)</f>
        <v>0</v>
      </c>
      <c r="N156" s="5" cm="1">
        <f t="array" ref="N15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5.6779566995880826E-2</v>
      </c>
      <c r="O156" s="6">
        <f>IF(curve_type="Mercado",tbl_Bonds[[#This Row],[FC]]/(1+tbl_Bonds[[#This Row],[Real Mercado]])^(tbl_Bonds[[#This Row],[DU]]/252),tbl_Bonds[[#This Row],[FC]]/(1+tbl_Bonds[[#This Row],[Real Simulada]])^(tbl_Bonds[[#This Row],[DU]]/252))</f>
        <v>2.0529363275372938E-2</v>
      </c>
      <c r="P156" s="7">
        <f>tbl_Bonds[[#This Row],[Cotação]]*VNA</f>
        <v>81.199878842304329</v>
      </c>
      <c r="Q156" s="18">
        <f>tbl_Bonds[[#This Row],[Cotação]]%%*VNA</f>
        <v>8.1199878842304323E-3</v>
      </c>
      <c r="R15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-5.0736879714333896E-2</v>
      </c>
      <c r="S15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-4.7965938990404196E-2</v>
      </c>
      <c r="T15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5.068935593085773E-2</v>
      </c>
      <c r="U156" s="18">
        <f>IF(curve_type="Mercado",tbl_Bonds[[#This Row],[VP Cupom]]*LN(1+tbl_Bonds[[#This Row],[Real Mercado]])/252,tbl_Bonds[[#This Row],[VP Cupom]]*LN(1+tbl_Bonds[[#This Row],[Real Simulada]])/252)</f>
        <v>1.7795062762309015E-2</v>
      </c>
      <c r="V156" s="18">
        <f>SUMIF(Dashboard!$B$28:$B$42,tbl_Bonds[[#This Row],[Bond]],Dashboard!$C$28:$C$42)</f>
        <v>13940</v>
      </c>
      <c r="W156" s="18">
        <f>tbl_Bonds[[#This Row],[Quantidade]]*tbl_Bonds[[#This Row],[𝛿P/𝛿VNA]]</f>
        <v>113.19263110617223</v>
      </c>
      <c r="X156" s="18">
        <f>+tbl_Bonds[[#This Row],[Quantidade]]*tbl_Bonds[[#This Row],[𝛿P/𝛿r_real]]</f>
        <v>-707.27210321781456</v>
      </c>
      <c r="Y156" s="18">
        <f>tbl_Bonds[[#This Row],[Quantidade]]*tbl_Bonds[[#This Row],[𝛿P/𝛿r_pre]]</f>
        <v>-668.6451895262345</v>
      </c>
      <c r="Z156" s="18">
        <f>tbl_Bonds[[#This Row],[Quantidade]]*tbl_Bonds[[#This Row],[𝛿P/𝛿r_implicita]]</f>
        <v>706.60962167615673</v>
      </c>
      <c r="AA156" s="18">
        <f>tbl_Bonds[[#This Row],[Quantidade]]*tbl_Bonds[[#This Row],[𝛿P/𝛿du]]</f>
        <v>248.06317490658768</v>
      </c>
    </row>
    <row r="157" spans="1:27">
      <c r="A157" s="2" t="s">
        <v>86</v>
      </c>
      <c r="B157" s="3">
        <v>53097</v>
      </c>
      <c r="C157" s="3">
        <v>47438</v>
      </c>
      <c r="D157" s="4">
        <f>NETWORKDAYS(Dashboard!$C$10,bonds!C157,feriados)-1</f>
        <v>1792</v>
      </c>
      <c r="E157" s="2">
        <f>IF(tbl_Bonds[[#This Row],[Coupon]]&lt;tbl_Bonds[[#This Row],[Maturity]],SQRT(1.06)-1,SQRT(1.06))</f>
        <v>2.9563014098699991E-2</v>
      </c>
      <c r="F157" s="5" cm="1">
        <f t="array" ref="F157">Svensson(betas_pre,tbl_Bonds[[#This Row],[DU]])</f>
        <v>0.1181328379826086</v>
      </c>
      <c r="G157" s="49">
        <f>IF(curve_type="Simulada",_xlfn.XLOOKUP(tbl_Bonds[[#This Row],[Coupon]],Simulador!$B$5:$B$147,Simulador!$H$5:$H$147),0)</f>
        <v>0</v>
      </c>
      <c r="H157" s="5" cm="1">
        <f t="array" ref="H15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0.1181328379826086</v>
      </c>
      <c r="I157" s="5" cm="1">
        <f t="array" ref="I157">Interpola_FF(tbl_Bonds[[#This Row],[DU]],dus_svensson,svensson_implicita)</f>
        <v>5.7924849221559604E-2</v>
      </c>
      <c r="J157" s="49">
        <f>IF(curve_type="Simulada",_xlfn.XLOOKUP(tbl_Bonds[[#This Row],[Coupon]],Simulador!$B$5:$B$147,Simulador!$N$5:$N$147),0)</f>
        <v>0</v>
      </c>
      <c r="K157" s="5" cm="1">
        <f t="array" ref="K15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5.7924849221559604E-2</v>
      </c>
      <c r="L157" s="5" cm="1">
        <f t="array" ref="L157">Interpola_FF(tbl_Bonds[[#This Row],[DU]],dus_svensson,svensson_real_spot)</f>
        <v>5.6912256341070222E-2</v>
      </c>
      <c r="M157" s="49">
        <f>IF(curve_type="Simulada",_xlfn.XLOOKUP(tbl_Bonds[[#This Row],[Coupon]],Simulador!$B$5:$B$147,Simulador!$K$5:$K$147),0)</f>
        <v>0</v>
      </c>
      <c r="N157" s="5" cm="1">
        <f t="array" ref="N15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5.6912256341070222E-2</v>
      </c>
      <c r="O157" s="6">
        <f>IF(curve_type="Mercado",tbl_Bonds[[#This Row],[FC]]/(1+tbl_Bonds[[#This Row],[Real Mercado]])^(tbl_Bonds[[#This Row],[DU]]/252),tbl_Bonds[[#This Row],[FC]]/(1+tbl_Bonds[[#This Row],[Real Simulada]])^(tbl_Bonds[[#This Row],[DU]]/252))</f>
        <v>1.9943674554607205E-2</v>
      </c>
      <c r="P157" s="7">
        <f>tbl_Bonds[[#This Row],[Cotação]]*VNA</f>
        <v>78.883301726513693</v>
      </c>
      <c r="Q157" s="18">
        <f>tbl_Bonds[[#This Row],[Cotação]]%%*VNA</f>
        <v>7.8883301726513678E-3</v>
      </c>
      <c r="R15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-5.307421879376157E-2</v>
      </c>
      <c r="S15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-5.016855960886802E-2</v>
      </c>
      <c r="T15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5.3023722785450263E-2</v>
      </c>
      <c r="U157" s="18">
        <f>IF(curve_type="Mercado",tbl_Bonds[[#This Row],[VP Cupom]]*LN(1+tbl_Bonds[[#This Row],[Real Mercado]])/252,tbl_Bonds[[#This Row],[VP Cupom]]*LN(1+tbl_Bonds[[#This Row],[Real Simulada]])/252)</f>
        <v>1.7326683249983914E-2</v>
      </c>
      <c r="V157" s="18">
        <f>SUMIF(Dashboard!$B$28:$B$42,tbl_Bonds[[#This Row],[Bond]],Dashboard!$C$28:$C$42)</f>
        <v>13940</v>
      </c>
      <c r="W157" s="18">
        <f>tbl_Bonds[[#This Row],[Quantidade]]*tbl_Bonds[[#This Row],[𝛿P/𝛿VNA]]</f>
        <v>109.96332260676007</v>
      </c>
      <c r="X157" s="18">
        <f>+tbl_Bonds[[#This Row],[Quantidade]]*tbl_Bonds[[#This Row],[𝛿P/𝛿r_real]]</f>
        <v>-739.85460998503629</v>
      </c>
      <c r="Y157" s="18">
        <f>tbl_Bonds[[#This Row],[Quantidade]]*tbl_Bonds[[#This Row],[𝛿P/𝛿r_pre]]</f>
        <v>-699.3497209476202</v>
      </c>
      <c r="Z157" s="18">
        <f>tbl_Bonds[[#This Row],[Quantidade]]*tbl_Bonds[[#This Row],[𝛿P/𝛿r_implicita]]</f>
        <v>739.15069562917665</v>
      </c>
      <c r="AA157" s="18">
        <f>tbl_Bonds[[#This Row],[Quantidade]]*tbl_Bonds[[#This Row],[𝛿P/𝛿du]]</f>
        <v>241.53396450477578</v>
      </c>
    </row>
    <row r="158" spans="1:27">
      <c r="A158" s="2" t="s">
        <v>86</v>
      </c>
      <c r="B158" s="3">
        <v>53097</v>
      </c>
      <c r="C158" s="3">
        <v>47618</v>
      </c>
      <c r="D158" s="4">
        <f>NETWORKDAYS(Dashboard!$C$10,bonds!C158,feriados)-1</f>
        <v>1914</v>
      </c>
      <c r="E158" s="2">
        <f>IF(tbl_Bonds[[#This Row],[Coupon]]&lt;tbl_Bonds[[#This Row],[Maturity]],SQRT(1.06)-1,SQRT(1.06))</f>
        <v>2.9563014098699991E-2</v>
      </c>
      <c r="F158" s="5" cm="1">
        <f t="array" ref="F158">Svensson(betas_pre,tbl_Bonds[[#This Row],[DU]])</f>
        <v>0.11838727903530923</v>
      </c>
      <c r="G158" s="49">
        <f>IF(curve_type="Simulada",_xlfn.XLOOKUP(tbl_Bonds[[#This Row],[Coupon]],Simulador!$B$5:$B$147,Simulador!$H$5:$H$147),0)</f>
        <v>0</v>
      </c>
      <c r="H158" s="5" cm="1">
        <f t="array" ref="H15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0.11838727903530923</v>
      </c>
      <c r="I158" s="5" cm="1">
        <f t="array" ref="I158">Interpola_FF(tbl_Bonds[[#This Row],[DU]],dus_svensson,svensson_implicita)</f>
        <v>5.8010297393168875E-2</v>
      </c>
      <c r="J158" s="49">
        <f>IF(curve_type="Simulada",_xlfn.XLOOKUP(tbl_Bonds[[#This Row],[Coupon]],Simulador!$B$5:$B$147,Simulador!$N$5:$N$147),0)</f>
        <v>0</v>
      </c>
      <c r="K158" s="5" cm="1">
        <f t="array" ref="K15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5.8010297393168875E-2</v>
      </c>
      <c r="L158" s="5" cm="1">
        <f t="array" ref="L158">Interpola_FF(tbl_Bonds[[#This Row],[DU]],dus_svensson,svensson_real_spot)</f>
        <v>5.7066966659098606E-2</v>
      </c>
      <c r="M158" s="49">
        <f>IF(curve_type="Simulada",_xlfn.XLOOKUP(tbl_Bonds[[#This Row],[Coupon]],Simulador!$B$5:$B$147,Simulador!$K$5:$K$147),0)</f>
        <v>0</v>
      </c>
      <c r="N158" s="5" cm="1">
        <f t="array" ref="N15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5.7066966659098606E-2</v>
      </c>
      <c r="O158" s="6">
        <f>IF(curve_type="Mercado",tbl_Bonds[[#This Row],[FC]]/(1+tbl_Bonds[[#This Row],[Real Mercado]])^(tbl_Bonds[[#This Row],[DU]]/252),tbl_Bonds[[#This Row],[FC]]/(1+tbl_Bonds[[#This Row],[Real Simulada]])^(tbl_Bonds[[#This Row],[DU]]/252))</f>
        <v>1.9394762873732607E-2</v>
      </c>
      <c r="P158" s="7">
        <f>tbl_Bonds[[#This Row],[Cotação]]*VNA</f>
        <v>76.712188994751031</v>
      </c>
      <c r="Q158" s="18">
        <f>tbl_Bonds[[#This Row],[Cotação]]%%*VNA</f>
        <v>7.6712188994751025E-3</v>
      </c>
      <c r="R15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-5.5119245856628855E-2</v>
      </c>
      <c r="S15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-5.2097261687239438E-2</v>
      </c>
      <c r="T15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5.5070271893516619E-2</v>
      </c>
      <c r="U158" s="18">
        <f>IF(curve_type="Mercado",tbl_Bonds[[#This Row],[VP Cupom]]*LN(1+tbl_Bonds[[#This Row],[Real Mercado]])/252,tbl_Bonds[[#This Row],[VP Cupom]]*LN(1+tbl_Bonds[[#This Row],[Real Simulada]])/252)</f>
        <v>1.6894355909643631E-2</v>
      </c>
      <c r="V158" s="18">
        <f>SUMIF(Dashboard!$B$28:$B$42,tbl_Bonds[[#This Row],[Bond]],Dashboard!$C$28:$C$42)</f>
        <v>13940</v>
      </c>
      <c r="W158" s="18">
        <f>tbl_Bonds[[#This Row],[Quantidade]]*tbl_Bonds[[#This Row],[𝛿P/𝛿VNA]]</f>
        <v>106.93679145868293</v>
      </c>
      <c r="X158" s="18">
        <f>+tbl_Bonds[[#This Row],[Quantidade]]*tbl_Bonds[[#This Row],[𝛿P/𝛿r_real]]</f>
        <v>-768.36228724140619</v>
      </c>
      <c r="Y158" s="18">
        <f>tbl_Bonds[[#This Row],[Quantidade]]*tbl_Bonds[[#This Row],[𝛿P/𝛿r_pre]]</f>
        <v>-726.2358279201178</v>
      </c>
      <c r="Z158" s="18">
        <f>tbl_Bonds[[#This Row],[Quantidade]]*tbl_Bonds[[#This Row],[𝛿P/𝛿r_implicita]]</f>
        <v>767.6795901956217</v>
      </c>
      <c r="AA158" s="18">
        <f>tbl_Bonds[[#This Row],[Quantidade]]*tbl_Bonds[[#This Row],[𝛿P/𝛿du]]</f>
        <v>235.50732138043222</v>
      </c>
    </row>
    <row r="159" spans="1:27">
      <c r="A159" s="2" t="s">
        <v>86</v>
      </c>
      <c r="B159" s="3">
        <v>53097</v>
      </c>
      <c r="C159" s="3">
        <v>47805</v>
      </c>
      <c r="D159" s="4">
        <f>NETWORKDAYS(Dashboard!$C$10,bonds!C159,feriados)-1</f>
        <v>2045</v>
      </c>
      <c r="E159" s="2">
        <f>IF(tbl_Bonds[[#This Row],[Coupon]]&lt;tbl_Bonds[[#This Row],[Maturity]],SQRT(1.06)-1,SQRT(1.06))</f>
        <v>2.9563014098699991E-2</v>
      </c>
      <c r="F159" s="5" cm="1">
        <f t="array" ref="F159">Svensson(betas_pre,tbl_Bonds[[#This Row],[DU]])</f>
        <v>0.11863319273641666</v>
      </c>
      <c r="G159" s="49">
        <f>IF(curve_type="Simulada",_xlfn.XLOOKUP(tbl_Bonds[[#This Row],[Coupon]],Simulador!$B$5:$B$147,Simulador!$H$5:$H$147),0)</f>
        <v>0</v>
      </c>
      <c r="H159" s="5" cm="1">
        <f t="array" ref="H15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0.11863319273641666</v>
      </c>
      <c r="I159" s="5" cm="1">
        <f t="array" ref="I159">Interpola_FF(tbl_Bonds[[#This Row],[DU]],dus_svensson,svensson_implicita)</f>
        <v>5.8061291362325296E-2</v>
      </c>
      <c r="J159" s="49">
        <f>IF(curve_type="Simulada",_xlfn.XLOOKUP(tbl_Bonds[[#This Row],[Coupon]],Simulador!$B$5:$B$147,Simulador!$N$5:$N$147),0)</f>
        <v>0</v>
      </c>
      <c r="K159" s="5" cm="1">
        <f t="array" ref="K15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5.8061291362325296E-2</v>
      </c>
      <c r="L159" s="5" cm="1">
        <f t="array" ref="L159">Interpola_FF(tbl_Bonds[[#This Row],[DU]],dus_svensson,svensson_real_spot)</f>
        <v>5.7248282474742007E-2</v>
      </c>
      <c r="M159" s="49">
        <f>IF(curve_type="Simulada",_xlfn.XLOOKUP(tbl_Bonds[[#This Row],[Coupon]],Simulador!$B$5:$B$147,Simulador!$K$5:$K$147),0)</f>
        <v>0</v>
      </c>
      <c r="N159" s="5" cm="1">
        <f t="array" ref="N15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5.7248282474742007E-2</v>
      </c>
      <c r="O159" s="6">
        <f>IF(curve_type="Mercado",tbl_Bonds[[#This Row],[FC]]/(1+tbl_Bonds[[#This Row],[Real Mercado]])^(tbl_Bonds[[#This Row],[DU]]/252),tbl_Bonds[[#This Row],[FC]]/(1+tbl_Bonds[[#This Row],[Real Simulada]])^(tbl_Bonds[[#This Row],[DU]]/252))</f>
        <v>1.8817006358074834E-2</v>
      </c>
      <c r="P159" s="7">
        <f>tbl_Bonds[[#This Row],[Cotação]]*VNA</f>
        <v>74.426986163933535</v>
      </c>
      <c r="Q159" s="18">
        <f>tbl_Bonds[[#This Row],[Cotação]]%%*VNA</f>
        <v>7.4426986163933532E-3</v>
      </c>
      <c r="R15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-5.7127631194654006E-2</v>
      </c>
      <c r="S15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-5.3992870545379858E-2</v>
      </c>
      <c r="T15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5.7083854835494018E-2</v>
      </c>
      <c r="U159" s="18">
        <f>IF(curve_type="Mercado",tbl_Bonds[[#This Row],[VP Cupom]]*LN(1+tbl_Bonds[[#This Row],[Real Mercado]])/252,tbl_Bonds[[#This Row],[VP Cupom]]*LN(1+tbl_Bonds[[#This Row],[Real Simulada]])/252)</f>
        <v>1.6441740190834858E-2</v>
      </c>
      <c r="V159" s="18">
        <f>SUMIF(Dashboard!$B$28:$B$42,tbl_Bonds[[#This Row],[Bond]],Dashboard!$C$28:$C$42)</f>
        <v>13940</v>
      </c>
      <c r="W159" s="18">
        <f>tbl_Bonds[[#This Row],[Quantidade]]*tbl_Bonds[[#This Row],[𝛿P/𝛿VNA]]</f>
        <v>103.75121871252334</v>
      </c>
      <c r="X159" s="18">
        <f>+tbl_Bonds[[#This Row],[Quantidade]]*tbl_Bonds[[#This Row],[𝛿P/𝛿r_real]]</f>
        <v>-796.35917885347681</v>
      </c>
      <c r="Y159" s="18">
        <f>tbl_Bonds[[#This Row],[Quantidade]]*tbl_Bonds[[#This Row],[𝛿P/𝛿r_pre]]</f>
        <v>-752.66061540259523</v>
      </c>
      <c r="Z159" s="18">
        <f>tbl_Bonds[[#This Row],[Quantidade]]*tbl_Bonds[[#This Row],[𝛿P/𝛿r_implicita]]</f>
        <v>795.74893640678658</v>
      </c>
      <c r="AA159" s="18">
        <f>tbl_Bonds[[#This Row],[Quantidade]]*tbl_Bonds[[#This Row],[𝛿P/𝛿du]]</f>
        <v>229.19785826023792</v>
      </c>
    </row>
    <row r="160" spans="1:27">
      <c r="A160" s="2" t="s">
        <v>86</v>
      </c>
      <c r="B160" s="3">
        <v>53097</v>
      </c>
      <c r="C160" s="3">
        <v>47983</v>
      </c>
      <c r="D160" s="4">
        <f>NETWORKDAYS(Dashboard!$C$10,bonds!C160,feriados)-1</f>
        <v>2166</v>
      </c>
      <c r="E160" s="2">
        <f>IF(tbl_Bonds[[#This Row],[Coupon]]&lt;tbl_Bonds[[#This Row],[Maturity]],SQRT(1.06)-1,SQRT(1.06))</f>
        <v>2.9563014098699991E-2</v>
      </c>
      <c r="F160" s="5" cm="1">
        <f t="array" ref="F160">Svensson(betas_pre,tbl_Bonds[[#This Row],[DU]])</f>
        <v>0.11883731211931328</v>
      </c>
      <c r="G160" s="49">
        <f>IF(curve_type="Simulada",_xlfn.XLOOKUP(tbl_Bonds[[#This Row],[Coupon]],Simulador!$B$5:$B$147,Simulador!$H$5:$H$147),0)</f>
        <v>0</v>
      </c>
      <c r="H160" s="5" cm="1">
        <f t="array" ref="H16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0.11883731211931328</v>
      </c>
      <c r="I160" s="5" cm="1">
        <f t="array" ref="I160">Interpola_FF(tbl_Bonds[[#This Row],[DU]],dus_svensson,svensson_implicita)</f>
        <v>5.8084434014569641E-2</v>
      </c>
      <c r="J160" s="49">
        <f>IF(curve_type="Simulada",_xlfn.XLOOKUP(tbl_Bonds[[#This Row],[Coupon]],Simulador!$B$5:$B$147,Simulador!$N$5:$N$147),0)</f>
        <v>0</v>
      </c>
      <c r="K160" s="5" cm="1">
        <f t="array" ref="K16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5.8084434014569641E-2</v>
      </c>
      <c r="L160" s="5" cm="1">
        <f t="array" ref="L160">Interpola_FF(tbl_Bonds[[#This Row],[DU]],dus_svensson,svensson_real_spot)</f>
        <v>5.7417931184525317E-2</v>
      </c>
      <c r="M160" s="49">
        <f>IF(curve_type="Simulada",_xlfn.XLOOKUP(tbl_Bonds[[#This Row],[Coupon]],Simulador!$B$5:$B$147,Simulador!$K$5:$K$147),0)</f>
        <v>0</v>
      </c>
      <c r="N160" s="5" cm="1">
        <f t="array" ref="N16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5.7417931184525317E-2</v>
      </c>
      <c r="O160" s="6">
        <f>IF(curve_type="Mercado",tbl_Bonds[[#This Row],[FC]]/(1+tbl_Bonds[[#This Row],[Real Mercado]])^(tbl_Bonds[[#This Row],[DU]]/252),tbl_Bonds[[#This Row],[FC]]/(1+tbl_Bonds[[#This Row],[Real Simulada]])^(tbl_Bonds[[#This Row],[DU]]/252))</f>
        <v>1.829543765395282E-2</v>
      </c>
      <c r="P160" s="7">
        <f>tbl_Bonds[[#This Row],[Cotação]]*VNA</f>
        <v>72.364023225699114</v>
      </c>
      <c r="Q160" s="18">
        <f>tbl_Bonds[[#This Row],[Cotação]]%%*VNA</f>
        <v>7.2364023225699103E-3</v>
      </c>
      <c r="R16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-5.8821208796551346E-2</v>
      </c>
      <c r="S16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-5.5592236396100274E-2</v>
      </c>
      <c r="T16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5.8784220185643346E-2</v>
      </c>
      <c r="U160" s="18">
        <f>IF(curve_type="Mercado",tbl_Bonds[[#This Row],[VP Cupom]]*LN(1+tbl_Bonds[[#This Row],[Real Mercado]])/252,tbl_Bonds[[#This Row],[VP Cupom]]*LN(1+tbl_Bonds[[#This Row],[Real Simulada]])/252)</f>
        <v>1.6032083506226615E-2</v>
      </c>
      <c r="V160" s="18">
        <f>SUMIF(Dashboard!$B$28:$B$42,tbl_Bonds[[#This Row],[Bond]],Dashboard!$C$28:$C$42)</f>
        <v>13940</v>
      </c>
      <c r="W160" s="18">
        <f>tbl_Bonds[[#This Row],[Quantidade]]*tbl_Bonds[[#This Row],[𝛿P/𝛿VNA]]</f>
        <v>100.87544837662455</v>
      </c>
      <c r="X160" s="18">
        <f>+tbl_Bonds[[#This Row],[Quantidade]]*tbl_Bonds[[#This Row],[𝛿P/𝛿r_real]]</f>
        <v>-819.96765062392581</v>
      </c>
      <c r="Y160" s="18">
        <f>tbl_Bonds[[#This Row],[Quantidade]]*tbl_Bonds[[#This Row],[𝛿P/𝛿r_pre]]</f>
        <v>-774.95577536163785</v>
      </c>
      <c r="Z160" s="18">
        <f>tbl_Bonds[[#This Row],[Quantidade]]*tbl_Bonds[[#This Row],[𝛿P/𝛿r_implicita]]</f>
        <v>819.45202938786827</v>
      </c>
      <c r="AA160" s="18">
        <f>tbl_Bonds[[#This Row],[Quantidade]]*tbl_Bonds[[#This Row],[𝛿P/𝛿du]]</f>
        <v>223.48724407679902</v>
      </c>
    </row>
    <row r="161" spans="1:27">
      <c r="A161" s="2" t="s">
        <v>86</v>
      </c>
      <c r="B161" s="3">
        <v>53097</v>
      </c>
      <c r="C161" s="3">
        <v>48169</v>
      </c>
      <c r="D161" s="4">
        <f>NETWORKDAYS(Dashboard!$C$10,bonds!C161,feriados)-1</f>
        <v>2297</v>
      </c>
      <c r="E161" s="2">
        <f>IF(tbl_Bonds[[#This Row],[Coupon]]&lt;tbl_Bonds[[#This Row],[Maturity]],SQRT(1.06)-1,SQRT(1.06))</f>
        <v>2.9563014098699991E-2</v>
      </c>
      <c r="F161" s="5" cm="1">
        <f t="array" ref="F161">Svensson(betas_pre,tbl_Bonds[[#This Row],[DU]])</f>
        <v>0.11903610157038018</v>
      </c>
      <c r="G161" s="49">
        <f>IF(curve_type="Simulada",_xlfn.XLOOKUP(tbl_Bonds[[#This Row],[Coupon]],Simulador!$B$5:$B$147,Simulador!$H$5:$H$147),0)</f>
        <v>0</v>
      </c>
      <c r="H161" s="5" cm="1">
        <f t="array" ref="H16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0.11903610157038018</v>
      </c>
      <c r="I161" s="5" cm="1">
        <f t="array" ref="I161">Interpola_FF(tbl_Bonds[[#This Row],[DU]],dus_svensson,svensson_implicita)</f>
        <v>5.8093103419797343E-2</v>
      </c>
      <c r="J161" s="49">
        <f>IF(curve_type="Simulada",_xlfn.XLOOKUP(tbl_Bonds[[#This Row],[Coupon]],Simulador!$B$5:$B$147,Simulador!$N$5:$N$147),0)</f>
        <v>0</v>
      </c>
      <c r="K161" s="5" cm="1">
        <f t="array" ref="K16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5.8093103419797343E-2</v>
      </c>
      <c r="L161" s="5" cm="1">
        <f t="array" ref="L161">Interpola_FF(tbl_Bonds[[#This Row],[DU]],dus_svensson,svensson_real_spot)</f>
        <v>5.7597092218049317E-2</v>
      </c>
      <c r="M161" s="49">
        <f>IF(curve_type="Simulada",_xlfn.XLOOKUP(tbl_Bonds[[#This Row],[Coupon]],Simulador!$B$5:$B$147,Simulador!$K$5:$K$147),0)</f>
        <v>0</v>
      </c>
      <c r="N161" s="5" cm="1">
        <f t="array" ref="N16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5.7597092218049317E-2</v>
      </c>
      <c r="O161" s="6">
        <f>IF(curve_type="Mercado",tbl_Bonds[[#This Row],[FC]]/(1+tbl_Bonds[[#This Row],[Real Mercado]])^(tbl_Bonds[[#This Row],[DU]]/252),tbl_Bonds[[#This Row],[FC]]/(1+tbl_Bonds[[#This Row],[Real Simulada]])^(tbl_Bonds[[#This Row],[DU]]/252))</f>
        <v>1.7744661497660689E-2</v>
      </c>
      <c r="P161" s="7">
        <f>tbl_Bonds[[#This Row],[Cotação]]*VNA</f>
        <v>70.185535926299963</v>
      </c>
      <c r="Q161" s="18">
        <f>tbl_Bonds[[#This Row],[Cotação]]%%*VNA</f>
        <v>7.0185535926299957E-3</v>
      </c>
      <c r="R16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-6.0490590883447118E-2</v>
      </c>
      <c r="S16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-5.7169486079493674E-2</v>
      </c>
      <c r="T16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6.0462277491848293E-2</v>
      </c>
      <c r="U161" s="18">
        <f>IF(curve_type="Mercado",tbl_Bonds[[#This Row],[VP Cupom]]*LN(1+tbl_Bonds[[#This Row],[Real Mercado]])/252,tbl_Bonds[[#This Row],[VP Cupom]]*LN(1+tbl_Bonds[[#This Row],[Real Simulada]])/252)</f>
        <v>1.5596629987358531E-2</v>
      </c>
      <c r="V161" s="18">
        <f>SUMIF(Dashboard!$B$28:$B$42,tbl_Bonds[[#This Row],[Bond]],Dashboard!$C$28:$C$42)</f>
        <v>13940</v>
      </c>
      <c r="W161" s="18">
        <f>tbl_Bonds[[#This Row],[Quantidade]]*tbl_Bonds[[#This Row],[𝛿P/𝛿VNA]]</f>
        <v>97.838637081262135</v>
      </c>
      <c r="X161" s="18">
        <f>+tbl_Bonds[[#This Row],[Quantidade]]*tbl_Bonds[[#This Row],[𝛿P/𝛿r_real]]</f>
        <v>-843.23883691525282</v>
      </c>
      <c r="Y161" s="18">
        <f>tbl_Bonds[[#This Row],[Quantidade]]*tbl_Bonds[[#This Row],[𝛿P/𝛿r_pre]]</f>
        <v>-796.94263594814186</v>
      </c>
      <c r="Z161" s="18">
        <f>tbl_Bonds[[#This Row],[Quantidade]]*tbl_Bonds[[#This Row],[𝛿P/𝛿r_implicita]]</f>
        <v>842.84414823636519</v>
      </c>
      <c r="AA161" s="18">
        <f>tbl_Bonds[[#This Row],[Quantidade]]*tbl_Bonds[[#This Row],[𝛿P/𝛿du]]</f>
        <v>217.41702202377792</v>
      </c>
    </row>
    <row r="162" spans="1:27">
      <c r="A162" s="2" t="s">
        <v>86</v>
      </c>
      <c r="B162" s="3">
        <v>53097</v>
      </c>
      <c r="C162" s="3">
        <v>48351</v>
      </c>
      <c r="D162" s="4">
        <f>NETWORKDAYS(Dashboard!$C$10,bonds!C162,feriados)-1</f>
        <v>2421</v>
      </c>
      <c r="E162" s="2">
        <f>IF(tbl_Bonds[[#This Row],[Coupon]]&lt;tbl_Bonds[[#This Row],[Maturity]],SQRT(1.06)-1,SQRT(1.06))</f>
        <v>2.9563014098699991E-2</v>
      </c>
      <c r="F162" s="5" cm="1">
        <f t="array" ref="F162">Svensson(betas_pre,tbl_Bonds[[#This Row],[DU]])</f>
        <v>0.11920554230632582</v>
      </c>
      <c r="G162" s="49">
        <f>IF(curve_type="Simulada",_xlfn.XLOOKUP(tbl_Bonds[[#This Row],[Coupon]],Simulador!$B$5:$B$147,Simulador!$H$5:$H$147),0)</f>
        <v>0</v>
      </c>
      <c r="H162" s="5" cm="1">
        <f t="array" ref="H16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0.11920554230632582</v>
      </c>
      <c r="I162" s="5" cm="1">
        <f t="array" ref="I162">Interpola_FF(tbl_Bonds[[#This Row],[DU]],dus_svensson,svensson_implicita)</f>
        <v>5.8093166894075399E-2</v>
      </c>
      <c r="J162" s="49">
        <f>IF(curve_type="Simulada",_xlfn.XLOOKUP(tbl_Bonds[[#This Row],[Coupon]],Simulador!$B$5:$B$147,Simulador!$N$5:$N$147),0)</f>
        <v>0</v>
      </c>
      <c r="K162" s="5" cm="1">
        <f t="array" ref="K16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5.8093166894075399E-2</v>
      </c>
      <c r="L162" s="5" cm="1">
        <f t="array" ref="L162">Interpola_FF(tbl_Bonds[[#This Row],[DU]],dus_svensson,svensson_real_spot)</f>
        <v>5.7757126301591022E-2</v>
      </c>
      <c r="M162" s="49">
        <f>IF(curve_type="Simulada",_xlfn.XLOOKUP(tbl_Bonds[[#This Row],[Coupon]],Simulador!$B$5:$B$147,Simulador!$K$5:$K$147),0)</f>
        <v>0</v>
      </c>
      <c r="N162" s="5" cm="1">
        <f t="array" ref="N16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5.7757126301591022E-2</v>
      </c>
      <c r="O162" s="6">
        <f>IF(curve_type="Mercado",tbl_Bonds[[#This Row],[FC]]/(1+tbl_Bonds[[#This Row],[Real Mercado]])^(tbl_Bonds[[#This Row],[DU]]/252),tbl_Bonds[[#This Row],[FC]]/(1+tbl_Bonds[[#This Row],[Real Simulada]])^(tbl_Bonds[[#This Row],[DU]]/252))</f>
        <v>1.7237302758451804E-2</v>
      </c>
      <c r="P162" s="7">
        <f>tbl_Bonds[[#This Row],[Cotação]]*VNA</f>
        <v>68.178777723391335</v>
      </c>
      <c r="Q162" s="18">
        <f>tbl_Bonds[[#This Row],[Cotação]]%%*VNA</f>
        <v>6.8178777723391345E-3</v>
      </c>
      <c r="R16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-6.1923785822573893E-2</v>
      </c>
      <c r="S16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-5.85239696523044E-2</v>
      </c>
      <c r="T16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6.1904143455434942E-2</v>
      </c>
      <c r="U162" s="18">
        <f>IF(curve_type="Mercado",tbl_Bonds[[#This Row],[VP Cupom]]*LN(1+tbl_Bonds[[#This Row],[Real Mercado]])/252,tbl_Bonds[[#This Row],[VP Cupom]]*LN(1+tbl_Bonds[[#This Row],[Real Simulada]])/252)</f>
        <v>1.5191624423668875E-2</v>
      </c>
      <c r="V162" s="18">
        <f>SUMIF(Dashboard!$B$28:$B$42,tbl_Bonds[[#This Row],[Bond]],Dashboard!$C$28:$C$42)</f>
        <v>13940</v>
      </c>
      <c r="W162" s="18">
        <f>tbl_Bonds[[#This Row],[Quantidade]]*tbl_Bonds[[#This Row],[𝛿P/𝛿VNA]]</f>
        <v>95.041216146407535</v>
      </c>
      <c r="X162" s="18">
        <f>+tbl_Bonds[[#This Row],[Quantidade]]*tbl_Bonds[[#This Row],[𝛿P/𝛿r_real]]</f>
        <v>-863.21757436668008</v>
      </c>
      <c r="Y162" s="18">
        <f>tbl_Bonds[[#This Row],[Quantidade]]*tbl_Bonds[[#This Row],[𝛿P/𝛿r_pre]]</f>
        <v>-815.82413695312334</v>
      </c>
      <c r="Z162" s="18">
        <f>tbl_Bonds[[#This Row],[Quantidade]]*tbl_Bonds[[#This Row],[𝛿P/𝛿r_implicita]]</f>
        <v>862.94375976876313</v>
      </c>
      <c r="AA162" s="18">
        <f>tbl_Bonds[[#This Row],[Quantidade]]*tbl_Bonds[[#This Row],[𝛿P/𝛿du]]</f>
        <v>211.77124446594411</v>
      </c>
    </row>
    <row r="163" spans="1:27">
      <c r="A163" s="2" t="s">
        <v>86</v>
      </c>
      <c r="B163" s="3">
        <v>53097</v>
      </c>
      <c r="C163" s="3">
        <v>48534</v>
      </c>
      <c r="D163" s="4">
        <f>NETWORKDAYS(Dashboard!$C$10,bonds!C163,feriados)-1</f>
        <v>2547</v>
      </c>
      <c r="E163" s="2">
        <f>IF(tbl_Bonds[[#This Row],[Coupon]]&lt;tbl_Bonds[[#This Row],[Maturity]],SQRT(1.06)-1,SQRT(1.06))</f>
        <v>2.9563014098699991E-2</v>
      </c>
      <c r="F163" s="5" cm="1">
        <f t="array" ref="F163">Svensson(betas_pre,tbl_Bonds[[#This Row],[DU]])</f>
        <v>0.11936141271582239</v>
      </c>
      <c r="G163" s="49">
        <f>IF(curve_type="Simulada",_xlfn.XLOOKUP(tbl_Bonds[[#This Row],[Coupon]],Simulador!$B$5:$B$147,Simulador!$H$5:$H$147),0)</f>
        <v>0</v>
      </c>
      <c r="H163" s="5" cm="1">
        <f t="array" ref="H16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0.11936141271582239</v>
      </c>
      <c r="I163" s="5" cm="1">
        <f t="array" ref="I163">Interpola_FF(tbl_Bonds[[#This Row],[DU]],dus_svensson,svensson_implicita)</f>
        <v>5.8089951278503804E-2</v>
      </c>
      <c r="J163" s="49">
        <f>IF(curve_type="Simulada",_xlfn.XLOOKUP(tbl_Bonds[[#This Row],[Coupon]],Simulador!$B$5:$B$147,Simulador!$N$5:$N$147),0)</f>
        <v>0</v>
      </c>
      <c r="K163" s="5" cm="1">
        <f t="array" ref="K16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5.8089951278503804E-2</v>
      </c>
      <c r="L163" s="5" cm="1">
        <f t="array" ref="L163">Interpola_FF(tbl_Bonds[[#This Row],[DU]],dus_svensson,svensson_real_spot)</f>
        <v>5.7907633774759049E-2</v>
      </c>
      <c r="M163" s="49">
        <f>IF(curve_type="Simulada",_xlfn.XLOOKUP(tbl_Bonds[[#This Row],[Coupon]],Simulador!$B$5:$B$147,Simulador!$K$5:$K$147),0)</f>
        <v>0</v>
      </c>
      <c r="N163" s="5" cm="1">
        <f t="array" ref="N16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5.7907633774759049E-2</v>
      </c>
      <c r="O163" s="6">
        <f>IF(curve_type="Mercado",tbl_Bonds[[#This Row],[FC]]/(1+tbl_Bonds[[#This Row],[Real Mercado]])^(tbl_Bonds[[#This Row],[DU]]/252),tbl_Bonds[[#This Row],[FC]]/(1+tbl_Bonds[[#This Row],[Real Simulada]])^(tbl_Bonds[[#This Row],[DU]]/252))</f>
        <v>1.6736005073647711E-2</v>
      </c>
      <c r="P163" s="7">
        <f>tbl_Bonds[[#This Row],[Cotação]]*VNA</f>
        <v>66.195992835033394</v>
      </c>
      <c r="Q163" s="18">
        <f>tbl_Bonds[[#This Row],[Cotação]]%%*VNA</f>
        <v>6.6195992835033392E-3</v>
      </c>
      <c r="R16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-6.324298405587804E-2</v>
      </c>
      <c r="S16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-5.9770909851966911E-2</v>
      </c>
      <c r="T16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6.3232100456454832E-2</v>
      </c>
      <c r="U163" s="18">
        <f>IF(curve_type="Mercado",tbl_Bonds[[#This Row],[VP Cupom]]*LN(1+tbl_Bonds[[#This Row],[Real Mercado]])/252,tbl_Bonds[[#This Row],[VP Cupom]]*LN(1+tbl_Bonds[[#This Row],[Real Simulada]])/252)</f>
        <v>1.4787193686318237E-2</v>
      </c>
      <c r="V163" s="18">
        <f>SUMIF(Dashboard!$B$28:$B$42,tbl_Bonds[[#This Row],[Bond]],Dashboard!$C$28:$C$42)</f>
        <v>13940</v>
      </c>
      <c r="W163" s="18">
        <f>tbl_Bonds[[#This Row],[Quantidade]]*tbl_Bonds[[#This Row],[𝛿P/𝛿VNA]]</f>
        <v>92.277214012036552</v>
      </c>
      <c r="X163" s="18">
        <f>+tbl_Bonds[[#This Row],[Quantidade]]*tbl_Bonds[[#This Row],[𝛿P/𝛿r_real]]</f>
        <v>-881.60719773893993</v>
      </c>
      <c r="Y163" s="18">
        <f>tbl_Bonds[[#This Row],[Quantidade]]*tbl_Bonds[[#This Row],[𝛿P/𝛿r_pre]]</f>
        <v>-833.20648333641873</v>
      </c>
      <c r="Z163" s="18">
        <f>tbl_Bonds[[#This Row],[Quantidade]]*tbl_Bonds[[#This Row],[𝛿P/𝛿r_implicita]]</f>
        <v>881.45548036298032</v>
      </c>
      <c r="AA163" s="18">
        <f>tbl_Bonds[[#This Row],[Quantidade]]*tbl_Bonds[[#This Row],[𝛿P/𝛿du]]</f>
        <v>206.13347998727622</v>
      </c>
    </row>
    <row r="164" spans="1:27">
      <c r="A164" s="2" t="s">
        <v>86</v>
      </c>
      <c r="B164" s="3">
        <v>53097</v>
      </c>
      <c r="C164" s="3">
        <v>48715</v>
      </c>
      <c r="D164" s="4">
        <f>NETWORKDAYS(Dashboard!$C$10,bonds!C164,feriados)-1</f>
        <v>2672</v>
      </c>
      <c r="E164" s="2">
        <f>IF(tbl_Bonds[[#This Row],[Coupon]]&lt;tbl_Bonds[[#This Row],[Maturity]],SQRT(1.06)-1,SQRT(1.06))</f>
        <v>2.9563014098699991E-2</v>
      </c>
      <c r="F164" s="5" cm="1">
        <f t="array" ref="F164">Svensson(betas_pre,tbl_Bonds[[#This Row],[DU]])</f>
        <v>0.11950184550850161</v>
      </c>
      <c r="G164" s="49">
        <f>IF(curve_type="Simulada",_xlfn.XLOOKUP(tbl_Bonds[[#This Row],[Coupon]],Simulador!$B$5:$B$147,Simulador!$H$5:$H$147),0)</f>
        <v>0</v>
      </c>
      <c r="H164" s="5" cm="1">
        <f t="array" ref="H16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0.11950184550850161</v>
      </c>
      <c r="I164" s="5" cm="1">
        <f t="array" ref="I164">Interpola_FF(tbl_Bonds[[#This Row],[DU]],dus_svensson,svensson_implicita)</f>
        <v>5.8086840033223508E-2</v>
      </c>
      <c r="J164" s="49">
        <f>IF(curve_type="Simulada",_xlfn.XLOOKUP(tbl_Bonds[[#This Row],[Coupon]],Simulador!$B$5:$B$147,Simulador!$N$5:$N$147),0)</f>
        <v>0</v>
      </c>
      <c r="K164" s="5" cm="1">
        <f t="array" ref="K16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5.8086840033223508E-2</v>
      </c>
      <c r="L164" s="5" cm="1">
        <f t="array" ref="L164">Interpola_FF(tbl_Bonds[[#This Row],[DU]],dus_svensson,svensson_real_spot)</f>
        <v>5.8043456490650902E-2</v>
      </c>
      <c r="M164" s="49">
        <f>IF(curve_type="Simulada",_xlfn.XLOOKUP(tbl_Bonds[[#This Row],[Coupon]],Simulador!$B$5:$B$147,Simulador!$K$5:$K$147),0)</f>
        <v>0</v>
      </c>
      <c r="N164" s="5" cm="1">
        <f t="array" ref="N16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5.8043456490650902E-2</v>
      </c>
      <c r="O164" s="6">
        <f>IF(curve_type="Mercado",tbl_Bonds[[#This Row],[FC]]/(1+tbl_Bonds[[#This Row],[Real Mercado]])^(tbl_Bonds[[#This Row],[DU]]/252),tbl_Bonds[[#This Row],[FC]]/(1+tbl_Bonds[[#This Row],[Real Simulada]])^(tbl_Bonds[[#This Row],[DU]]/252))</f>
        <v>1.6253008480200188E-2</v>
      </c>
      <c r="P164" s="7">
        <f>tbl_Bonds[[#This Row],[Cotação]]*VNA</f>
        <v>64.285594332015421</v>
      </c>
      <c r="Q164" s="18">
        <f>tbl_Bonds[[#This Row],[Cotação]]%%*VNA</f>
        <v>6.4285594332015427E-3</v>
      </c>
      <c r="R16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-6.4423760384291373E-2</v>
      </c>
      <c r="S16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-6.0887033040354657E-2</v>
      </c>
      <c r="T16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6.4421126203661944E-2</v>
      </c>
      <c r="U164" s="18">
        <f>IF(curve_type="Mercado",tbl_Bonds[[#This Row],[VP Cupom]]*LN(1+tbl_Bonds[[#This Row],[Real Mercado]])/252,tbl_Bonds[[#This Row],[VP Cupom]]*LN(1+tbl_Bonds[[#This Row],[Real Simulada]])/252)</f>
        <v>1.4393189158424666E-2</v>
      </c>
      <c r="V164" s="18">
        <f>SUMIF(Dashboard!$B$28:$B$42,tbl_Bonds[[#This Row],[Bond]],Dashboard!$C$28:$C$42)</f>
        <v>13940</v>
      </c>
      <c r="W164" s="18">
        <f>tbl_Bonds[[#This Row],[Quantidade]]*tbl_Bonds[[#This Row],[𝛿P/𝛿VNA]]</f>
        <v>89.614118498829512</v>
      </c>
      <c r="X164" s="18">
        <f>+tbl_Bonds[[#This Row],[Quantidade]]*tbl_Bonds[[#This Row],[𝛿P/𝛿r_real]]</f>
        <v>-898.06721975702169</v>
      </c>
      <c r="Y164" s="18">
        <f>tbl_Bonds[[#This Row],[Quantidade]]*tbl_Bonds[[#This Row],[𝛿P/𝛿r_pre]]</f>
        <v>-848.76524058254392</v>
      </c>
      <c r="Z164" s="18">
        <f>tbl_Bonds[[#This Row],[Quantidade]]*tbl_Bonds[[#This Row],[𝛿P/𝛿r_implicita]]</f>
        <v>898.03049927904749</v>
      </c>
      <c r="AA164" s="18">
        <f>tbl_Bonds[[#This Row],[Quantidade]]*tbl_Bonds[[#This Row],[𝛿P/𝛿du]]</f>
        <v>200.64105686843985</v>
      </c>
    </row>
    <row r="165" spans="1:27">
      <c r="A165" s="2" t="s">
        <v>86</v>
      </c>
      <c r="B165" s="3">
        <v>53097</v>
      </c>
      <c r="C165" s="3">
        <v>48899</v>
      </c>
      <c r="D165" s="4">
        <f>NETWORKDAYS(Dashboard!$C$10,bonds!C165,feriados)-1</f>
        <v>2799</v>
      </c>
      <c r="E165" s="2">
        <f>IF(tbl_Bonds[[#This Row],[Coupon]]&lt;tbl_Bonds[[#This Row],[Maturity]],SQRT(1.06)-1,SQRT(1.06))</f>
        <v>2.9563014098699991E-2</v>
      </c>
      <c r="F165" s="5" cm="1">
        <f t="array" ref="F165">Svensson(betas_pre,tbl_Bonds[[#This Row],[DU]])</f>
        <v>0.11963185756408813</v>
      </c>
      <c r="G165" s="49">
        <f>IF(curve_type="Simulada",_xlfn.XLOOKUP(tbl_Bonds[[#This Row],[Coupon]],Simulador!$B$5:$B$147,Simulador!$H$5:$H$147),0)</f>
        <v>0</v>
      </c>
      <c r="H165" s="5" cm="1">
        <f t="array" ref="H16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0.11963185756408813</v>
      </c>
      <c r="I165" s="5" cm="1">
        <f t="array" ref="I165">Interpola_FF(tbl_Bonds[[#This Row],[DU]],dus_svensson,svensson_implicita)</f>
        <v>5.8085960589666641E-2</v>
      </c>
      <c r="J165" s="49">
        <f>IF(curve_type="Simulada",_xlfn.XLOOKUP(tbl_Bonds[[#This Row],[Coupon]],Simulador!$B$5:$B$147,Simulador!$N$5:$N$147),0)</f>
        <v>0</v>
      </c>
      <c r="K165" s="5" cm="1">
        <f t="array" ref="K16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5.8085960589666641E-2</v>
      </c>
      <c r="L165" s="5" cm="1">
        <f t="array" ref="L165">Interpola_FF(tbl_Bonds[[#This Row],[DU]],dus_svensson,svensson_real_spot)</f>
        <v>5.8167204978008868E-2</v>
      </c>
      <c r="M165" s="49">
        <f>IF(curve_type="Simulada",_xlfn.XLOOKUP(tbl_Bonds[[#This Row],[Coupon]],Simulador!$B$5:$B$147,Simulador!$K$5:$K$147),0)</f>
        <v>0</v>
      </c>
      <c r="N165" s="5" cm="1">
        <f t="array" ref="N16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5.8167204978008868E-2</v>
      </c>
      <c r="O165" s="6">
        <f>IF(curve_type="Mercado",tbl_Bonds[[#This Row],[FC]]/(1+tbl_Bonds[[#This Row],[Real Mercado]])^(tbl_Bonds[[#This Row],[DU]]/252),tbl_Bonds[[#This Row],[FC]]/(1+tbl_Bonds[[#This Row],[Real Simulada]])^(tbl_Bonds[[#This Row],[DU]]/252))</f>
        <v>1.5776861717921441E-2</v>
      </c>
      <c r="P165" s="7">
        <f>tbl_Bonds[[#This Row],[Cotação]]*VNA</f>
        <v>62.402288995674574</v>
      </c>
      <c r="Q165" s="18">
        <f>tbl_Bonds[[#This Row],[Cotação]]%%*VNA</f>
        <v>6.2402288995674574E-3</v>
      </c>
      <c r="R16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-6.5501098052086731E-2</v>
      </c>
      <c r="S16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-6.1905274927641481E-2</v>
      </c>
      <c r="T16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6.5506131393732916E-2</v>
      </c>
      <c r="U165" s="18">
        <f>IF(curve_type="Mercado",tbl_Bonds[[#This Row],[VP Cupom]]*LN(1+tbl_Bonds[[#This Row],[Real Mercado]])/252,tbl_Bonds[[#This Row],[VP Cupom]]*LN(1+tbl_Bonds[[#This Row],[Real Simulada]])/252)</f>
        <v>1.4000488333919387E-2</v>
      </c>
      <c r="V165" s="18">
        <f>SUMIF(Dashboard!$B$28:$B$42,tbl_Bonds[[#This Row],[Bond]],Dashboard!$C$28:$C$42)</f>
        <v>13940</v>
      </c>
      <c r="W165" s="18">
        <f>tbl_Bonds[[#This Row],[Quantidade]]*tbl_Bonds[[#This Row],[𝛿P/𝛿VNA]]</f>
        <v>86.988790859970351</v>
      </c>
      <c r="X165" s="18">
        <f>+tbl_Bonds[[#This Row],[Quantidade]]*tbl_Bonds[[#This Row],[𝛿P/𝛿r_real]]</f>
        <v>-913.085306846089</v>
      </c>
      <c r="Y165" s="18">
        <f>tbl_Bonds[[#This Row],[Quantidade]]*tbl_Bonds[[#This Row],[𝛿P/𝛿r_pre]]</f>
        <v>-862.95953249132219</v>
      </c>
      <c r="Z165" s="18">
        <f>tbl_Bonds[[#This Row],[Quantidade]]*tbl_Bonds[[#This Row],[𝛿P/𝛿r_implicita]]</f>
        <v>913.15547162863686</v>
      </c>
      <c r="AA165" s="18">
        <f>tbl_Bonds[[#This Row],[Quantidade]]*tbl_Bonds[[#This Row],[𝛿P/𝛿du]]</f>
        <v>195.16680737483625</v>
      </c>
    </row>
    <row r="166" spans="1:27">
      <c r="A166" s="2" t="s">
        <v>86</v>
      </c>
      <c r="B166" s="3">
        <v>53097</v>
      </c>
      <c r="C166" s="3">
        <v>49079</v>
      </c>
      <c r="D166" s="4">
        <f>NETWORKDAYS(Dashboard!$C$10,bonds!C166,feriados)-1</f>
        <v>2922</v>
      </c>
      <c r="E166" s="2">
        <f>IF(tbl_Bonds[[#This Row],[Coupon]]&lt;tbl_Bonds[[#This Row],[Maturity]],SQRT(1.06)-1,SQRT(1.06))</f>
        <v>2.9563014098699991E-2</v>
      </c>
      <c r="F166" s="5" cm="1">
        <f t="array" ref="F166">Svensson(betas_pre,tbl_Bonds[[#This Row],[DU]])</f>
        <v>0.11974709192095902</v>
      </c>
      <c r="G166" s="49">
        <f>IF(curve_type="Simulada",_xlfn.XLOOKUP(tbl_Bonds[[#This Row],[Coupon]],Simulador!$B$5:$B$147,Simulador!$H$5:$H$147),0)</f>
        <v>0</v>
      </c>
      <c r="H166" s="5" cm="1">
        <f t="array" ref="H16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0.11974709192095902</v>
      </c>
      <c r="I166" s="5" cm="1">
        <f t="array" ref="I166">Interpola_FF(tbl_Bonds[[#This Row],[DU]],dus_svensson,svensson_implicita)</f>
        <v>5.8088485012417923E-2</v>
      </c>
      <c r="J166" s="49">
        <f>IF(curve_type="Simulada",_xlfn.XLOOKUP(tbl_Bonds[[#This Row],[Coupon]],Simulador!$B$5:$B$147,Simulador!$N$5:$N$147),0)</f>
        <v>0</v>
      </c>
      <c r="K166" s="5" cm="1">
        <f t="array" ref="K16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5.8088485012417923E-2</v>
      </c>
      <c r="L166" s="5" cm="1">
        <f t="array" ref="L166">Interpola_FF(tbl_Bonds[[#This Row],[DU]],dus_svensson,svensson_real_spot)</f>
        <v>5.8273585043413068E-2</v>
      </c>
      <c r="M166" s="49">
        <f>IF(curve_type="Simulada",_xlfn.XLOOKUP(tbl_Bonds[[#This Row],[Coupon]],Simulador!$B$5:$B$147,Simulador!$K$5:$K$147),0)</f>
        <v>0</v>
      </c>
      <c r="N166" s="5" cm="1">
        <f t="array" ref="N16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5.8273585043413068E-2</v>
      </c>
      <c r="O166" s="6">
        <f>IF(curve_type="Mercado",tbl_Bonds[[#This Row],[FC]]/(1+tbl_Bonds[[#This Row],[Real Mercado]])^(tbl_Bonds[[#This Row],[DU]]/252),tbl_Bonds[[#This Row],[FC]]/(1+tbl_Bonds[[#This Row],[Real Simulada]])^(tbl_Bonds[[#This Row],[DU]]/252))</f>
        <v>1.5329555178395567E-2</v>
      </c>
      <c r="P166" s="7">
        <f>tbl_Bonds[[#This Row],[Cotação]]*VNA</f>
        <v>60.633055516405278</v>
      </c>
      <c r="Q166" s="18">
        <f>tbl_Bonds[[#This Row],[Cotação]]%%*VNA</f>
        <v>6.0633055516405273E-3</v>
      </c>
      <c r="R16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-6.6434117329468037E-2</v>
      </c>
      <c r="S16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-6.2786921952783556E-2</v>
      </c>
      <c r="T16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6.6445740846024309E-2</v>
      </c>
      <c r="U166" s="18">
        <f>IF(curve_type="Mercado",tbl_Bonds[[#This Row],[VP Cupom]]*LN(1+tbl_Bonds[[#This Row],[Real Mercado]])/252,tbl_Bonds[[#This Row],[VP Cupom]]*LN(1+tbl_Bonds[[#This Row],[Real Simulada]])/252)</f>
        <v>1.3627733254803678E-2</v>
      </c>
      <c r="V166" s="18">
        <f>SUMIF(Dashboard!$B$28:$B$42,tbl_Bonds[[#This Row],[Bond]],Dashboard!$C$28:$C$42)</f>
        <v>13940</v>
      </c>
      <c r="W166" s="18">
        <f>tbl_Bonds[[#This Row],[Quantidade]]*tbl_Bonds[[#This Row],[𝛿P/𝛿VNA]]</f>
        <v>84.522479389868948</v>
      </c>
      <c r="X166" s="18">
        <f>+tbl_Bonds[[#This Row],[Quantidade]]*tbl_Bonds[[#This Row],[𝛿P/𝛿r_real]]</f>
        <v>-926.0915955727844</v>
      </c>
      <c r="Y166" s="18">
        <f>tbl_Bonds[[#This Row],[Quantidade]]*tbl_Bonds[[#This Row],[𝛿P/𝛿r_pre]]</f>
        <v>-875.24969202180273</v>
      </c>
      <c r="Z166" s="18">
        <f>tbl_Bonds[[#This Row],[Quantidade]]*tbl_Bonds[[#This Row],[𝛿P/𝛿r_implicita]]</f>
        <v>926.25362739357888</v>
      </c>
      <c r="AA166" s="18">
        <f>tbl_Bonds[[#This Row],[Quantidade]]*tbl_Bonds[[#This Row],[𝛿P/𝛿du]]</f>
        <v>189.97060157196327</v>
      </c>
    </row>
    <row r="167" spans="1:27">
      <c r="A167" s="2" t="s">
        <v>86</v>
      </c>
      <c r="B167" s="3">
        <v>53097</v>
      </c>
      <c r="C167" s="3">
        <v>49264</v>
      </c>
      <c r="D167" s="4">
        <f>NETWORKDAYS(Dashboard!$C$10,bonds!C167,feriados)-1</f>
        <v>3050</v>
      </c>
      <c r="E167" s="2">
        <f>IF(tbl_Bonds[[#This Row],[Coupon]]&lt;tbl_Bonds[[#This Row],[Maturity]],SQRT(1.06)-1,SQRT(1.06))</f>
        <v>2.9563014098699991E-2</v>
      </c>
      <c r="F167" s="5" cm="1">
        <f t="array" ref="F167">Svensson(betas_pre,tbl_Bonds[[#This Row],[DU]])</f>
        <v>0.11985718969671773</v>
      </c>
      <c r="G167" s="49">
        <f>IF(curve_type="Simulada",_xlfn.XLOOKUP(tbl_Bonds[[#This Row],[Coupon]],Simulador!$B$5:$B$147,Simulador!$H$5:$H$147),0)</f>
        <v>0</v>
      </c>
      <c r="H167" s="5" cm="1">
        <f t="array" ref="H16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0.11985718969671773</v>
      </c>
      <c r="I167" s="5" cm="1">
        <f t="array" ref="I167">Interpola_FF(tbl_Bonds[[#This Row],[DU]],dus_svensson,svensson_implicita)</f>
        <v>5.8095387399661913E-2</v>
      </c>
      <c r="J167" s="49">
        <f>IF(curve_type="Simulada",_xlfn.XLOOKUP(tbl_Bonds[[#This Row],[Coupon]],Simulador!$B$5:$B$147,Simulador!$N$5:$N$147),0)</f>
        <v>0</v>
      </c>
      <c r="K167" s="5" cm="1">
        <f t="array" ref="K16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5.8095387399661913E-2</v>
      </c>
      <c r="L167" s="5" cm="1">
        <f t="array" ref="L167">Interpola_FF(tbl_Bonds[[#This Row],[DU]],dus_svensson,svensson_real_spot)</f>
        <v>5.8370732786934276E-2</v>
      </c>
      <c r="M167" s="49">
        <f>IF(curve_type="Simulada",_xlfn.XLOOKUP(tbl_Bonds[[#This Row],[Coupon]],Simulador!$B$5:$B$147,Simulador!$K$5:$K$147),0)</f>
        <v>0</v>
      </c>
      <c r="N167" s="5" cm="1">
        <f t="array" ref="N16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5.8370732786934276E-2</v>
      </c>
      <c r="O167" s="6">
        <f>IF(curve_type="Mercado",tbl_Bonds[[#This Row],[FC]]/(1+tbl_Bonds[[#This Row],[Real Mercado]])^(tbl_Bonds[[#This Row],[DU]]/252),tbl_Bonds[[#This Row],[FC]]/(1+tbl_Bonds[[#This Row],[Real Simulada]])^(tbl_Bonds[[#This Row],[DU]]/252))</f>
        <v>1.4878284256243556E-2</v>
      </c>
      <c r="P167" s="7">
        <f>tbl_Bonds[[#This Row],[Cotação]]*VNA</f>
        <v>58.848141697487407</v>
      </c>
      <c r="Q167" s="18">
        <f>tbl_Bonds[[#This Row],[Cotação]]%%*VNA</f>
        <v>5.8848141697487406E-3</v>
      </c>
      <c r="R16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-6.7296771535011471E-2</v>
      </c>
      <c r="S16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-6.3601800920033341E-2</v>
      </c>
      <c r="T16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6.7314284596777754E-2</v>
      </c>
      <c r="U167" s="18">
        <f>IF(curve_type="Mercado",tbl_Bonds[[#This Row],[VP Cupom]]*LN(1+tbl_Bonds[[#This Row],[Real Mercado]])/252,tbl_Bonds[[#This Row],[VP Cupom]]*LN(1+tbl_Bonds[[#This Row],[Real Simulada]])/252)</f>
        <v>1.3247996670874179E-2</v>
      </c>
      <c r="V167" s="18">
        <f>SUMIF(Dashboard!$B$28:$B$42,tbl_Bonds[[#This Row],[Bond]],Dashboard!$C$28:$C$42)</f>
        <v>13940</v>
      </c>
      <c r="W167" s="18">
        <f>tbl_Bonds[[#This Row],[Quantidade]]*tbl_Bonds[[#This Row],[𝛿P/𝛿VNA]]</f>
        <v>82.034309526297449</v>
      </c>
      <c r="X167" s="18">
        <f>+tbl_Bonds[[#This Row],[Quantidade]]*tbl_Bonds[[#This Row],[𝛿P/𝛿r_real]]</f>
        <v>-938.11699519805995</v>
      </c>
      <c r="Y167" s="18">
        <f>tbl_Bonds[[#This Row],[Quantidade]]*tbl_Bonds[[#This Row],[𝛿P/𝛿r_pre]]</f>
        <v>-886.60910482526481</v>
      </c>
      <c r="Z167" s="18">
        <f>tbl_Bonds[[#This Row],[Quantidade]]*tbl_Bonds[[#This Row],[𝛿P/𝛿r_implicita]]</f>
        <v>938.36112727908187</v>
      </c>
      <c r="AA167" s="18">
        <f>tbl_Bonds[[#This Row],[Quantidade]]*tbl_Bonds[[#This Row],[𝛿P/𝛿du]]</f>
        <v>184.67707359198604</v>
      </c>
    </row>
    <row r="168" spans="1:27">
      <c r="A168" s="2" t="s">
        <v>86</v>
      </c>
      <c r="B168" s="3">
        <v>53097</v>
      </c>
      <c r="C168" s="3">
        <v>49444</v>
      </c>
      <c r="D168" s="4">
        <f>NETWORKDAYS(Dashboard!$C$10,bonds!C168,feriados)-1</f>
        <v>3172</v>
      </c>
      <c r="E168" s="2">
        <f>IF(tbl_Bonds[[#This Row],[Coupon]]&lt;tbl_Bonds[[#This Row],[Maturity]],SQRT(1.06)-1,SQRT(1.06))</f>
        <v>2.9563014098699991E-2</v>
      </c>
      <c r="F168" s="5" cm="1">
        <f t="array" ref="F168">Svensson(betas_pre,tbl_Bonds[[#This Row],[DU]])</f>
        <v>0.11995387783157511</v>
      </c>
      <c r="G168" s="49">
        <f>IF(curve_type="Simulada",_xlfn.XLOOKUP(tbl_Bonds[[#This Row],[Coupon]],Simulador!$B$5:$B$147,Simulador!$H$5:$H$147),0)</f>
        <v>0</v>
      </c>
      <c r="H168" s="5" cm="1">
        <f t="array" ref="H16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0.11995387783157511</v>
      </c>
      <c r="I168" s="5" cm="1">
        <f t="array" ref="I168">Interpola_FF(tbl_Bonds[[#This Row],[DU]],dus_svensson,svensson_implicita)</f>
        <v>5.8106093860155639E-2</v>
      </c>
      <c r="J168" s="49">
        <f>IF(curve_type="Simulada",_xlfn.XLOOKUP(tbl_Bonds[[#This Row],[Coupon]],Simulador!$B$5:$B$147,Simulador!$N$5:$N$147),0)</f>
        <v>0</v>
      </c>
      <c r="K168" s="5" cm="1">
        <f t="array" ref="K16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5.8106093860155639E-2</v>
      </c>
      <c r="L168" s="5" cm="1">
        <f t="array" ref="L168">Interpola_FF(tbl_Bonds[[#This Row],[DU]],dus_svensson,svensson_real_spot)</f>
        <v>5.845140132792781E-2</v>
      </c>
      <c r="M168" s="49">
        <f>IF(curve_type="Simulada",_xlfn.XLOOKUP(tbl_Bonds[[#This Row],[Coupon]],Simulador!$B$5:$B$147,Simulador!$K$5:$K$147),0)</f>
        <v>0</v>
      </c>
      <c r="N168" s="5" cm="1">
        <f t="array" ref="N16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5.845140132792781E-2</v>
      </c>
      <c r="O168" s="6">
        <f>IF(curve_type="Mercado",tbl_Bonds[[#This Row],[FC]]/(1+tbl_Bonds[[#This Row],[Real Mercado]])^(tbl_Bonds[[#This Row],[DU]]/252),tbl_Bonds[[#This Row],[FC]]/(1+tbl_Bonds[[#This Row],[Real Simulada]])^(tbl_Bonds[[#This Row],[DU]]/252))</f>
        <v>1.4461334505663948E-2</v>
      </c>
      <c r="P168" s="7">
        <f>tbl_Bonds[[#This Row],[Cotação]]*VNA</f>
        <v>57.198978556075836</v>
      </c>
      <c r="Q168" s="18">
        <f>tbl_Bonds[[#This Row],[Cotação]]%%*VNA</f>
        <v>5.7198978556075837E-3</v>
      </c>
      <c r="R16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-6.8022092716551602E-2</v>
      </c>
      <c r="S16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-6.4286646759831728E-2</v>
      </c>
      <c r="T16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6.8044291351541747E-2</v>
      </c>
      <c r="U168" s="18">
        <f>IF(curve_type="Mercado",tbl_Bonds[[#This Row],[VP Cupom]]*LN(1+tbl_Bonds[[#This Row],[Real Mercado]])/252,tbl_Bonds[[#This Row],[VP Cupom]]*LN(1+tbl_Bonds[[#This Row],[Real Simulada]])/252)</f>
        <v>1.2894033837463435E-2</v>
      </c>
      <c r="V168" s="18">
        <f>SUMIF(Dashboard!$B$28:$B$42,tbl_Bonds[[#This Row],[Bond]],Dashboard!$C$28:$C$42)</f>
        <v>13940</v>
      </c>
      <c r="W168" s="18">
        <f>tbl_Bonds[[#This Row],[Quantidade]]*tbl_Bonds[[#This Row],[𝛿P/𝛿VNA]]</f>
        <v>79.735376107169714</v>
      </c>
      <c r="X168" s="18">
        <f>+tbl_Bonds[[#This Row],[Quantidade]]*tbl_Bonds[[#This Row],[𝛿P/𝛿r_real]]</f>
        <v>-948.22797246872938</v>
      </c>
      <c r="Y168" s="18">
        <f>tbl_Bonds[[#This Row],[Quantidade]]*tbl_Bonds[[#This Row],[𝛿P/𝛿r_pre]]</f>
        <v>-896.15585583205427</v>
      </c>
      <c r="Z168" s="18">
        <f>tbl_Bonds[[#This Row],[Quantidade]]*tbl_Bonds[[#This Row],[𝛿P/𝛿r_implicita]]</f>
        <v>948.53742144049193</v>
      </c>
      <c r="AA168" s="18">
        <f>tbl_Bonds[[#This Row],[Quantidade]]*tbl_Bonds[[#This Row],[𝛿P/𝛿du]]</f>
        <v>179.74283169424027</v>
      </c>
    </row>
    <row r="169" spans="1:27">
      <c r="A169" s="2" t="s">
        <v>86</v>
      </c>
      <c r="B169" s="3">
        <v>53097</v>
      </c>
      <c r="C169" s="3">
        <v>49629</v>
      </c>
      <c r="D169" s="4">
        <f>NETWORKDAYS(Dashboard!$C$10,bonds!C169,feriados)-1</f>
        <v>3300</v>
      </c>
      <c r="E169" s="2">
        <f>IF(tbl_Bonds[[#This Row],[Coupon]]&lt;tbl_Bonds[[#This Row],[Maturity]],SQRT(1.06)-1,SQRT(1.06))</f>
        <v>2.9563014098699991E-2</v>
      </c>
      <c r="F169" s="5" cm="1">
        <f t="array" ref="F169">Svensson(betas_pre,tbl_Bonds[[#This Row],[DU]])</f>
        <v>0.12004764540153573</v>
      </c>
      <c r="G169" s="49">
        <f>IF(curve_type="Simulada",_xlfn.XLOOKUP(tbl_Bonds[[#This Row],[Coupon]],Simulador!$B$5:$B$147,Simulador!$H$5:$H$147),0)</f>
        <v>0</v>
      </c>
      <c r="H169" s="5" cm="1">
        <f t="array" ref="H16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0.12004764540153573</v>
      </c>
      <c r="I169" s="5" cm="1">
        <f t="array" ref="I169">Interpola_FF(tbl_Bonds[[#This Row],[DU]],dus_svensson,svensson_implicita)</f>
        <v>5.8121726259442674E-2</v>
      </c>
      <c r="J169" s="49">
        <f>IF(curve_type="Simulada",_xlfn.XLOOKUP(tbl_Bonds[[#This Row],[Coupon]],Simulador!$B$5:$B$147,Simulador!$N$5:$N$147),0)</f>
        <v>0</v>
      </c>
      <c r="K169" s="5" cm="1">
        <f t="array" ref="K16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5.8121726259442674E-2</v>
      </c>
      <c r="L169" s="5" cm="1">
        <f t="array" ref="L169">Interpola_FF(tbl_Bonds[[#This Row],[DU]],dus_svensson,svensson_real_spot)</f>
        <v>5.8524380683759647E-2</v>
      </c>
      <c r="M169" s="49">
        <f>IF(curve_type="Simulada",_xlfn.XLOOKUP(tbl_Bonds[[#This Row],[Coupon]],Simulador!$B$5:$B$147,Simulador!$K$5:$K$147),0)</f>
        <v>0</v>
      </c>
      <c r="N169" s="5" cm="1">
        <f t="array" ref="N16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5.8524380683759647E-2</v>
      </c>
      <c r="O169" s="6">
        <f>IF(curve_type="Mercado",tbl_Bonds[[#This Row],[FC]]/(1+tbl_Bonds[[#This Row],[Real Mercado]])^(tbl_Bonds[[#This Row],[DU]]/252),tbl_Bonds[[#This Row],[FC]]/(1+tbl_Bonds[[#This Row],[Real Simulada]])^(tbl_Bonds[[#This Row],[DU]]/252))</f>
        <v>1.403734572587946E-2</v>
      </c>
      <c r="P169" s="7">
        <f>tbl_Bonds[[#This Row],[Cotação]]*VNA</f>
        <v>55.52197391218138</v>
      </c>
      <c r="Q169" s="18">
        <f>tbl_Bonds[[#This Row],[Cotação]]%%*VNA</f>
        <v>5.5521973912181386E-3</v>
      </c>
      <c r="R16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-6.868745596846397E-2</v>
      </c>
      <c r="S16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-6.4914512098854835E-2</v>
      </c>
      <c r="T16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6.8713593742885354E-2</v>
      </c>
      <c r="U169" s="18">
        <f>IF(curve_type="Mercado",tbl_Bonds[[#This Row],[VP Cupom]]*LN(1+tbl_Bonds[[#This Row],[Real Mercado]])/252,tbl_Bonds[[#This Row],[VP Cupom]]*LN(1+tbl_Bonds[[#This Row],[Real Simulada]])/252)</f>
        <v>1.2531187135993242E-2</v>
      </c>
      <c r="V169" s="18">
        <f>SUMIF(Dashboard!$B$28:$B$42,tbl_Bonds[[#This Row],[Bond]],Dashboard!$C$28:$C$42)</f>
        <v>13940</v>
      </c>
      <c r="W169" s="18">
        <f>tbl_Bonds[[#This Row],[Quantidade]]*tbl_Bonds[[#This Row],[𝛿P/𝛿VNA]]</f>
        <v>77.397631633580858</v>
      </c>
      <c r="X169" s="18">
        <f>+tbl_Bonds[[#This Row],[Quantidade]]*tbl_Bonds[[#This Row],[𝛿P/𝛿r_real]]</f>
        <v>-957.50313620038776</v>
      </c>
      <c r="Y169" s="18">
        <f>tbl_Bonds[[#This Row],[Quantidade]]*tbl_Bonds[[#This Row],[𝛿P/𝛿r_pre]]</f>
        <v>-904.90829865803641</v>
      </c>
      <c r="Z169" s="18">
        <f>tbl_Bonds[[#This Row],[Quantidade]]*tbl_Bonds[[#This Row],[𝛿P/𝛿r_implicita]]</f>
        <v>957.86749677582179</v>
      </c>
      <c r="AA169" s="18">
        <f>tbl_Bonds[[#This Row],[Quantidade]]*tbl_Bonds[[#This Row],[𝛿P/𝛿du]]</f>
        <v>174.68474867574579</v>
      </c>
    </row>
    <row r="170" spans="1:27">
      <c r="A170" s="2" t="s">
        <v>86</v>
      </c>
      <c r="B170" s="3">
        <v>53097</v>
      </c>
      <c r="C170" s="3">
        <v>49810</v>
      </c>
      <c r="D170" s="4">
        <f>NETWORKDAYS(Dashboard!$C$10,bonds!C170,feriados)-1</f>
        <v>3422</v>
      </c>
      <c r="E170" s="2">
        <f>IF(tbl_Bonds[[#This Row],[Coupon]]&lt;tbl_Bonds[[#This Row],[Maturity]],SQRT(1.06)-1,SQRT(1.06))</f>
        <v>2.9563014098699991E-2</v>
      </c>
      <c r="F170" s="5" cm="1">
        <f t="array" ref="F170">Svensson(betas_pre,tbl_Bonds[[#This Row],[DU]])</f>
        <v>0.12013049074279633</v>
      </c>
      <c r="G170" s="49">
        <f>IF(curve_type="Simulada",_xlfn.XLOOKUP(tbl_Bonds[[#This Row],[Coupon]],Simulador!$B$5:$B$147,Simulador!$H$5:$H$147),0)</f>
        <v>0</v>
      </c>
      <c r="H170" s="5" cm="1">
        <f t="array" ref="H17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0.12013049074279633</v>
      </c>
      <c r="I170" s="5" cm="1">
        <f t="array" ref="I170">Interpola_FF(tbl_Bonds[[#This Row],[DU]],dus_svensson,svensson_implicita)</f>
        <v>5.8140396215799139E-2</v>
      </c>
      <c r="J170" s="49">
        <f>IF(curve_type="Simulada",_xlfn.XLOOKUP(tbl_Bonds[[#This Row],[Coupon]],Simulador!$B$5:$B$147,Simulador!$N$5:$N$147),0)</f>
        <v>0</v>
      </c>
      <c r="K170" s="5" cm="1">
        <f t="array" ref="K17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5.8140396215799139E-2</v>
      </c>
      <c r="L170" s="5" cm="1">
        <f t="array" ref="L170">Interpola_FF(tbl_Bonds[[#This Row],[DU]],dus_svensson,svensson_real_spot)</f>
        <v>5.8583997211028471E-2</v>
      </c>
      <c r="M170" s="49">
        <f>IF(curve_type="Simulada",_xlfn.XLOOKUP(tbl_Bonds[[#This Row],[Coupon]],Simulador!$B$5:$B$147,Simulador!$K$5:$K$147),0)</f>
        <v>0</v>
      </c>
      <c r="N170" s="5" cm="1">
        <f t="array" ref="N17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5.8583997211028471E-2</v>
      </c>
      <c r="O170" s="6">
        <f>IF(curve_type="Mercado",tbl_Bonds[[#This Row],[FC]]/(1+tbl_Bonds[[#This Row],[Real Mercado]])^(tbl_Bonds[[#This Row],[DU]]/252),tbl_Bonds[[#This Row],[FC]]/(1+tbl_Bonds[[#This Row],[Real Simulada]])^(tbl_Bonds[[#This Row],[DU]]/252))</f>
        <v>1.3645658669968702E-2</v>
      </c>
      <c r="P170" s="7">
        <f>tbl_Bonds[[#This Row],[Cotação]]*VNA</f>
        <v>53.972732415626744</v>
      </c>
      <c r="Q170" s="18">
        <f>tbl_Bonds[[#This Row],[Cotação]]%%*VNA</f>
        <v>5.3972732415626746E-3</v>
      </c>
      <c r="R17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-6.9235454128688367E-2</v>
      </c>
      <c r="S17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-6.5431254604886996E-2</v>
      </c>
      <c r="T17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6.9264479073476104E-2</v>
      </c>
      <c r="U170" s="18">
        <f>IF(curve_type="Mercado",tbl_Bonds[[#This Row],[VP Cupom]]*LN(1+tbl_Bonds[[#This Row],[Real Mercado]])/252,tbl_Bonds[[#This Row],[VP Cupom]]*LN(1+tbl_Bonds[[#This Row],[Real Simulada]])/252)</f>
        <v>1.2193588970416338E-2</v>
      </c>
      <c r="V170" s="18">
        <f>SUMIF(Dashboard!$B$28:$B$42,tbl_Bonds[[#This Row],[Bond]],Dashboard!$C$28:$C$42)</f>
        <v>13940</v>
      </c>
      <c r="W170" s="18">
        <f>tbl_Bonds[[#This Row],[Quantidade]]*tbl_Bonds[[#This Row],[𝛿P/𝛿VNA]]</f>
        <v>75.237988987383687</v>
      </c>
      <c r="X170" s="18">
        <f>+tbl_Bonds[[#This Row],[Quantidade]]*tbl_Bonds[[#This Row],[𝛿P/𝛿r_real]]</f>
        <v>-965.14223055391585</v>
      </c>
      <c r="Y170" s="18">
        <f>tbl_Bonds[[#This Row],[Quantidade]]*tbl_Bonds[[#This Row],[𝛿P/𝛿r_pre]]</f>
        <v>-912.11168919212469</v>
      </c>
      <c r="Z170" s="18">
        <f>tbl_Bonds[[#This Row],[Quantidade]]*tbl_Bonds[[#This Row],[𝛿P/𝛿r_implicita]]</f>
        <v>965.54683828425686</v>
      </c>
      <c r="AA170" s="18">
        <f>tbl_Bonds[[#This Row],[Quantidade]]*tbl_Bonds[[#This Row],[𝛿P/𝛿du]]</f>
        <v>169.97863024760375</v>
      </c>
    </row>
    <row r="171" spans="1:27">
      <c r="A171" s="2" t="s">
        <v>86</v>
      </c>
      <c r="B171" s="3">
        <v>53097</v>
      </c>
      <c r="C171" s="3">
        <v>49996</v>
      </c>
      <c r="D171" s="4">
        <f>NETWORKDAYS(Dashboard!$C$10,bonds!C171,feriados)-1</f>
        <v>3553</v>
      </c>
      <c r="E171" s="2">
        <f>IF(tbl_Bonds[[#This Row],[Coupon]]&lt;tbl_Bonds[[#This Row],[Maturity]],SQRT(1.06)-1,SQRT(1.06))</f>
        <v>2.9563014098699991E-2</v>
      </c>
      <c r="F171" s="5" cm="1">
        <f t="array" ref="F171">Svensson(betas_pre,tbl_Bonds[[#This Row],[DU]])</f>
        <v>0.12021311213738863</v>
      </c>
      <c r="G171" s="49">
        <f>IF(curve_type="Simulada",_xlfn.XLOOKUP(tbl_Bonds[[#This Row],[Coupon]],Simulador!$B$5:$B$147,Simulador!$H$5:$H$147),0)</f>
        <v>0</v>
      </c>
      <c r="H171" s="5" cm="1">
        <f t="array" ref="H17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0.12021311213738863</v>
      </c>
      <c r="I171" s="5" cm="1">
        <f t="array" ref="I171">Interpola_FF(tbl_Bonds[[#This Row],[DU]],dus_svensson,svensson_implicita)</f>
        <v>5.8164335714771864E-2</v>
      </c>
      <c r="J171" s="49">
        <f>IF(curve_type="Simulada",_xlfn.XLOOKUP(tbl_Bonds[[#This Row],[Coupon]],Simulador!$B$5:$B$147,Simulador!$N$5:$N$147),0)</f>
        <v>0</v>
      </c>
      <c r="K171" s="5" cm="1">
        <f t="array" ref="K17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5.8164335714771864E-2</v>
      </c>
      <c r="L171" s="5" cm="1">
        <f t="array" ref="L171">Interpola_FF(tbl_Bonds[[#This Row],[DU]],dus_svensson,svensson_real_spot)</f>
        <v>5.8638128010987556E-2</v>
      </c>
      <c r="M171" s="49">
        <f>IF(curve_type="Simulada",_xlfn.XLOOKUP(tbl_Bonds[[#This Row],[Coupon]],Simulador!$B$5:$B$147,Simulador!$K$5:$K$147),0)</f>
        <v>0</v>
      </c>
      <c r="N171" s="5" cm="1">
        <f t="array" ref="N17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5.8638128010987556E-2</v>
      </c>
      <c r="O171" s="6">
        <f>IF(curve_type="Mercado",tbl_Bonds[[#This Row],[FC]]/(1+tbl_Bonds[[#This Row],[Real Mercado]])^(tbl_Bonds[[#This Row],[DU]]/252),tbl_Bonds[[#This Row],[FC]]/(1+tbl_Bonds[[#This Row],[Real Simulada]])^(tbl_Bonds[[#This Row],[DU]]/252))</f>
        <v>1.3238176187913214E-2</v>
      </c>
      <c r="P171" s="7">
        <f>tbl_Bonds[[#This Row],[Cotação]]*VNA</f>
        <v>52.361015202119255</v>
      </c>
      <c r="Q171" s="18">
        <f>tbl_Bonds[[#This Row],[Cotação]]%%*VNA</f>
        <v>5.2361015202119264E-3</v>
      </c>
      <c r="R17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-6.9735704624172362E-2</v>
      </c>
      <c r="S17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-6.5902527292871188E-2</v>
      </c>
      <c r="T17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6.9766928164895131E-2</v>
      </c>
      <c r="U171" s="18">
        <f>IF(curve_type="Mercado",tbl_Bonds[[#This Row],[VP Cupom]]*LN(1+tbl_Bonds[[#This Row],[Real Mercado]])/252,tbl_Bonds[[#This Row],[VP Cupom]]*LN(1+tbl_Bonds[[#This Row],[Real Simulada]])/252)</f>
        <v>1.184009242130509E-2</v>
      </c>
      <c r="V171" s="18">
        <f>SUMIF(Dashboard!$B$28:$B$42,tbl_Bonds[[#This Row],[Bond]],Dashboard!$C$28:$C$42)</f>
        <v>13940</v>
      </c>
      <c r="W171" s="18">
        <f>tbl_Bonds[[#This Row],[Quantidade]]*tbl_Bonds[[#This Row],[𝛿P/𝛿VNA]]</f>
        <v>72.991255191754249</v>
      </c>
      <c r="X171" s="18">
        <f>+tbl_Bonds[[#This Row],[Quantidade]]*tbl_Bonds[[#This Row],[𝛿P/𝛿r_real]]</f>
        <v>-972.11572246096273</v>
      </c>
      <c r="Y171" s="18">
        <f>tbl_Bonds[[#This Row],[Quantidade]]*tbl_Bonds[[#This Row],[𝛿P/𝛿r_pre]]</f>
        <v>-918.6812304626244</v>
      </c>
      <c r="Z171" s="18">
        <f>tbl_Bonds[[#This Row],[Quantidade]]*tbl_Bonds[[#This Row],[𝛿P/𝛿r_implicita]]</f>
        <v>972.55097861863817</v>
      </c>
      <c r="AA171" s="18">
        <f>tbl_Bonds[[#This Row],[Quantidade]]*tbl_Bonds[[#This Row],[𝛿P/𝛿du]]</f>
        <v>165.05088835299296</v>
      </c>
    </row>
    <row r="172" spans="1:27">
      <c r="A172" s="2" t="s">
        <v>86</v>
      </c>
      <c r="B172" s="3">
        <v>53097</v>
      </c>
      <c r="C172" s="3">
        <v>50175</v>
      </c>
      <c r="D172" s="4">
        <f>NETWORKDAYS(Dashboard!$C$10,bonds!C172,feriados)-1</f>
        <v>3675</v>
      </c>
      <c r="E172" s="2">
        <f>IF(tbl_Bonds[[#This Row],[Coupon]]&lt;tbl_Bonds[[#This Row],[Maturity]],SQRT(1.06)-1,SQRT(1.06))</f>
        <v>2.9563014098699991E-2</v>
      </c>
      <c r="F172" s="5" cm="1">
        <f t="array" ref="F172">Svensson(betas_pre,tbl_Bonds[[#This Row],[DU]])</f>
        <v>0.12028475749761516</v>
      </c>
      <c r="G172" s="49">
        <f>IF(curve_type="Simulada",_xlfn.XLOOKUP(tbl_Bonds[[#This Row],[Coupon]],Simulador!$B$5:$B$147,Simulador!$H$5:$H$147),0)</f>
        <v>0</v>
      </c>
      <c r="H172" s="5" cm="1">
        <f t="array" ref="H17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0.12028475749761516</v>
      </c>
      <c r="I172" s="5" cm="1">
        <f t="array" ref="I172">Interpola_FF(tbl_Bonds[[#This Row],[DU]],dus_svensson,svensson_implicita)</f>
        <v>5.8189597608516941E-2</v>
      </c>
      <c r="J172" s="49">
        <f>IF(curve_type="Simulada",_xlfn.XLOOKUP(tbl_Bonds[[#This Row],[Coupon]],Simulador!$B$5:$B$147,Simulador!$N$5:$N$147),0)</f>
        <v>0</v>
      </c>
      <c r="K172" s="5" cm="1">
        <f t="array" ref="K17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5.8189597608516941E-2</v>
      </c>
      <c r="L172" s="5" cm="1">
        <f t="array" ref="L172">Interpola_FF(tbl_Bonds[[#This Row],[DU]],dus_svensson,svensson_real_spot)</f>
        <v>5.8680561097130379E-2</v>
      </c>
      <c r="M172" s="49">
        <f>IF(curve_type="Simulada",_xlfn.XLOOKUP(tbl_Bonds[[#This Row],[Coupon]],Simulador!$B$5:$B$147,Simulador!$K$5:$K$147),0)</f>
        <v>0</v>
      </c>
      <c r="N172" s="5" cm="1">
        <f t="array" ref="N17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5.8680561097130379E-2</v>
      </c>
      <c r="O172" s="6">
        <f>IF(curve_type="Mercado",tbl_Bonds[[#This Row],[FC]]/(1+tbl_Bonds[[#This Row],[Real Mercado]])^(tbl_Bonds[[#This Row],[DU]]/252),tbl_Bonds[[#This Row],[FC]]/(1+tbl_Bonds[[#This Row],[Real Simulada]])^(tbl_Bonds[[#This Row],[DU]]/252))</f>
        <v>1.2870438740915906E-2</v>
      </c>
      <c r="P172" s="7">
        <f>tbl_Bonds[[#This Row],[Cotação]]*VNA</f>
        <v>50.906501696686767</v>
      </c>
      <c r="Q172" s="18">
        <f>tbl_Bonds[[#This Row],[Cotação]]%%*VNA</f>
        <v>5.0906501696686762E-3</v>
      </c>
      <c r="R17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-7.0123747460455216E-2</v>
      </c>
      <c r="S17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-6.6267658535168902E-2</v>
      </c>
      <c r="T17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7.0156281955316924E-2</v>
      </c>
      <c r="U172" s="18">
        <f>IF(curve_type="Mercado",tbl_Bonds[[#This Row],[VP Cupom]]*LN(1+tbl_Bonds[[#This Row],[Real Mercado]])/252,tbl_Bonds[[#This Row],[VP Cupom]]*LN(1+tbl_Bonds[[#This Row],[Real Simulada]])/252)</f>
        <v>1.1519288668778977E-2</v>
      </c>
      <c r="V172" s="18">
        <f>SUMIF(Dashboard!$B$28:$B$42,tbl_Bonds[[#This Row],[Bond]],Dashboard!$C$28:$C$42)</f>
        <v>13940</v>
      </c>
      <c r="W172" s="18">
        <f>tbl_Bonds[[#This Row],[Quantidade]]*tbl_Bonds[[#This Row],[𝛿P/𝛿VNA]]</f>
        <v>70.963663365181347</v>
      </c>
      <c r="X172" s="18">
        <f>+tbl_Bonds[[#This Row],[Quantidade]]*tbl_Bonds[[#This Row],[𝛿P/𝛿r_real]]</f>
        <v>-977.52503959874571</v>
      </c>
      <c r="Y172" s="18">
        <f>tbl_Bonds[[#This Row],[Quantidade]]*tbl_Bonds[[#This Row],[𝛿P/𝛿r_pre]]</f>
        <v>-923.77115998025454</v>
      </c>
      <c r="Z172" s="18">
        <f>tbl_Bonds[[#This Row],[Quantidade]]*tbl_Bonds[[#This Row],[𝛿P/𝛿r_implicita]]</f>
        <v>977.97857045711794</v>
      </c>
      <c r="AA172" s="18">
        <f>tbl_Bonds[[#This Row],[Quantidade]]*tbl_Bonds[[#This Row],[𝛿P/𝛿du]]</f>
        <v>160.57888404277895</v>
      </c>
    </row>
    <row r="173" spans="1:27">
      <c r="A173" s="2" t="s">
        <v>86</v>
      </c>
      <c r="B173" s="3">
        <v>53097</v>
      </c>
      <c r="C173" s="3">
        <v>50360</v>
      </c>
      <c r="D173" s="4">
        <f>NETWORKDAYS(Dashboard!$C$10,bonds!C173,feriados)-1</f>
        <v>3802</v>
      </c>
      <c r="E173" s="2">
        <f>IF(tbl_Bonds[[#This Row],[Coupon]]&lt;tbl_Bonds[[#This Row],[Maturity]],SQRT(1.06)-1,SQRT(1.06))</f>
        <v>2.9563014098699991E-2</v>
      </c>
      <c r="F173" s="5" cm="1">
        <f t="array" ref="F173">Svensson(betas_pre,tbl_Bonds[[#This Row],[DU]])</f>
        <v>0.12035445137264894</v>
      </c>
      <c r="G173" s="49">
        <f>IF(curve_type="Simulada",_xlfn.XLOOKUP(tbl_Bonds[[#This Row],[Coupon]],Simulador!$B$5:$B$147,Simulador!$H$5:$H$147),0)</f>
        <v>0</v>
      </c>
      <c r="H173" s="5" cm="1">
        <f t="array" ref="H17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0.12035445137264894</v>
      </c>
      <c r="I173" s="5" cm="1">
        <f t="array" ref="I173">Interpola_FF(tbl_Bonds[[#This Row],[DU]],dus_svensson,svensson_implicita)</f>
        <v>5.8218636843994753E-2</v>
      </c>
      <c r="J173" s="49">
        <f>IF(curve_type="Simulada",_xlfn.XLOOKUP(tbl_Bonds[[#This Row],[Coupon]],Simulador!$B$5:$B$147,Simulador!$N$5:$N$147),0)</f>
        <v>0</v>
      </c>
      <c r="K173" s="5" cm="1">
        <f t="array" ref="K17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5.8218636843994753E-2</v>
      </c>
      <c r="L173" s="5" cm="1">
        <f t="array" ref="L173">Interpola_FF(tbl_Bonds[[#This Row],[DU]],dus_svensson,svensson_real_spot)</f>
        <v>5.8717368819042326E-2</v>
      </c>
      <c r="M173" s="49">
        <f>IF(curve_type="Simulada",_xlfn.XLOOKUP(tbl_Bonds[[#This Row],[Coupon]],Simulador!$B$5:$B$147,Simulador!$K$5:$K$147),0)</f>
        <v>0</v>
      </c>
      <c r="N173" s="5" cm="1">
        <f t="array" ref="N17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5.8717368819042326E-2</v>
      </c>
      <c r="O173" s="6">
        <f>IF(curve_type="Mercado",tbl_Bonds[[#This Row],[FC]]/(1+tbl_Bonds[[#This Row],[Real Mercado]])^(tbl_Bonds[[#This Row],[DU]]/252),tbl_Bonds[[#This Row],[FC]]/(1+tbl_Bonds[[#This Row],[Real Simulada]])^(tbl_Bonds[[#This Row],[DU]]/252))</f>
        <v>1.2499274456523261E-2</v>
      </c>
      <c r="P173" s="7">
        <f>tbl_Bonds[[#This Row],[Cotação]]*VNA</f>
        <v>49.438434006568606</v>
      </c>
      <c r="Q173" s="18">
        <f>tbl_Bonds[[#This Row],[Cotação]]%%*VNA</f>
        <v>4.9438434006568608E-3</v>
      </c>
      <c r="R17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-7.0452472569994887E-2</v>
      </c>
      <c r="S17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-6.6576480108071823E-2</v>
      </c>
      <c r="T17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7.0485675879092491E-2</v>
      </c>
      <c r="U173" s="18">
        <f>IF(curve_type="Mercado",tbl_Bonds[[#This Row],[VP Cupom]]*LN(1+tbl_Bonds[[#This Row],[Real Mercado]])/252,tbl_Bonds[[#This Row],[VP Cupom]]*LN(1+tbl_Bonds[[#This Row],[Real Simulada]])/252)</f>
        <v>1.1193910266288904E-2</v>
      </c>
      <c r="V173" s="18">
        <f>SUMIF(Dashboard!$B$28:$B$42,tbl_Bonds[[#This Row],[Bond]],Dashboard!$C$28:$C$42)</f>
        <v>13940</v>
      </c>
      <c r="W173" s="18">
        <f>tbl_Bonds[[#This Row],[Quantidade]]*tbl_Bonds[[#This Row],[𝛿P/𝛿VNA]]</f>
        <v>68.917177005156645</v>
      </c>
      <c r="X173" s="18">
        <f>+tbl_Bonds[[#This Row],[Quantidade]]*tbl_Bonds[[#This Row],[𝛿P/𝛿r_real]]</f>
        <v>-982.10746762572876</v>
      </c>
      <c r="Y173" s="18">
        <f>tbl_Bonds[[#This Row],[Quantidade]]*tbl_Bonds[[#This Row],[𝛿P/𝛿r_pre]]</f>
        <v>-928.07613270652121</v>
      </c>
      <c r="Z173" s="18">
        <f>tbl_Bonds[[#This Row],[Quantidade]]*tbl_Bonds[[#This Row],[𝛿P/𝛿r_implicita]]</f>
        <v>982.57032175454935</v>
      </c>
      <c r="AA173" s="18">
        <f>tbl_Bonds[[#This Row],[Quantidade]]*tbl_Bonds[[#This Row],[𝛿P/𝛿du]]</f>
        <v>156.04310911206733</v>
      </c>
    </row>
    <row r="174" spans="1:27">
      <c r="A174" s="2" t="s">
        <v>86</v>
      </c>
      <c r="B174" s="3">
        <v>53097</v>
      </c>
      <c r="C174" s="3">
        <v>50542</v>
      </c>
      <c r="D174" s="4">
        <f>NETWORKDAYS(Dashboard!$C$10,bonds!C174,feriados)-1</f>
        <v>3926</v>
      </c>
      <c r="E174" s="2">
        <f>IF(tbl_Bonds[[#This Row],[Coupon]]&lt;tbl_Bonds[[#This Row],[Maturity]],SQRT(1.06)-1,SQRT(1.06))</f>
        <v>2.9563014098699991E-2</v>
      </c>
      <c r="F174" s="5" cm="1">
        <f t="array" ref="F174">Svensson(betas_pre,tbl_Bonds[[#This Row],[DU]])</f>
        <v>0.12041814511225046</v>
      </c>
      <c r="G174" s="49">
        <f>IF(curve_type="Simulada",_xlfn.XLOOKUP(tbl_Bonds[[#This Row],[Coupon]],Simulador!$B$5:$B$147,Simulador!$H$5:$H$147),0)</f>
        <v>0</v>
      </c>
      <c r="H174" s="5" cm="1">
        <f t="array" ref="H17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0.12041814511225046</v>
      </c>
      <c r="I174" s="5" cm="1">
        <f t="array" ref="I174">Interpola_FF(tbl_Bonds[[#This Row],[DU]],dus_svensson,svensson_implicita)</f>
        <v>5.8249146813281527E-2</v>
      </c>
      <c r="J174" s="49">
        <f>IF(curve_type="Simulada",_xlfn.XLOOKUP(tbl_Bonds[[#This Row],[Coupon]],Simulador!$B$5:$B$147,Simulador!$N$5:$N$147),0)</f>
        <v>0</v>
      </c>
      <c r="K174" s="5" cm="1">
        <f t="array" ref="K17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5.8249146813281527E-2</v>
      </c>
      <c r="L174" s="5" cm="1">
        <f t="array" ref="L174">Interpola_FF(tbl_Bonds[[#This Row],[DU]],dus_svensson,svensson_real_spot)</f>
        <v>5.8747033276694616E-2</v>
      </c>
      <c r="M174" s="49">
        <f>IF(curve_type="Simulada",_xlfn.XLOOKUP(tbl_Bonds[[#This Row],[Coupon]],Simulador!$B$5:$B$147,Simulador!$K$5:$K$147),0)</f>
        <v>0</v>
      </c>
      <c r="N174" s="5" cm="1">
        <f t="array" ref="N17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5.8747033276694616E-2</v>
      </c>
      <c r="O174" s="6">
        <f>IF(curve_type="Mercado",tbl_Bonds[[#This Row],[FC]]/(1+tbl_Bonds[[#This Row],[Real Mercado]])^(tbl_Bonds[[#This Row],[DU]]/252),tbl_Bonds[[#This Row],[FC]]/(1+tbl_Bonds[[#This Row],[Real Simulada]])^(tbl_Bonds[[#This Row],[DU]]/252))</f>
        <v>1.2147918675459481E-2</v>
      </c>
      <c r="P174" s="7">
        <f>tbl_Bonds[[#This Row],[Cotação]]*VNA</f>
        <v>48.048714974846526</v>
      </c>
      <c r="Q174" s="18">
        <f>tbl_Bonds[[#This Row],[Cotação]]%%*VNA</f>
        <v>4.8048714974846521E-3</v>
      </c>
      <c r="R17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-7.0703241535493205E-2</v>
      </c>
      <c r="S17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-6.6811526634556723E-2</v>
      </c>
      <c r="T17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7.0736505641818936E-2</v>
      </c>
      <c r="U174" s="18">
        <f>IF(curve_type="Mercado",tbl_Bonds[[#This Row],[VP Cupom]]*LN(1+tbl_Bonds[[#This Row],[Real Mercado]])/252,tbl_Bonds[[#This Row],[VP Cupom]]*LN(1+tbl_Bonds[[#This Row],[Real Simulada]])/252)</f>
        <v>1.0884590735472386E-2</v>
      </c>
      <c r="V174" s="18">
        <f>SUMIF(Dashboard!$B$28:$B$42,tbl_Bonds[[#This Row],[Bond]],Dashboard!$C$28:$C$42)</f>
        <v>13940</v>
      </c>
      <c r="W174" s="18">
        <f>tbl_Bonds[[#This Row],[Quantidade]]*tbl_Bonds[[#This Row],[𝛿P/𝛿VNA]]</f>
        <v>66.979908674936055</v>
      </c>
      <c r="X174" s="18">
        <f>+tbl_Bonds[[#This Row],[Quantidade]]*tbl_Bonds[[#This Row],[𝛿P/𝛿r_real]]</f>
        <v>-985.60318700477524</v>
      </c>
      <c r="Y174" s="18">
        <f>tbl_Bonds[[#This Row],[Quantidade]]*tbl_Bonds[[#This Row],[𝛿P/𝛿r_pre]]</f>
        <v>-931.35268128572068</v>
      </c>
      <c r="Z174" s="18">
        <f>tbl_Bonds[[#This Row],[Quantidade]]*tbl_Bonds[[#This Row],[𝛿P/𝛿r_implicita]]</f>
        <v>986.06688864695593</v>
      </c>
      <c r="AA174" s="18">
        <f>tbl_Bonds[[#This Row],[Quantidade]]*tbl_Bonds[[#This Row],[𝛿P/𝛿du]]</f>
        <v>151.73119485248506</v>
      </c>
    </row>
    <row r="175" spans="1:27">
      <c r="A175" s="2" t="s">
        <v>86</v>
      </c>
      <c r="B175" s="3">
        <v>53097</v>
      </c>
      <c r="C175" s="3">
        <v>50725</v>
      </c>
      <c r="D175" s="4">
        <f>NETWORKDAYS(Dashboard!$C$10,bonds!C175,feriados)-1</f>
        <v>4052</v>
      </c>
      <c r="E175" s="2">
        <f>IF(tbl_Bonds[[#This Row],[Coupon]]&lt;tbl_Bonds[[#This Row],[Maturity]],SQRT(1.06)-1,SQRT(1.06))</f>
        <v>2.9563014098699991E-2</v>
      </c>
      <c r="F175" s="5" cm="1">
        <f t="array" ref="F175">Svensson(betas_pre,tbl_Bonds[[#This Row],[DU]])</f>
        <v>0.12047886973194637</v>
      </c>
      <c r="G175" s="49">
        <f>IF(curve_type="Simulada",_xlfn.XLOOKUP(tbl_Bonds[[#This Row],[Coupon]],Simulador!$B$5:$B$147,Simulador!$H$5:$H$147),0)</f>
        <v>0</v>
      </c>
      <c r="H175" s="5" cm="1">
        <f t="array" ref="H17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0.12047886973194637</v>
      </c>
      <c r="I175" s="5" cm="1">
        <f t="array" ref="I175">Interpola_FF(tbl_Bonds[[#This Row],[DU]],dus_svensson,svensson_implicita)</f>
        <v>5.8281950568933816E-2</v>
      </c>
      <c r="J175" s="49">
        <f>IF(curve_type="Simulada",_xlfn.XLOOKUP(tbl_Bonds[[#This Row],[Coupon]],Simulador!$B$5:$B$147,Simulador!$N$5:$N$147),0)</f>
        <v>0</v>
      </c>
      <c r="K175" s="5" cm="1">
        <f t="array" ref="K17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5.8281950568933816E-2</v>
      </c>
      <c r="L175" s="5" cm="1">
        <f t="array" ref="L175">Interpola_FF(tbl_Bonds[[#This Row],[DU]],dus_svensson,svensson_real_spot)</f>
        <v>5.8771595525586973E-2</v>
      </c>
      <c r="M175" s="49">
        <f>IF(curve_type="Simulada",_xlfn.XLOOKUP(tbl_Bonds[[#This Row],[Coupon]],Simulador!$B$5:$B$147,Simulador!$K$5:$K$147),0)</f>
        <v>0</v>
      </c>
      <c r="N175" s="5" cm="1">
        <f t="array" ref="N17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5.8771595525586973E-2</v>
      </c>
      <c r="O175" s="6">
        <f>IF(curve_type="Mercado",tbl_Bonds[[#This Row],[FC]]/(1+tbl_Bonds[[#This Row],[Real Mercado]])^(tbl_Bonds[[#This Row],[DU]]/252),tbl_Bonds[[#This Row],[FC]]/(1+tbl_Bonds[[#This Row],[Real Simulada]])^(tbl_Bonds[[#This Row],[DU]]/252))</f>
        <v>1.180167822315422E-2</v>
      </c>
      <c r="P175" s="7">
        <f>tbl_Bonds[[#This Row],[Cotação]]*VNA</f>
        <v>46.679228624959663</v>
      </c>
      <c r="Q175" s="18">
        <f>tbl_Bonds[[#This Row],[Cotação]]%%*VNA</f>
        <v>4.6679228624959667E-3</v>
      </c>
      <c r="R17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-7.0890866533993291E-2</v>
      </c>
      <c r="S17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-6.6986747766532545E-2</v>
      </c>
      <c r="T17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7.0923665837929584E-2</v>
      </c>
      <c r="U175" s="18">
        <f>IF(curve_type="Mercado",tbl_Bonds[[#This Row],[VP Cupom]]*LN(1+tbl_Bonds[[#This Row],[Real Mercado]])/252,tbl_Bonds[[#This Row],[VP Cupom]]*LN(1+tbl_Bonds[[#This Row],[Real Simulada]])/252)</f>
        <v>1.0578654989006704E-2</v>
      </c>
      <c r="V175" s="18">
        <f>SUMIF(Dashboard!$B$28:$B$42,tbl_Bonds[[#This Row],[Bond]],Dashboard!$C$28:$C$42)</f>
        <v>13940</v>
      </c>
      <c r="W175" s="18">
        <f>tbl_Bonds[[#This Row],[Quantidade]]*tbl_Bonds[[#This Row],[𝛿P/𝛿VNA]]</f>
        <v>65.070844703193771</v>
      </c>
      <c r="X175" s="18">
        <f>+tbl_Bonds[[#This Row],[Quantidade]]*tbl_Bonds[[#This Row],[𝛿P/𝛿r_real]]</f>
        <v>-988.21867948386648</v>
      </c>
      <c r="Y175" s="18">
        <f>tbl_Bonds[[#This Row],[Quantidade]]*tbl_Bonds[[#This Row],[𝛿P/𝛿r_pre]]</f>
        <v>-933.79526386546365</v>
      </c>
      <c r="Z175" s="18">
        <f>tbl_Bonds[[#This Row],[Quantidade]]*tbl_Bonds[[#This Row],[𝛿P/𝛿r_implicita]]</f>
        <v>988.6759017807384</v>
      </c>
      <c r="AA175" s="18">
        <f>tbl_Bonds[[#This Row],[Quantidade]]*tbl_Bonds[[#This Row],[𝛿P/𝛿du]]</f>
        <v>147.46645054675346</v>
      </c>
    </row>
    <row r="176" spans="1:27">
      <c r="A176" s="2" t="s">
        <v>86</v>
      </c>
      <c r="B176" s="3">
        <v>53097</v>
      </c>
      <c r="C176" s="3">
        <v>50906</v>
      </c>
      <c r="D176" s="4">
        <f>NETWORKDAYS(Dashboard!$C$10,bonds!C176,feriados)-1</f>
        <v>4177</v>
      </c>
      <c r="E176" s="2">
        <f>IF(tbl_Bonds[[#This Row],[Coupon]]&lt;tbl_Bonds[[#This Row],[Maturity]],SQRT(1.06)-1,SQRT(1.06))</f>
        <v>2.9563014098699991E-2</v>
      </c>
      <c r="F176" s="5" cm="1">
        <f t="array" ref="F176">Svensson(betas_pre,tbl_Bonds[[#This Row],[DU]])</f>
        <v>0.12053548931732623</v>
      </c>
      <c r="G176" s="49">
        <f>IF(curve_type="Simulada",_xlfn.XLOOKUP(tbl_Bonds[[#This Row],[Coupon]],Simulador!$B$5:$B$147,Simulador!$H$5:$H$147),0)</f>
        <v>0</v>
      </c>
      <c r="H176" s="5" cm="1">
        <f t="array" ref="H17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0.12053548931732623</v>
      </c>
      <c r="I176" s="5" cm="1">
        <f t="array" ref="I176">Interpola_FF(tbl_Bonds[[#This Row],[DU]],dus_svensson,svensson_implicita)</f>
        <v>5.8315858446627677E-2</v>
      </c>
      <c r="J176" s="49">
        <f>IF(curve_type="Simulada",_xlfn.XLOOKUP(tbl_Bonds[[#This Row],[Coupon]],Simulador!$B$5:$B$147,Simulador!$N$5:$N$147),0)</f>
        <v>0</v>
      </c>
      <c r="K176" s="5" cm="1">
        <f t="array" ref="K17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5.8315858446627677E-2</v>
      </c>
      <c r="L176" s="5" cm="1">
        <f t="array" ref="L176">Interpola_FF(tbl_Bonds[[#This Row],[DU]],dus_svensson,svensson_real_spot)</f>
        <v>5.8791172804259162E-2</v>
      </c>
      <c r="M176" s="49">
        <f>IF(curve_type="Simulada",_xlfn.XLOOKUP(tbl_Bonds[[#This Row],[Coupon]],Simulador!$B$5:$B$147,Simulador!$K$5:$K$147),0)</f>
        <v>0</v>
      </c>
      <c r="N176" s="5" cm="1">
        <f t="array" ref="N17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5.8791172804259162E-2</v>
      </c>
      <c r="O176" s="6">
        <f>IF(curve_type="Mercado",tbl_Bonds[[#This Row],[FC]]/(1+tbl_Bonds[[#This Row],[Real Mercado]])^(tbl_Bonds[[#This Row],[DU]]/252),tbl_Bonds[[#This Row],[FC]]/(1+tbl_Bonds[[#This Row],[Real Simulada]])^(tbl_Bonds[[#This Row],[DU]]/252))</f>
        <v>1.1468535024453186E-2</v>
      </c>
      <c r="P176" s="7">
        <f>tbl_Bonds[[#This Row],[Cotação]]*VNA</f>
        <v>45.361545898573681</v>
      </c>
      <c r="Q176" s="18">
        <f>tbl_Bonds[[#This Row],[Cotação]]%%*VNA</f>
        <v>4.5361545898573684E-3</v>
      </c>
      <c r="R17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-7.1013590138922819E-2</v>
      </c>
      <c r="S17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-6.7100562820098963E-2</v>
      </c>
      <c r="T17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7.1045483626644035E-2</v>
      </c>
      <c r="U176" s="18">
        <f>IF(curve_type="Mercado",tbl_Bonds[[#This Row],[VP Cupom]]*LN(1+tbl_Bonds[[#This Row],[Real Mercado]])/252,tbl_Bonds[[#This Row],[VP Cupom]]*LN(1+tbl_Bonds[[#This Row],[Real Simulada]])/252)</f>
        <v>1.0283364235725654E-2</v>
      </c>
      <c r="V176" s="18">
        <f>SUMIF(Dashboard!$B$28:$B$42,tbl_Bonds[[#This Row],[Bond]],Dashboard!$C$28:$C$42)</f>
        <v>13940</v>
      </c>
      <c r="W176" s="18">
        <f>tbl_Bonds[[#This Row],[Quantidade]]*tbl_Bonds[[#This Row],[𝛿P/𝛿VNA]]</f>
        <v>63.233994982611712</v>
      </c>
      <c r="X176" s="18">
        <f>+tbl_Bonds[[#This Row],[Quantidade]]*tbl_Bonds[[#This Row],[𝛿P/𝛿r_real]]</f>
        <v>-989.92944653658412</v>
      </c>
      <c r="Y176" s="18">
        <f>tbl_Bonds[[#This Row],[Quantidade]]*tbl_Bonds[[#This Row],[𝛿P/𝛿r_pre]]</f>
        <v>-935.3818457121796</v>
      </c>
      <c r="Z176" s="18">
        <f>tbl_Bonds[[#This Row],[Quantidade]]*tbl_Bonds[[#This Row],[𝛿P/𝛿r_implicita]]</f>
        <v>990.37404175541781</v>
      </c>
      <c r="AA176" s="18">
        <f>tbl_Bonds[[#This Row],[Quantidade]]*tbl_Bonds[[#This Row],[𝛿P/𝛿du]]</f>
        <v>143.35009744601561</v>
      </c>
    </row>
    <row r="177" spans="1:27">
      <c r="A177" s="2" t="s">
        <v>86</v>
      </c>
      <c r="B177" s="3">
        <v>53097</v>
      </c>
      <c r="C177" s="3">
        <v>51090</v>
      </c>
      <c r="D177" s="4">
        <f>NETWORKDAYS(Dashboard!$C$10,bonds!C177,feriados)-1</f>
        <v>4304</v>
      </c>
      <c r="E177" s="2">
        <f>IF(tbl_Bonds[[#This Row],[Coupon]]&lt;tbl_Bonds[[#This Row],[Maturity]],SQRT(1.06)-1,SQRT(1.06))</f>
        <v>2.9563014098699991E-2</v>
      </c>
      <c r="F177" s="5" cm="1">
        <f t="array" ref="F177">Svensson(betas_pre,tbl_Bonds[[#This Row],[DU]])</f>
        <v>0.1205896438384781</v>
      </c>
      <c r="G177" s="49">
        <f>IF(curve_type="Simulada",_xlfn.XLOOKUP(tbl_Bonds[[#This Row],[Coupon]],Simulador!$B$5:$B$147,Simulador!$H$5:$H$147),0)</f>
        <v>0</v>
      </c>
      <c r="H177" s="5" cm="1">
        <f t="array" ref="H17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0.1205896438384781</v>
      </c>
      <c r="I177" s="5" cm="1">
        <f t="array" ref="I177">Interpola_FF(tbl_Bonds[[#This Row],[DU]],dus_svensson,svensson_implicita)</f>
        <v>5.8351355071909472E-2</v>
      </c>
      <c r="J177" s="49">
        <f>IF(curve_type="Simulada",_xlfn.XLOOKUP(tbl_Bonds[[#This Row],[Coupon]],Simulador!$B$5:$B$147,Simulador!$N$5:$N$147),0)</f>
        <v>0</v>
      </c>
      <c r="K177" s="5" cm="1">
        <f t="array" ref="K17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5.8351355071909472E-2</v>
      </c>
      <c r="L177" s="5" cm="1">
        <f t="array" ref="L177">Interpola_FF(tbl_Bonds[[#This Row],[DU]],dus_svensson,svensson_real_spot)</f>
        <v>5.8806830204646721E-2</v>
      </c>
      <c r="M177" s="49">
        <f>IF(curve_type="Simulada",_xlfn.XLOOKUP(tbl_Bonds[[#This Row],[Coupon]],Simulador!$B$5:$B$147,Simulador!$K$5:$K$147),0)</f>
        <v>0</v>
      </c>
      <c r="N177" s="5" cm="1">
        <f t="array" ref="N17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5.8806830204646721E-2</v>
      </c>
      <c r="O177" s="6">
        <f>IF(curve_type="Mercado",tbl_Bonds[[#This Row],[FC]]/(1+tbl_Bonds[[#This Row],[Real Mercado]])^(tbl_Bonds[[#This Row],[DU]]/252),tbl_Bonds[[#This Row],[FC]]/(1+tbl_Bonds[[#This Row],[Real Simulada]])^(tbl_Bonds[[#This Row],[DU]]/252))</f>
        <v>1.1140242558080337E-2</v>
      </c>
      <c r="P177" s="7">
        <f>tbl_Bonds[[#This Row],[Cotação]]*VNA</f>
        <v>44.063049294624214</v>
      </c>
      <c r="Q177" s="18">
        <f>tbl_Bonds[[#This Row],[Cotação]]%%*VNA</f>
        <v>4.4063049294624217E-3</v>
      </c>
      <c r="R17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-7.1077073168057475E-2</v>
      </c>
      <c r="S17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-6.7158295254899331E-2</v>
      </c>
      <c r="T17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7.1107661741854802E-2</v>
      </c>
      <c r="U177" s="18">
        <f>IF(curve_type="Mercado",tbl_Bonds[[#This Row],[VP Cupom]]*LN(1+tbl_Bonds[[#This Row],[Real Mercado]])/252,tbl_Bonds[[#This Row],[VP Cupom]]*LN(1+tbl_Bonds[[#This Row],[Real Simulada]])/252)</f>
        <v>9.9915835791373961E-3</v>
      </c>
      <c r="V177" s="18">
        <f>SUMIF(Dashboard!$B$28:$B$42,tbl_Bonds[[#This Row],[Bond]],Dashboard!$C$28:$C$42)</f>
        <v>13940</v>
      </c>
      <c r="W177" s="18">
        <f>tbl_Bonds[[#This Row],[Quantidade]]*tbl_Bonds[[#This Row],[𝛿P/𝛿VNA]]</f>
        <v>61.423890716706161</v>
      </c>
      <c r="X177" s="18">
        <f>+tbl_Bonds[[#This Row],[Quantidade]]*tbl_Bonds[[#This Row],[𝛿P/𝛿r_real]]</f>
        <v>-990.81439996272115</v>
      </c>
      <c r="Y177" s="18">
        <f>tbl_Bonds[[#This Row],[Quantidade]]*tbl_Bonds[[#This Row],[𝛿P/𝛿r_pre]]</f>
        <v>-936.18663585329671</v>
      </c>
      <c r="Z177" s="18">
        <f>tbl_Bonds[[#This Row],[Quantidade]]*tbl_Bonds[[#This Row],[𝛿P/𝛿r_implicita]]</f>
        <v>991.24080468145598</v>
      </c>
      <c r="AA177" s="18">
        <f>tbl_Bonds[[#This Row],[Quantidade]]*tbl_Bonds[[#This Row],[𝛿P/𝛿du]]</f>
        <v>139.2826750931753</v>
      </c>
    </row>
    <row r="178" spans="1:27">
      <c r="A178" s="2" t="s">
        <v>86</v>
      </c>
      <c r="B178" s="3">
        <v>53097</v>
      </c>
      <c r="C178" s="3">
        <v>51271</v>
      </c>
      <c r="D178" s="4">
        <f>NETWORKDAYS(Dashboard!$C$10,bonds!C178,feriados)-1</f>
        <v>4429</v>
      </c>
      <c r="E178" s="2">
        <f>IF(tbl_Bonds[[#This Row],[Coupon]]&lt;tbl_Bonds[[#This Row],[Maturity]],SQRT(1.06)-1,SQRT(1.06))</f>
        <v>2.9563014098699991E-2</v>
      </c>
      <c r="F178" s="5" cm="1">
        <f t="array" ref="F178">Svensson(betas_pre,tbl_Bonds[[#This Row],[DU]])</f>
        <v>0.12063991024420911</v>
      </c>
      <c r="G178" s="49">
        <f>IF(curve_type="Simulada",_xlfn.XLOOKUP(tbl_Bonds[[#This Row],[Coupon]],Simulador!$B$5:$B$147,Simulador!$H$5:$H$147),0)</f>
        <v>0</v>
      </c>
      <c r="H178" s="5" cm="1">
        <f t="array" ref="H17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0.12063991024420911</v>
      </c>
      <c r="I178" s="5" cm="1">
        <f t="array" ref="I178">Interpola_FF(tbl_Bonds[[#This Row],[DU]],dus_svensson,svensson_implicita)</f>
        <v>5.8386966646712279E-2</v>
      </c>
      <c r="J178" s="49">
        <f>IF(curve_type="Simulada",_xlfn.XLOOKUP(tbl_Bonds[[#This Row],[Coupon]],Simulador!$B$5:$B$147,Simulador!$N$5:$N$147),0)</f>
        <v>0</v>
      </c>
      <c r="K178" s="5" cm="1">
        <f t="array" ref="K17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5.8386966646712279E-2</v>
      </c>
      <c r="L178" s="5" cm="1">
        <f t="array" ref="L178">Interpola_FF(tbl_Bonds[[#This Row],[DU]],dus_svensson,svensson_real_spot)</f>
        <v>5.8818697956210642E-2</v>
      </c>
      <c r="M178" s="49">
        <f>IF(curve_type="Simulada",_xlfn.XLOOKUP(tbl_Bonds[[#This Row],[Coupon]],Simulador!$B$5:$B$147,Simulador!$K$5:$K$147),0)</f>
        <v>0</v>
      </c>
      <c r="N178" s="5" cm="1">
        <f t="array" ref="N17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5.8818697956210642E-2</v>
      </c>
      <c r="O178" s="6">
        <f>IF(curve_type="Mercado",tbl_Bonds[[#This Row],[FC]]/(1+tbl_Bonds[[#This Row],[Real Mercado]])^(tbl_Bonds[[#This Row],[DU]]/252),tbl_Bonds[[#This Row],[FC]]/(1+tbl_Bonds[[#This Row],[Real Simulada]])^(tbl_Bonds[[#This Row],[DU]]/252))</f>
        <v>1.0826777337469175E-2</v>
      </c>
      <c r="P178" s="7">
        <f>tbl_Bonds[[#This Row],[Cotação]]*VNA</f>
        <v>42.823198959595246</v>
      </c>
      <c r="Q178" s="18">
        <f>tbl_Bonds[[#This Row],[Cotação]]%%*VNA</f>
        <v>4.282319895959525E-3</v>
      </c>
      <c r="R17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-7.1082491884643079E-2</v>
      </c>
      <c r="S17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-6.7161155407505876E-2</v>
      </c>
      <c r="T17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7.1111487139927695E-2</v>
      </c>
      <c r="U178" s="18">
        <f>IF(curve_type="Mercado",tbl_Bonds[[#This Row],[VP Cupom]]*LN(1+tbl_Bonds[[#This Row],[Real Mercado]])/252,tbl_Bonds[[#This Row],[VP Cupom]]*LN(1+tbl_Bonds[[#This Row],[Real Simulada]])/252)</f>
        <v>9.7123441413067731E-3</v>
      </c>
      <c r="V178" s="18">
        <f>SUMIF(Dashboard!$B$28:$B$42,tbl_Bonds[[#This Row],[Bond]],Dashboard!$C$28:$C$42)</f>
        <v>13940</v>
      </c>
      <c r="W178" s="18">
        <f>tbl_Bonds[[#This Row],[Quantidade]]*tbl_Bonds[[#This Row],[𝛿P/𝛿VNA]]</f>
        <v>59.695539349675776</v>
      </c>
      <c r="X178" s="18">
        <f>+tbl_Bonds[[#This Row],[Quantidade]]*tbl_Bonds[[#This Row],[𝛿P/𝛿r_real]]</f>
        <v>-990.88993687192453</v>
      </c>
      <c r="Y178" s="18">
        <f>tbl_Bonds[[#This Row],[Quantidade]]*tbl_Bonds[[#This Row],[𝛿P/𝛿r_pre]]</f>
        <v>-936.22650638063192</v>
      </c>
      <c r="Z178" s="18">
        <f>tbl_Bonds[[#This Row],[Quantidade]]*tbl_Bonds[[#This Row],[𝛿P/𝛿r_implicita]]</f>
        <v>991.29413073059209</v>
      </c>
      <c r="AA178" s="18">
        <f>tbl_Bonds[[#This Row],[Quantidade]]*tbl_Bonds[[#This Row],[𝛿P/𝛿du]]</f>
        <v>135.39007732981642</v>
      </c>
    </row>
    <row r="179" spans="1:27">
      <c r="A179" s="2" t="s">
        <v>86</v>
      </c>
      <c r="B179" s="3">
        <v>53097</v>
      </c>
      <c r="C179" s="3">
        <v>51456</v>
      </c>
      <c r="D179" s="4">
        <f>NETWORKDAYS(Dashboard!$C$10,bonds!C179,feriados)-1</f>
        <v>4557</v>
      </c>
      <c r="E179" s="2">
        <f>IF(tbl_Bonds[[#This Row],[Coupon]]&lt;tbl_Bonds[[#This Row],[Maturity]],SQRT(1.06)-1,SQRT(1.06))</f>
        <v>2.9563014098699991E-2</v>
      </c>
      <c r="F179" s="5" cm="1">
        <f t="array" ref="F179">Svensson(betas_pre,tbl_Bonds[[#This Row],[DU]])</f>
        <v>0.1206885229680944</v>
      </c>
      <c r="G179" s="49">
        <f>IF(curve_type="Simulada",_xlfn.XLOOKUP(tbl_Bonds[[#This Row],[Coupon]],Simulador!$B$5:$B$147,Simulador!$H$5:$H$147),0)</f>
        <v>0</v>
      </c>
      <c r="H179" s="5" cm="1">
        <f t="array" ref="H17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0.1206885229680944</v>
      </c>
      <c r="I179" s="5" cm="1">
        <f t="array" ref="I179">Interpola_FF(tbl_Bonds[[#This Row],[DU]],dus_svensson,svensson_implicita)</f>
        <v>5.8423866606378105E-2</v>
      </c>
      <c r="J179" s="49">
        <f>IF(curve_type="Simulada",_xlfn.XLOOKUP(tbl_Bonds[[#This Row],[Coupon]],Simulador!$B$5:$B$147,Simulador!$N$5:$N$147),0)</f>
        <v>0</v>
      </c>
      <c r="K179" s="5" cm="1">
        <f t="array" ref="K17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5.8423866606378105E-2</v>
      </c>
      <c r="L179" s="5" cm="1">
        <f t="array" ref="L179">Interpola_FF(tbl_Bonds[[#This Row],[DU]],dus_svensson,svensson_real_spot)</f>
        <v>5.8827713592402908E-2</v>
      </c>
      <c r="M179" s="49">
        <f>IF(curve_type="Simulada",_xlfn.XLOOKUP(tbl_Bonds[[#This Row],[Coupon]],Simulador!$B$5:$B$147,Simulador!$K$5:$K$147),0)</f>
        <v>0</v>
      </c>
      <c r="N179" s="5" cm="1">
        <f t="array" ref="N17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5.8827713592402908E-2</v>
      </c>
      <c r="O179" s="6">
        <f>IF(curve_type="Mercado",tbl_Bonds[[#This Row],[FC]]/(1+tbl_Bonds[[#This Row],[Real Mercado]])^(tbl_Bonds[[#This Row],[DU]]/252),tbl_Bonds[[#This Row],[FC]]/(1+tbl_Bonds[[#This Row],[Real Simulada]])^(tbl_Bonds[[#This Row],[DU]]/252))</f>
        <v>1.0515369468518923E-2</v>
      </c>
      <c r="P179" s="7">
        <f>tbl_Bonds[[#This Row],[Cotação]]*VNA</f>
        <v>41.591486076437583</v>
      </c>
      <c r="Q179" s="18">
        <f>tbl_Bonds[[#This Row],[Cotação]]%%*VNA</f>
        <v>4.1591486076437588E-3</v>
      </c>
      <c r="R17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-7.1032586028291253E-2</v>
      </c>
      <c r="S17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-6.7111662854154819E-2</v>
      </c>
      <c r="T17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7.1059688552852829E-2</v>
      </c>
      <c r="U179" s="18">
        <f>IF(curve_type="Mercado",tbl_Bonds[[#This Row],[VP Cupom]]*LN(1+tbl_Bonds[[#This Row],[Real Mercado]])/252,tbl_Bonds[[#This Row],[VP Cupom]]*LN(1+tbl_Bonds[[#This Row],[Real Simulada]])/252)</f>
        <v>9.4343957587865977E-3</v>
      </c>
      <c r="V179" s="18">
        <f>SUMIF(Dashboard!$B$28:$B$42,tbl_Bonds[[#This Row],[Bond]],Dashboard!$C$28:$C$42)</f>
        <v>13940</v>
      </c>
      <c r="W179" s="18">
        <f>tbl_Bonds[[#This Row],[Quantidade]]*tbl_Bonds[[#This Row],[𝛿P/𝛿VNA]]</f>
        <v>57.978531590553999</v>
      </c>
      <c r="X179" s="18">
        <f>+tbl_Bonds[[#This Row],[Quantidade]]*tbl_Bonds[[#This Row],[𝛿P/𝛿r_real]]</f>
        <v>-990.1942492343801</v>
      </c>
      <c r="Y179" s="18">
        <f>tbl_Bonds[[#This Row],[Quantidade]]*tbl_Bonds[[#This Row],[𝛿P/𝛿r_pre]]</f>
        <v>-935.53658018691817</v>
      </c>
      <c r="Z179" s="18">
        <f>tbl_Bonds[[#This Row],[Quantidade]]*tbl_Bonds[[#This Row],[𝛿P/𝛿r_implicita]]</f>
        <v>990.57205842676842</v>
      </c>
      <c r="AA179" s="18">
        <f>tbl_Bonds[[#This Row],[Quantidade]]*tbl_Bonds[[#This Row],[𝛿P/𝛿du]]</f>
        <v>131.51547687748518</v>
      </c>
    </row>
    <row r="180" spans="1:27">
      <c r="A180" s="2" t="s">
        <v>86</v>
      </c>
      <c r="B180" s="3">
        <v>53097</v>
      </c>
      <c r="C180" s="3">
        <v>51636</v>
      </c>
      <c r="D180" s="4">
        <f>NETWORKDAYS(Dashboard!$C$10,bonds!C180,feriados)-1</f>
        <v>4679</v>
      </c>
      <c r="E180" s="2">
        <f>IF(tbl_Bonds[[#This Row],[Coupon]]&lt;tbl_Bonds[[#This Row],[Maturity]],SQRT(1.06)-1,SQRT(1.06))</f>
        <v>2.9563014098699991E-2</v>
      </c>
      <c r="F180" s="5" cm="1">
        <f t="array" ref="F180">Svensson(betas_pre,tbl_Bonds[[#This Row],[DU]])</f>
        <v>0.1207323793302393</v>
      </c>
      <c r="G180" s="49">
        <f>IF(curve_type="Simulada",_xlfn.XLOOKUP(tbl_Bonds[[#This Row],[Coupon]],Simulador!$B$5:$B$147,Simulador!$H$5:$H$147),0)</f>
        <v>0</v>
      </c>
      <c r="H180" s="5" cm="1">
        <f t="array" ref="H18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0.1207323793302393</v>
      </c>
      <c r="I180" s="5" cm="1">
        <f t="array" ref="I180">Interpola_FF(tbl_Bonds[[#This Row],[DU]],dus_svensson,svensson_implicita)</f>
        <v>5.8459157769596759E-2</v>
      </c>
      <c r="J180" s="49">
        <f>IF(curve_type="Simulada",_xlfn.XLOOKUP(tbl_Bonds[[#This Row],[Coupon]],Simulador!$B$5:$B$147,Simulador!$N$5:$N$147),0)</f>
        <v>0</v>
      </c>
      <c r="K180" s="5" cm="1">
        <f t="array" ref="K18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5.8459157769596759E-2</v>
      </c>
      <c r="L180" s="5" cm="1">
        <f t="array" ref="L180">Interpola_FF(tbl_Bonds[[#This Row],[DU]],dus_svensson,svensson_real_spot)</f>
        <v>5.8833844360887788E-2</v>
      </c>
      <c r="M180" s="49">
        <f>IF(curve_type="Simulada",_xlfn.XLOOKUP(tbl_Bonds[[#This Row],[Coupon]],Simulador!$B$5:$B$147,Simulador!$K$5:$K$147),0)</f>
        <v>0</v>
      </c>
      <c r="N180" s="5" cm="1">
        <f t="array" ref="N18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5.8833844360887788E-2</v>
      </c>
      <c r="O180" s="6">
        <f>IF(curve_type="Mercado",tbl_Bonds[[#This Row],[FC]]/(1+tbl_Bonds[[#This Row],[Real Mercado]])^(tbl_Bonds[[#This Row],[DU]]/252),tbl_Bonds[[#This Row],[FC]]/(1+tbl_Bonds[[#This Row],[Real Simulada]])^(tbl_Bonds[[#This Row],[DU]]/252))</f>
        <v>1.0227258872496332E-2</v>
      </c>
      <c r="P180" s="7">
        <f>tbl_Bonds[[#This Row],[Cotação]]*VNA</f>
        <v>40.451920997072328</v>
      </c>
      <c r="Q180" s="18">
        <f>tbl_Bonds[[#This Row],[Cotação]]%%*VNA</f>
        <v>4.0451920997072325E-3</v>
      </c>
      <c r="R18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-7.0935533641875409E-2</v>
      </c>
      <c r="S18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-6.7017733146341157E-2</v>
      </c>
      <c r="T18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7.0960644040993379E-2</v>
      </c>
      <c r="U180" s="18">
        <f>IF(curve_type="Mercado",tbl_Bonds[[#This Row],[VP Cupom]]*LN(1+tbl_Bonds[[#This Row],[Real Mercado]])/252,tbl_Bonds[[#This Row],[VP Cupom]]*LN(1+tbl_Bonds[[#This Row],[Real Simulada]])/252)</f>
        <v>9.1768322122037158E-3</v>
      </c>
      <c r="V180" s="18">
        <f>SUMIF(Dashboard!$B$28:$B$42,tbl_Bonds[[#This Row],[Bond]],Dashboard!$C$28:$C$42)</f>
        <v>13940</v>
      </c>
      <c r="W180" s="18">
        <f>tbl_Bonds[[#This Row],[Quantidade]]*tbl_Bonds[[#This Row],[𝛿P/𝛿VNA]]</f>
        <v>56.389977869918823</v>
      </c>
      <c r="X180" s="18">
        <f>+tbl_Bonds[[#This Row],[Quantidade]]*tbl_Bonds[[#This Row],[𝛿P/𝛿r_real]]</f>
        <v>-988.84133896774324</v>
      </c>
      <c r="Y180" s="18">
        <f>tbl_Bonds[[#This Row],[Quantidade]]*tbl_Bonds[[#This Row],[𝛿P/𝛿r_pre]]</f>
        <v>-934.22720005999577</v>
      </c>
      <c r="Z180" s="18">
        <f>tbl_Bonds[[#This Row],[Quantidade]]*tbl_Bonds[[#This Row],[𝛿P/𝛿r_implicita]]</f>
        <v>989.19137793144773</v>
      </c>
      <c r="AA180" s="18">
        <f>tbl_Bonds[[#This Row],[Quantidade]]*tbl_Bonds[[#This Row],[𝛿P/𝛿du]]</f>
        <v>127.9250410381198</v>
      </c>
    </row>
    <row r="181" spans="1:27">
      <c r="A181" s="2" t="s">
        <v>86</v>
      </c>
      <c r="B181" s="3">
        <v>53097</v>
      </c>
      <c r="C181" s="3">
        <v>51823</v>
      </c>
      <c r="D181" s="4">
        <f>NETWORKDAYS(Dashboard!$C$10,bonds!C181,feriados)-1</f>
        <v>4810</v>
      </c>
      <c r="E181" s="2">
        <f>IF(tbl_Bonds[[#This Row],[Coupon]]&lt;tbl_Bonds[[#This Row],[Maturity]],SQRT(1.06)-1,SQRT(1.06))</f>
        <v>2.9563014098699991E-2</v>
      </c>
      <c r="F181" s="5" cm="1">
        <f t="array" ref="F181">Svensson(betas_pre,tbl_Bonds[[#This Row],[DU]])</f>
        <v>0.12077699207511866</v>
      </c>
      <c r="G181" s="49">
        <f>IF(curve_type="Simulada",_xlfn.XLOOKUP(tbl_Bonds[[#This Row],[Coupon]],Simulador!$B$5:$B$147,Simulador!$H$5:$H$147),0)</f>
        <v>0</v>
      </c>
      <c r="H181" s="5" cm="1">
        <f t="array" ref="H18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0.12077699207511866</v>
      </c>
      <c r="I181" s="5" cm="1">
        <f t="array" ref="I181">Interpola_FF(tbl_Bonds[[#This Row],[DU]],dus_svensson,svensson_implicita)</f>
        <v>5.8497046040423495E-2</v>
      </c>
      <c r="J181" s="49">
        <f>IF(curve_type="Simulada",_xlfn.XLOOKUP(tbl_Bonds[[#This Row],[Coupon]],Simulador!$B$5:$B$147,Simulador!$N$5:$N$147),0)</f>
        <v>0</v>
      </c>
      <c r="K181" s="5" cm="1">
        <f t="array" ref="K18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5.8497046040423495E-2</v>
      </c>
      <c r="L181" s="5" cm="1">
        <f t="array" ref="L181">Interpola_FF(tbl_Bonds[[#This Row],[DU]],dus_svensson,svensson_real_spot)</f>
        <v>5.8838091267736203E-2</v>
      </c>
      <c r="M181" s="49">
        <f>IF(curve_type="Simulada",_xlfn.XLOOKUP(tbl_Bonds[[#This Row],[Coupon]],Simulador!$B$5:$B$147,Simulador!$K$5:$K$147),0)</f>
        <v>0</v>
      </c>
      <c r="N181" s="5" cm="1">
        <f t="array" ref="N18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5.8838091267736203E-2</v>
      </c>
      <c r="O181" s="6">
        <f>IF(curve_type="Mercado",tbl_Bonds[[#This Row],[FC]]/(1+tbl_Bonds[[#This Row],[Real Mercado]])^(tbl_Bonds[[#This Row],[DU]]/252),tbl_Bonds[[#This Row],[FC]]/(1+tbl_Bonds[[#This Row],[Real Simulada]])^(tbl_Bonds[[#This Row],[DU]]/252))</f>
        <v>9.9270332778620875E-3</v>
      </c>
      <c r="P181" s="7">
        <f>tbl_Bonds[[#This Row],[Cotação]]*VNA</f>
        <v>39.264437411602167</v>
      </c>
      <c r="Q181" s="18">
        <f>tbl_Bonds[[#This Row],[Cotação]]%%*VNA</f>
        <v>3.9264437411602165E-3</v>
      </c>
      <c r="R18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-7.0780619313918561E-2</v>
      </c>
      <c r="S18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-6.6868981149201992E-2</v>
      </c>
      <c r="T18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7.0803424379767527E-2</v>
      </c>
      <c r="U181" s="18">
        <f>IF(curve_type="Mercado",tbl_Bonds[[#This Row],[VP Cupom]]*LN(1+tbl_Bonds[[#This Row],[Real Mercado]])/252,tbl_Bonds[[#This Row],[VP Cupom]]*LN(1+tbl_Bonds[[#This Row],[Real Simulada]])/252)</f>
        <v>8.908067291740436E-3</v>
      </c>
      <c r="V181" s="18">
        <f>SUMIF(Dashboard!$B$28:$B$42,tbl_Bonds[[#This Row],[Bond]],Dashboard!$C$28:$C$42)</f>
        <v>13940</v>
      </c>
      <c r="W181" s="18">
        <f>tbl_Bonds[[#This Row],[Quantidade]]*tbl_Bonds[[#This Row],[𝛿P/𝛿VNA]]</f>
        <v>54.734625751773414</v>
      </c>
      <c r="X181" s="18">
        <f>+tbl_Bonds[[#This Row],[Quantidade]]*tbl_Bonds[[#This Row],[𝛿P/𝛿r_real]]</f>
        <v>-986.68183323602477</v>
      </c>
      <c r="Y181" s="18">
        <f>tbl_Bonds[[#This Row],[Quantidade]]*tbl_Bonds[[#This Row],[𝛿P/𝛿r_pre]]</f>
        <v>-932.15359721987579</v>
      </c>
      <c r="Z181" s="18">
        <f>tbl_Bonds[[#This Row],[Quantidade]]*tbl_Bonds[[#This Row],[𝛿P/𝛿r_implicita]]</f>
        <v>986.99973585395935</v>
      </c>
      <c r="AA181" s="18">
        <f>tbl_Bonds[[#This Row],[Quantidade]]*tbl_Bonds[[#This Row],[𝛿P/𝛿du]]</f>
        <v>124.17845804686168</v>
      </c>
    </row>
    <row r="182" spans="1:27">
      <c r="A182" s="2" t="s">
        <v>86</v>
      </c>
      <c r="B182" s="3">
        <v>53097</v>
      </c>
      <c r="C182" s="3">
        <v>52001</v>
      </c>
      <c r="D182" s="4">
        <f>NETWORKDAYS(Dashboard!$C$10,bonds!C182,feriados)-1</f>
        <v>4931</v>
      </c>
      <c r="E182" s="2">
        <f>IF(tbl_Bonds[[#This Row],[Coupon]]&lt;tbl_Bonds[[#This Row],[Maturity]],SQRT(1.06)-1,SQRT(1.06))</f>
        <v>2.9563014098699991E-2</v>
      </c>
      <c r="F182" s="5" cm="1">
        <f t="array" ref="F182">Svensson(betas_pre,tbl_Bonds[[#This Row],[DU]])</f>
        <v>0.12081609173336634</v>
      </c>
      <c r="G182" s="49">
        <f>IF(curve_type="Simulada",_xlfn.XLOOKUP(tbl_Bonds[[#This Row],[Coupon]],Simulador!$B$5:$B$147,Simulador!$H$5:$H$147),0)</f>
        <v>0</v>
      </c>
      <c r="H182" s="5" cm="1">
        <f t="array" ref="H18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0.12081609173336634</v>
      </c>
      <c r="I182" s="5" cm="1">
        <f t="array" ref="I182">Interpola_FF(tbl_Bonds[[#This Row],[DU]],dus_svensson,svensson_implicita)</f>
        <v>5.8531779802490691E-2</v>
      </c>
      <c r="J182" s="49">
        <f>IF(curve_type="Simulada",_xlfn.XLOOKUP(tbl_Bonds[[#This Row],[Coupon]],Simulador!$B$5:$B$147,Simulador!$N$5:$N$147),0)</f>
        <v>0</v>
      </c>
      <c r="K182" s="5" cm="1">
        <f t="array" ref="K18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5.8531779802490691E-2</v>
      </c>
      <c r="L182" s="5" cm="1">
        <f t="array" ref="L182">Interpola_FF(tbl_Bonds[[#This Row],[DU]],dus_svensson,svensson_real_spot)</f>
        <v>5.8840285146379401E-2</v>
      </c>
      <c r="M182" s="49">
        <f>IF(curve_type="Simulada",_xlfn.XLOOKUP(tbl_Bonds[[#This Row],[Coupon]],Simulador!$B$5:$B$147,Simulador!$K$5:$K$147),0)</f>
        <v>0</v>
      </c>
      <c r="N182" s="5" cm="1">
        <f t="array" ref="N18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5.8840285146379401E-2</v>
      </c>
      <c r="O182" s="6">
        <f>IF(curve_type="Mercado",tbl_Bonds[[#This Row],[FC]]/(1+tbl_Bonds[[#This Row],[Real Mercado]])^(tbl_Bonds[[#This Row],[DU]]/252),tbl_Bonds[[#This Row],[FC]]/(1+tbl_Bonds[[#This Row],[Real Simulada]])^(tbl_Bonds[[#This Row],[DU]]/252))</f>
        <v>9.6578341192779266E-3</v>
      </c>
      <c r="P182" s="7">
        <f>tbl_Bonds[[#This Row],[Cotação]]*VNA</f>
        <v>38.199672822059043</v>
      </c>
      <c r="Q182" s="18">
        <f>tbl_Bonds[[#This Row],[Cotação]]%%*VNA</f>
        <v>3.8199672822059041E-3</v>
      </c>
      <c r="R18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-7.0593326734095074E-2</v>
      </c>
      <c r="S18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-6.6689850847953938E-2</v>
      </c>
      <c r="T18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7.0613900698977383E-2</v>
      </c>
      <c r="U182" s="18">
        <f>IF(curve_type="Mercado",tbl_Bonds[[#This Row],[VP Cupom]]*LN(1+tbl_Bonds[[#This Row],[Real Mercado]])/252,tbl_Bonds[[#This Row],[VP Cupom]]*LN(1+tbl_Bonds[[#This Row],[Real Simulada]])/252)</f>
        <v>8.6668143151715331E-3</v>
      </c>
      <c r="V182" s="18">
        <f>SUMIF(Dashboard!$B$28:$B$42,tbl_Bonds[[#This Row],[Bond]],Dashboard!$C$28:$C$42)</f>
        <v>13940</v>
      </c>
      <c r="W182" s="18">
        <f>tbl_Bonds[[#This Row],[Quantidade]]*tbl_Bonds[[#This Row],[𝛿P/𝛿VNA]]</f>
        <v>53.250343913950303</v>
      </c>
      <c r="X182" s="18">
        <f>+tbl_Bonds[[#This Row],[Quantidade]]*tbl_Bonds[[#This Row],[𝛿P/𝛿r_real]]</f>
        <v>-984.07097467328538</v>
      </c>
      <c r="Y182" s="18">
        <f>tbl_Bonds[[#This Row],[Quantidade]]*tbl_Bonds[[#This Row],[𝛿P/𝛿r_pre]]</f>
        <v>-929.65652082047791</v>
      </c>
      <c r="Z182" s="18">
        <f>tbl_Bonds[[#This Row],[Quantidade]]*tbl_Bonds[[#This Row],[𝛿P/𝛿r_implicita]]</f>
        <v>984.3577757437447</v>
      </c>
      <c r="AA182" s="18">
        <f>tbl_Bonds[[#This Row],[Quantidade]]*tbl_Bonds[[#This Row],[𝛿P/𝛿du]]</f>
        <v>120.81539155349117</v>
      </c>
    </row>
    <row r="183" spans="1:27">
      <c r="A183" s="2" t="s">
        <v>86</v>
      </c>
      <c r="B183" s="3">
        <v>53097</v>
      </c>
      <c r="C183" s="3">
        <v>52187</v>
      </c>
      <c r="D183" s="4">
        <f>NETWORKDAYS(Dashboard!$C$10,bonds!C183,feriados)-1</f>
        <v>5062</v>
      </c>
      <c r="E183" s="2">
        <f>IF(tbl_Bonds[[#This Row],[Coupon]]&lt;tbl_Bonds[[#This Row],[Maturity]],SQRT(1.06)-1,SQRT(1.06))</f>
        <v>2.9563014098699991E-2</v>
      </c>
      <c r="F183" s="5" cm="1">
        <f t="array" ref="F183">Svensson(betas_pre,tbl_Bonds[[#This Row],[DU]])</f>
        <v>0.12085631382413267</v>
      </c>
      <c r="G183" s="49">
        <f>IF(curve_type="Simulada",_xlfn.XLOOKUP(tbl_Bonds[[#This Row],[Coupon]],Simulador!$B$5:$B$147,Simulador!$H$5:$H$147),0)</f>
        <v>0</v>
      </c>
      <c r="H183" s="5" cm="1">
        <f t="array" ref="H18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0.12085631382413267</v>
      </c>
      <c r="I183" s="5" cm="1">
        <f t="array" ref="I183">Interpola_FF(tbl_Bonds[[#This Row],[DU]],dus_svensson,svensson_implicita)</f>
        <v>5.8569033512437585E-2</v>
      </c>
      <c r="J183" s="49">
        <f>IF(curve_type="Simulada",_xlfn.XLOOKUP(tbl_Bonds[[#This Row],[Coupon]],Simulador!$B$5:$B$147,Simulador!$N$5:$N$147),0)</f>
        <v>0</v>
      </c>
      <c r="K183" s="5" cm="1">
        <f t="array" ref="K18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5.8569033512437585E-2</v>
      </c>
      <c r="L183" s="5" cm="1">
        <f t="array" ref="L183">Interpola_FF(tbl_Bonds[[#This Row],[DU]],dus_svensson,svensson_real_spot)</f>
        <v>5.8841018534799838E-2</v>
      </c>
      <c r="M183" s="49">
        <f>IF(curve_type="Simulada",_xlfn.XLOOKUP(tbl_Bonds[[#This Row],[Coupon]],Simulador!$B$5:$B$147,Simulador!$K$5:$K$147),0)</f>
        <v>0</v>
      </c>
      <c r="N183" s="5" cm="1">
        <f t="array" ref="N18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5.8841018534799838E-2</v>
      </c>
      <c r="O183" s="6">
        <f>IF(curve_type="Mercado",tbl_Bonds[[#This Row],[FC]]/(1+tbl_Bonds[[#This Row],[Real Mercado]])^(tbl_Bonds[[#This Row],[DU]]/252),tbl_Bonds[[#This Row],[FC]]/(1+tbl_Bonds[[#This Row],[Real Simulada]])^(tbl_Bonds[[#This Row],[DU]]/252))</f>
        <v>9.3748818575050338E-3</v>
      </c>
      <c r="P183" s="7">
        <f>tbl_Bonds[[#This Row],[Cotação]]*VNA</f>
        <v>37.080510524333199</v>
      </c>
      <c r="Q183" s="18">
        <f>tbl_Bonds[[#This Row],[Cotação]]%%*VNA</f>
        <v>3.7080510524333202E-3</v>
      </c>
      <c r="R18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-7.0345536759058927E-2</v>
      </c>
      <c r="S18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-6.6453423706933717E-2</v>
      </c>
      <c r="T18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7.0363610854928552E-2</v>
      </c>
      <c r="U183" s="18">
        <f>IF(curve_type="Mercado",tbl_Bonds[[#This Row],[VP Cupom]]*LN(1+tbl_Bonds[[#This Row],[Real Mercado]])/252,tbl_Bonds[[#This Row],[VP Cupom]]*LN(1+tbl_Bonds[[#This Row],[Real Simulada]])/252)</f>
        <v>8.4129985651168297E-3</v>
      </c>
      <c r="V183" s="18">
        <f>SUMIF(Dashboard!$B$28:$B$42,tbl_Bonds[[#This Row],[Bond]],Dashboard!$C$28:$C$42)</f>
        <v>13940</v>
      </c>
      <c r="W183" s="18">
        <f>tbl_Bonds[[#This Row],[Quantidade]]*tbl_Bonds[[#This Row],[𝛿P/𝛿VNA]]</f>
        <v>51.690231670920483</v>
      </c>
      <c r="X183" s="18">
        <f>+tbl_Bonds[[#This Row],[Quantidade]]*tbl_Bonds[[#This Row],[𝛿P/𝛿r_real]]</f>
        <v>-980.61678242128141</v>
      </c>
      <c r="Y183" s="18">
        <f>tbl_Bonds[[#This Row],[Quantidade]]*tbl_Bonds[[#This Row],[𝛿P/𝛿r_pre]]</f>
        <v>-926.36072647465608</v>
      </c>
      <c r="Z183" s="18">
        <f>tbl_Bonds[[#This Row],[Quantidade]]*tbl_Bonds[[#This Row],[𝛿P/𝛿r_implicita]]</f>
        <v>980.86873531770402</v>
      </c>
      <c r="AA183" s="18">
        <f>tbl_Bonds[[#This Row],[Quantidade]]*tbl_Bonds[[#This Row],[𝛿P/𝛿du]]</f>
        <v>117.2771999977286</v>
      </c>
    </row>
    <row r="184" spans="1:27">
      <c r="A184" s="2" t="s">
        <v>86</v>
      </c>
      <c r="B184" s="3">
        <v>53097</v>
      </c>
      <c r="C184" s="3">
        <v>52366</v>
      </c>
      <c r="D184" s="4">
        <f>NETWORKDAYS(Dashboard!$C$10,bonds!C184,feriados)-1</f>
        <v>5184</v>
      </c>
      <c r="E184" s="2">
        <f>IF(tbl_Bonds[[#This Row],[Coupon]]&lt;tbl_Bonds[[#This Row],[Maturity]],SQRT(1.06)-1,SQRT(1.06))</f>
        <v>2.9563014098699991E-2</v>
      </c>
      <c r="F184" s="5" cm="1">
        <f t="array" ref="F184">Svensson(betas_pre,tbl_Bonds[[#This Row],[DU]])</f>
        <v>0.12089194307908858</v>
      </c>
      <c r="G184" s="49">
        <f>IF(curve_type="Simulada",_xlfn.XLOOKUP(tbl_Bonds[[#This Row],[Coupon]],Simulador!$B$5:$B$147,Simulador!$H$5:$H$147),0)</f>
        <v>0</v>
      </c>
      <c r="H184" s="5" cm="1">
        <f t="array" ref="H18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0.12089194307908858</v>
      </c>
      <c r="I184" s="5" cm="1">
        <f t="array" ref="I184">Interpola_FF(tbl_Bonds[[#This Row],[DU]],dus_svensson,svensson_implicita)</f>
        <v>5.8603215109393147E-2</v>
      </c>
      <c r="J184" s="49">
        <f>IF(curve_type="Simulada",_xlfn.XLOOKUP(tbl_Bonds[[#This Row],[Coupon]],Simulador!$B$5:$B$147,Simulador!$N$5:$N$147),0)</f>
        <v>0</v>
      </c>
      <c r="K184" s="5" cm="1">
        <f t="array" ref="K18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5.8603215109393147E-2</v>
      </c>
      <c r="L184" s="5" cm="1">
        <f t="array" ref="L184">Interpola_FF(tbl_Bonds[[#This Row],[DU]],dus_svensson,svensson_real_spot)</f>
        <v>5.8840486155436134E-2</v>
      </c>
      <c r="M184" s="49">
        <f>IF(curve_type="Simulada",_xlfn.XLOOKUP(tbl_Bonds[[#This Row],[Coupon]],Simulador!$B$5:$B$147,Simulador!$K$5:$K$147),0)</f>
        <v>0</v>
      </c>
      <c r="N184" s="5" cm="1">
        <f t="array" ref="N18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5.8840486155436134E-2</v>
      </c>
      <c r="O184" s="6">
        <f>IF(curve_type="Mercado",tbl_Bonds[[#This Row],[FC]]/(1+tbl_Bonds[[#This Row],[Real Mercado]])^(tbl_Bonds[[#This Row],[DU]]/252),tbl_Bonds[[#This Row],[FC]]/(1+tbl_Bonds[[#This Row],[Real Simulada]])^(tbl_Bonds[[#This Row],[DU]]/252))</f>
        <v>9.1190386386341415E-3</v>
      </c>
      <c r="P184" s="7">
        <f>tbl_Bonds[[#This Row],[Cotação]]*VNA</f>
        <v>36.068572740570431</v>
      </c>
      <c r="Q184" s="18">
        <f>tbl_Bonds[[#This Row],[Cotação]]%%*VNA</f>
        <v>3.6068572740570438E-3</v>
      </c>
      <c r="R18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-7.0074961952021411E-2</v>
      </c>
      <c r="S18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-6.6195681964374295E-2</v>
      </c>
      <c r="T18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7.0090668081737709E-2</v>
      </c>
      <c r="U184" s="18">
        <f>IF(curve_type="Mercado",tbl_Bonds[[#This Row],[VP Cupom]]*LN(1+tbl_Bonds[[#This Row],[Real Mercado]])/252,tbl_Bonds[[#This Row],[VP Cupom]]*LN(1+tbl_Bonds[[#This Row],[Real Simulada]])/252)</f>
        <v>8.183333452989907E-3</v>
      </c>
      <c r="V184" s="18">
        <f>SUMIF(Dashboard!$B$28:$B$42,tbl_Bonds[[#This Row],[Bond]],Dashboard!$C$28:$C$42)</f>
        <v>13940</v>
      </c>
      <c r="W184" s="18">
        <f>tbl_Bonds[[#This Row],[Quantidade]]*tbl_Bonds[[#This Row],[𝛿P/𝛿VNA]]</f>
        <v>50.27959040035519</v>
      </c>
      <c r="X184" s="18">
        <f>+tbl_Bonds[[#This Row],[Quantidade]]*tbl_Bonds[[#This Row],[𝛿P/𝛿r_real]]</f>
        <v>-976.8449696111785</v>
      </c>
      <c r="Y184" s="18">
        <f>tbl_Bonds[[#This Row],[Quantidade]]*tbl_Bonds[[#This Row],[𝛿P/𝛿r_pre]]</f>
        <v>-922.76780658337771</v>
      </c>
      <c r="Z184" s="18">
        <f>tbl_Bonds[[#This Row],[Quantidade]]*tbl_Bonds[[#This Row],[𝛿P/𝛿r_implicita]]</f>
        <v>977.06391305942361</v>
      </c>
      <c r="AA184" s="18">
        <f>tbl_Bonds[[#This Row],[Quantidade]]*tbl_Bonds[[#This Row],[𝛿P/𝛿du]]</f>
        <v>114.07566833467931</v>
      </c>
    </row>
    <row r="185" spans="1:27">
      <c r="A185" s="2" t="s">
        <v>86</v>
      </c>
      <c r="B185" s="3">
        <v>53097</v>
      </c>
      <c r="C185" s="3">
        <v>52551</v>
      </c>
      <c r="D185" s="4">
        <f>NETWORKDAYS(Dashboard!$C$10,bonds!C185,feriados)-1</f>
        <v>5311</v>
      </c>
      <c r="E185" s="2">
        <f>IF(tbl_Bonds[[#This Row],[Coupon]]&lt;tbl_Bonds[[#This Row],[Maturity]],SQRT(1.06)-1,SQRT(1.06))</f>
        <v>2.9563014098699991E-2</v>
      </c>
      <c r="F185" s="5" cm="1">
        <f t="array" ref="F185">Svensson(betas_pre,tbl_Bonds[[#This Row],[DU]])</f>
        <v>0.12092729239975129</v>
      </c>
      <c r="G185" s="49">
        <f>IF(curve_type="Simulada",_xlfn.XLOOKUP(tbl_Bonds[[#This Row],[Coupon]],Simulador!$B$5:$B$147,Simulador!$H$5:$H$147),0)</f>
        <v>0</v>
      </c>
      <c r="H185" s="5" cm="1">
        <f t="array" ref="H18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0.12092729239975129</v>
      </c>
      <c r="I185" s="5" cm="1">
        <f t="array" ref="I185">Interpola_FF(tbl_Bonds[[#This Row],[DU]],dus_svensson,svensson_implicita)</f>
        <v>5.8638222729547884E-2</v>
      </c>
      <c r="J185" s="49">
        <f>IF(curve_type="Simulada",_xlfn.XLOOKUP(tbl_Bonds[[#This Row],[Coupon]],Simulador!$B$5:$B$147,Simulador!$N$5:$N$147),0)</f>
        <v>0</v>
      </c>
      <c r="K185" s="5" cm="1">
        <f t="array" ref="K18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5.8638222729547884E-2</v>
      </c>
      <c r="L185" s="5" cm="1">
        <f t="array" ref="L185">Interpola_FF(tbl_Bonds[[#This Row],[DU]],dus_svensson,svensson_real_spot)</f>
        <v>5.8838863167042232E-2</v>
      </c>
      <c r="M185" s="49">
        <f>IF(curve_type="Simulada",_xlfn.XLOOKUP(tbl_Bonds[[#This Row],[Coupon]],Simulador!$B$5:$B$147,Simulador!$K$5:$K$147),0)</f>
        <v>0</v>
      </c>
      <c r="N185" s="5" cm="1">
        <f t="array" ref="N18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5.8838863167042232E-2</v>
      </c>
      <c r="O185" s="6">
        <f>IF(curve_type="Mercado",tbl_Bonds[[#This Row],[FC]]/(1+tbl_Bonds[[#This Row],[Real Mercado]])^(tbl_Bonds[[#This Row],[DU]]/252),tbl_Bonds[[#This Row],[FC]]/(1+tbl_Bonds[[#This Row],[Real Simulada]])^(tbl_Bonds[[#This Row],[DU]]/252))</f>
        <v>8.8603174503628767E-3</v>
      </c>
      <c r="P185" s="7">
        <f>tbl_Bonds[[#This Row],[Cotação]]*VNA</f>
        <v>35.045251712062694</v>
      </c>
      <c r="Q185" s="18">
        <f>tbl_Bonds[[#This Row],[Cotação]]%%*VNA</f>
        <v>3.5045251712062693E-3</v>
      </c>
      <c r="R18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-6.9754956336648799E-2</v>
      </c>
      <c r="S18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-6.5891212547564151E-2</v>
      </c>
      <c r="T18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6.9768176595250822E-2</v>
      </c>
      <c r="U185" s="18">
        <f>IF(curve_type="Mercado",tbl_Bonds[[#This Row],[VP Cupom]]*LN(1+tbl_Bonds[[#This Row],[Real Mercado]])/252,tbl_Bonds[[#This Row],[VP Cupom]]*LN(1+tbl_Bonds[[#This Row],[Real Simulada]])/252)</f>
        <v>7.9509464997526477E-3</v>
      </c>
      <c r="V185" s="18">
        <f>SUMIF(Dashboard!$B$28:$B$42,tbl_Bonds[[#This Row],[Bond]],Dashboard!$C$28:$C$42)</f>
        <v>13940</v>
      </c>
      <c r="W185" s="18">
        <f>tbl_Bonds[[#This Row],[Quantidade]]*tbl_Bonds[[#This Row],[𝛿P/𝛿VNA]]</f>
        <v>48.853080886615395</v>
      </c>
      <c r="X185" s="18">
        <f>+tbl_Bonds[[#This Row],[Quantidade]]*tbl_Bonds[[#This Row],[𝛿P/𝛿r_real]]</f>
        <v>-972.38409133288428</v>
      </c>
      <c r="Y185" s="18">
        <f>tbl_Bonds[[#This Row],[Quantidade]]*tbl_Bonds[[#This Row],[𝛿P/𝛿r_pre]]</f>
        <v>-918.52350291304424</v>
      </c>
      <c r="Z185" s="18">
        <f>tbl_Bonds[[#This Row],[Quantidade]]*tbl_Bonds[[#This Row],[𝛿P/𝛿r_implicita]]</f>
        <v>972.56838173779647</v>
      </c>
      <c r="AA185" s="18">
        <f>tbl_Bonds[[#This Row],[Quantidade]]*tbl_Bonds[[#This Row],[𝛿P/𝛿du]]</f>
        <v>110.83619420655191</v>
      </c>
    </row>
    <row r="186" spans="1:27">
      <c r="A186" s="2" t="s">
        <v>86</v>
      </c>
      <c r="B186" s="3">
        <v>53097</v>
      </c>
      <c r="C186" s="3">
        <v>52733</v>
      </c>
      <c r="D186" s="4">
        <f>NETWORKDAYS(Dashboard!$C$10,bonds!C186,feriados)-1</f>
        <v>5435</v>
      </c>
      <c r="E186" s="2">
        <f>IF(tbl_Bonds[[#This Row],[Coupon]]&lt;tbl_Bonds[[#This Row],[Maturity]],SQRT(1.06)-1,SQRT(1.06))</f>
        <v>2.9563014098699991E-2</v>
      </c>
      <c r="F186" s="5" cm="1">
        <f t="array" ref="F186">Svensson(betas_pre,tbl_Bonds[[#This Row],[DU]])</f>
        <v>0.12096021162947357</v>
      </c>
      <c r="G186" s="49">
        <f>IF(curve_type="Simulada",_xlfn.XLOOKUP(tbl_Bonds[[#This Row],[Coupon]],Simulador!$B$5:$B$147,Simulador!$H$5:$H$147),0)</f>
        <v>0</v>
      </c>
      <c r="H186" s="5" cm="1">
        <f t="array" ref="H18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0.12096021162947357</v>
      </c>
      <c r="I186" s="5" cm="1">
        <f t="array" ref="I186">Interpola_FF(tbl_Bonds[[#This Row],[DU]],dus_svensson,svensson_implicita)</f>
        <v>5.8671739477065055E-2</v>
      </c>
      <c r="J186" s="49">
        <f>IF(curve_type="Simulada",_xlfn.XLOOKUP(tbl_Bonds[[#This Row],[Coupon]],Simulador!$B$5:$B$147,Simulador!$N$5:$N$147),0)</f>
        <v>0</v>
      </c>
      <c r="K186" s="5" cm="1">
        <f t="array" ref="K18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5.8671739477065055E-2</v>
      </c>
      <c r="L186" s="5" cm="1">
        <f t="array" ref="L186">Interpola_FF(tbl_Bonds[[#This Row],[DU]],dus_svensson,svensson_real_spot)</f>
        <v>5.8836435992123626E-2</v>
      </c>
      <c r="M186" s="49">
        <f>IF(curve_type="Simulada",_xlfn.XLOOKUP(tbl_Bonds[[#This Row],[Coupon]],Simulador!$B$5:$B$147,Simulador!$K$5:$K$147),0)</f>
        <v>0</v>
      </c>
      <c r="N186" s="5" cm="1">
        <f t="array" ref="N18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5.8836435992123626E-2</v>
      </c>
      <c r="O186" s="6">
        <f>IF(curve_type="Mercado",tbl_Bonds[[#This Row],[FC]]/(1+tbl_Bonds[[#This Row],[Real Mercado]])^(tbl_Bonds[[#This Row],[DU]]/252),tbl_Bonds[[#This Row],[FC]]/(1+tbl_Bonds[[#This Row],[Real Simulada]])^(tbl_Bonds[[#This Row],[DU]]/252))</f>
        <v>8.6149523424415234E-3</v>
      </c>
      <c r="P186" s="7">
        <f>tbl_Bonds[[#This Row],[Cotação]]*VNA</f>
        <v>34.074758045596028</v>
      </c>
      <c r="Q186" s="18">
        <f>tbl_Bonds[[#This Row],[Cotação]]%%*VNA</f>
        <v>3.4074758045596026E-3</v>
      </c>
      <c r="R18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-6.9406942091754839E-2</v>
      </c>
      <c r="S18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-6.556039926403924E-2</v>
      </c>
      <c r="T18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6.9417739506139248E-2</v>
      </c>
      <c r="U186" s="18">
        <f>IF(curve_type="Mercado",tbl_Bonds[[#This Row],[VP Cupom]]*LN(1+tbl_Bonds[[#This Row],[Real Mercado]])/252,tbl_Bonds[[#This Row],[VP Cupom]]*LN(1+tbl_Bonds[[#This Row],[Real Simulada]])/252)</f>
        <v>7.7304542668157937E-3</v>
      </c>
      <c r="V186" s="18">
        <f>SUMIF(Dashboard!$B$28:$B$42,tbl_Bonds[[#This Row],[Bond]],Dashboard!$C$28:$C$42)</f>
        <v>13940</v>
      </c>
      <c r="W186" s="18">
        <f>tbl_Bonds[[#This Row],[Quantidade]]*tbl_Bonds[[#This Row],[𝛿P/𝛿VNA]]</f>
        <v>47.500212715560863</v>
      </c>
      <c r="X186" s="18">
        <f>+tbl_Bonds[[#This Row],[Quantidade]]*tbl_Bonds[[#This Row],[𝛿P/𝛿r_real]]</f>
        <v>-967.53277275906248</v>
      </c>
      <c r="Y186" s="18">
        <f>tbl_Bonds[[#This Row],[Quantidade]]*tbl_Bonds[[#This Row],[𝛿P/𝛿r_pre]]</f>
        <v>-913.91196574070705</v>
      </c>
      <c r="Z186" s="18">
        <f>tbl_Bonds[[#This Row],[Quantidade]]*tbl_Bonds[[#This Row],[𝛿P/𝛿r_implicita]]</f>
        <v>967.68328871558106</v>
      </c>
      <c r="AA186" s="18">
        <f>tbl_Bonds[[#This Row],[Quantidade]]*tbl_Bonds[[#This Row],[𝛿P/𝛿du]]</f>
        <v>107.76253247941216</v>
      </c>
    </row>
    <row r="187" spans="1:27">
      <c r="A187" s="2" t="s">
        <v>86</v>
      </c>
      <c r="B187" s="3">
        <v>53097</v>
      </c>
      <c r="C187" s="3">
        <v>52917</v>
      </c>
      <c r="D187" s="4">
        <f>NETWORKDAYS(Dashboard!$C$10,bonds!C187,feriados)-1</f>
        <v>5562</v>
      </c>
      <c r="E187" s="2">
        <f>IF(tbl_Bonds[[#This Row],[Coupon]]&lt;tbl_Bonds[[#This Row],[Maturity]],SQRT(1.06)-1,SQRT(1.06))</f>
        <v>2.9563014098699991E-2</v>
      </c>
      <c r="F187" s="5" cm="1">
        <f t="array" ref="F187">Svensson(betas_pre,tbl_Bonds[[#This Row],[DU]])</f>
        <v>0.12099240473572977</v>
      </c>
      <c r="G187" s="49">
        <f>IF(curve_type="Simulada",_xlfn.XLOOKUP(tbl_Bonds[[#This Row],[Coupon]],Simulador!$B$5:$B$147,Simulador!$H$5:$H$147),0)</f>
        <v>0</v>
      </c>
      <c r="H187" s="5" cm="1">
        <f t="array" ref="H18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0.12099240473572977</v>
      </c>
      <c r="I187" s="5" cm="1">
        <f t="array" ref="I187">Interpola_FF(tbl_Bonds[[#This Row],[DU]],dus_svensson,svensson_implicita)</f>
        <v>5.8705343244700003E-2</v>
      </c>
      <c r="J187" s="49">
        <f>IF(curve_type="Simulada",_xlfn.XLOOKUP(tbl_Bonds[[#This Row],[Coupon]],Simulador!$B$5:$B$147,Simulador!$N$5:$N$147),0)</f>
        <v>0</v>
      </c>
      <c r="K187" s="5" cm="1">
        <f t="array" ref="K18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5.8705343244700003E-2</v>
      </c>
      <c r="L187" s="5" cm="1">
        <f t="array" ref="L187">Interpola_FF(tbl_Bonds[[#This Row],[DU]],dus_svensson,svensson_real_spot)</f>
        <v>5.8833236062737715E-2</v>
      </c>
      <c r="M187" s="49">
        <f>IF(curve_type="Simulada",_xlfn.XLOOKUP(tbl_Bonds[[#This Row],[Coupon]],Simulador!$B$5:$B$147,Simulador!$K$5:$K$147),0)</f>
        <v>0</v>
      </c>
      <c r="N187" s="5" cm="1">
        <f t="array" ref="N18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5.8833236062737715E-2</v>
      </c>
      <c r="O187" s="6">
        <f>IF(curve_type="Mercado",tbl_Bonds[[#This Row],[FC]]/(1+tbl_Bonds[[#This Row],[Real Mercado]])^(tbl_Bonds[[#This Row],[DU]]/252),tbl_Bonds[[#This Row],[FC]]/(1+tbl_Bonds[[#This Row],[Real Simulada]])^(tbl_Bonds[[#This Row],[DU]]/252))</f>
        <v>8.370836932885312E-3</v>
      </c>
      <c r="P187" s="7">
        <f>tbl_Bonds[[#This Row],[Cotação]]*VNA</f>
        <v>33.109207316446884</v>
      </c>
      <c r="Q187" s="18">
        <f>tbl_Bonds[[#This Row],[Cotação]]%%*VNA</f>
        <v>3.310920731644689E-3</v>
      </c>
      <c r="R18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-6.9016298266092443E-2</v>
      </c>
      <c r="S18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-6.5189335775766702E-2</v>
      </c>
      <c r="T18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6.9024635363072226E-2</v>
      </c>
      <c r="U187" s="18">
        <f>IF(curve_type="Mercado",tbl_Bonds[[#This Row],[VP Cupom]]*LN(1+tbl_Bonds[[#This Row],[Real Mercado]])/252,tbl_Bonds[[#This Row],[VP Cupom]]*LN(1+tbl_Bonds[[#This Row],[Real Simulada]])/252)</f>
        <v>7.5110051484783159E-3</v>
      </c>
      <c r="V187" s="18">
        <f>SUMIF(Dashboard!$B$28:$B$42,tbl_Bonds[[#This Row],[Bond]],Dashboard!$C$28:$C$42)</f>
        <v>13940</v>
      </c>
      <c r="W187" s="18">
        <f>tbl_Bonds[[#This Row],[Quantidade]]*tbl_Bonds[[#This Row],[𝛿P/𝛿VNA]]</f>
        <v>46.154234999126963</v>
      </c>
      <c r="X187" s="18">
        <f>+tbl_Bonds[[#This Row],[Quantidade]]*tbl_Bonds[[#This Row],[𝛿P/𝛿r_real]]</f>
        <v>-962.08719782932872</v>
      </c>
      <c r="Y187" s="18">
        <f>tbl_Bonds[[#This Row],[Quantidade]]*tbl_Bonds[[#This Row],[𝛿P/𝛿r_pre]]</f>
        <v>-908.73934071418785</v>
      </c>
      <c r="Z187" s="18">
        <f>tbl_Bonds[[#This Row],[Quantidade]]*tbl_Bonds[[#This Row],[𝛿P/𝛿r_implicita]]</f>
        <v>962.20341696122682</v>
      </c>
      <c r="AA187" s="18">
        <f>tbl_Bonds[[#This Row],[Quantidade]]*tbl_Bonds[[#This Row],[𝛿P/𝛿du]]</f>
        <v>104.70341176978772</v>
      </c>
    </row>
    <row r="188" spans="1:27">
      <c r="A188" s="2" t="s">
        <v>86</v>
      </c>
      <c r="B188" s="3">
        <v>53097</v>
      </c>
      <c r="C188" s="3">
        <v>53097</v>
      </c>
      <c r="D188" s="4">
        <f>NETWORKDAYS(Dashboard!$C$10,bonds!C188,feriados)-1</f>
        <v>5685</v>
      </c>
      <c r="E188" s="2">
        <f>IF(tbl_Bonds[[#This Row],[Coupon]]&lt;tbl_Bonds[[#This Row],[Maturity]],SQRT(1.06)-1,SQRT(1.06))</f>
        <v>1.0295630140987</v>
      </c>
      <c r="F188" s="5" cm="1">
        <f t="array" ref="F188">Svensson(betas_pre,tbl_Bonds[[#This Row],[DU]])</f>
        <v>0.1210222118472476</v>
      </c>
      <c r="G188" s="49">
        <f>IF(curve_type="Simulada",_xlfn.XLOOKUP(tbl_Bonds[[#This Row],[Coupon]],Simulador!$B$5:$B$147,Simulador!$H$5:$H$147),0)</f>
        <v>0</v>
      </c>
      <c r="H188" s="5" cm="1">
        <f t="array" ref="H18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0.1210222118472476</v>
      </c>
      <c r="I188" s="5" cm="1">
        <f t="array" ref="I188">Interpola_FF(tbl_Bonds[[#This Row],[DU]],dus_svensson,svensson_implicita)</f>
        <v>5.8737133598216307E-2</v>
      </c>
      <c r="J188" s="49">
        <f>IF(curve_type="Simulada",_xlfn.XLOOKUP(tbl_Bonds[[#This Row],[Coupon]],Simulador!$B$5:$B$147,Simulador!$N$5:$N$147),0)</f>
        <v>0</v>
      </c>
      <c r="K188" s="5" cm="1">
        <f t="array" ref="K18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5.8737133598216307E-2</v>
      </c>
      <c r="L188" s="5" cm="1">
        <f t="array" ref="L188">Interpola_FF(tbl_Bonds[[#This Row],[DU]],dus_svensson,svensson_real_spot)</f>
        <v>5.882959630430995E-2</v>
      </c>
      <c r="M188" s="49">
        <f>IF(curve_type="Simulada",_xlfn.XLOOKUP(tbl_Bonds[[#This Row],[Coupon]],Simulador!$B$5:$B$147,Simulador!$K$5:$K$147),0)</f>
        <v>0</v>
      </c>
      <c r="N188" s="5" cm="1">
        <f t="array" ref="N18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5.882959630430995E-2</v>
      </c>
      <c r="O188" s="6">
        <f>IF(curve_type="Mercado",tbl_Bonds[[#This Row],[FC]]/(1+tbl_Bonds[[#This Row],[Real Mercado]])^(tbl_Bonds[[#This Row],[DU]]/252),tbl_Bonds[[#This Row],[FC]]/(1+tbl_Bonds[[#This Row],[Real Simulada]])^(tbl_Bonds[[#This Row],[DU]]/252))</f>
        <v>0.2835231770102698</v>
      </c>
      <c r="P188" s="7">
        <f>tbl_Bonds[[#This Row],[Cotação]]*VNA</f>
        <v>1121.4204412192562</v>
      </c>
      <c r="Q188" s="18">
        <f>tbl_Bonds[[#This Row],[Cotação]]%%*VNA</f>
        <v>0.1121420441219256</v>
      </c>
      <c r="R18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-2.389309028806331</v>
      </c>
      <c r="S18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-2.2567537763732801</v>
      </c>
      <c r="T18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2.3895176901811332</v>
      </c>
      <c r="U188" s="18">
        <f>IF(curve_type="Mercado",tbl_Bonds[[#This Row],[VP Cupom]]*LN(1+tbl_Bonds[[#This Row],[Real Mercado]])/252,tbl_Bonds[[#This Row],[VP Cupom]]*LN(1+tbl_Bonds[[#This Row],[Real Simulada]])/252)</f>
        <v>0.25438507623967854</v>
      </c>
      <c r="V188" s="18">
        <f>SUMIF(Dashboard!$B$28:$B$42,tbl_Bonds[[#This Row],[Bond]],Dashboard!$C$28:$C$42)</f>
        <v>13940</v>
      </c>
      <c r="W188" s="18">
        <f>tbl_Bonds[[#This Row],[Quantidade]]*tbl_Bonds[[#This Row],[𝛿P/𝛿VNA]]</f>
        <v>1563.2600950596429</v>
      </c>
      <c r="X188" s="18">
        <f>+tbl_Bonds[[#This Row],[Quantidade]]*tbl_Bonds[[#This Row],[𝛿P/𝛿r_real]]</f>
        <v>-33306.967861560253</v>
      </c>
      <c r="Y188" s="18">
        <f>tbl_Bonds[[#This Row],[Quantidade]]*tbl_Bonds[[#This Row],[𝛿P/𝛿r_pre]]</f>
        <v>-31459.147642643526</v>
      </c>
      <c r="Z188" s="18">
        <f>tbl_Bonds[[#This Row],[Quantidade]]*tbl_Bonds[[#This Row],[𝛿P/𝛿r_implicita]]</f>
        <v>33309.876601124997</v>
      </c>
      <c r="AA188" s="18">
        <f>tbl_Bonds[[#This Row],[Quantidade]]*tbl_Bonds[[#This Row],[𝛿P/𝛿du]]</f>
        <v>3546.1279627811191</v>
      </c>
    </row>
    <row r="189" spans="1:27">
      <c r="A189" s="2" t="s">
        <v>87</v>
      </c>
      <c r="B189" s="3">
        <v>55015</v>
      </c>
      <c r="C189" s="3">
        <v>44972</v>
      </c>
      <c r="D189" s="4">
        <f>NETWORKDAYS(Dashboard!$C$10,bonds!C189,feriados)-1</f>
        <v>99</v>
      </c>
      <c r="E189" s="2">
        <f>IF(tbl_Bonds[[#This Row],[Coupon]]&lt;tbl_Bonds[[#This Row],[Maturity]],SQRT(1.06)-1,SQRT(1.06))</f>
        <v>2.9563014098699991E-2</v>
      </c>
      <c r="F189" s="5" cm="1">
        <f t="array" ref="F189">Svensson(betas_pre,tbl_Bonds[[#This Row],[DU]])</f>
        <v>0.13824476901041258</v>
      </c>
      <c r="G189" s="49">
        <f>IF(curve_type="Simulada",_xlfn.XLOOKUP(tbl_Bonds[[#This Row],[Coupon]],Simulador!$B$5:$B$147,Simulador!$H$5:$H$147),0)</f>
        <v>0</v>
      </c>
      <c r="H189" s="5" cm="1">
        <f t="array" ref="H18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0.13824476901041258</v>
      </c>
      <c r="I189" s="5" cm="1">
        <f t="array" ref="I189">Interpola_FF(tbl_Bonds[[#This Row],[DU]],dus_svensson,svensson_implicita)</f>
        <v>4.5724704287595008E-2</v>
      </c>
      <c r="J189" s="49">
        <f>IF(curve_type="Simulada",_xlfn.XLOOKUP(tbl_Bonds[[#This Row],[Coupon]],Simulador!$B$5:$B$147,Simulador!$N$5:$N$147),0)</f>
        <v>0</v>
      </c>
      <c r="K189" s="5" cm="1">
        <f t="array" ref="K18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4.5724704287595008E-2</v>
      </c>
      <c r="L189" s="5" cm="1">
        <f t="array" ref="L189">Interpola_FF(tbl_Bonds[[#This Row],[DU]],dus_svensson,svensson_real_spot)</f>
        <v>8.8437815039086765E-2</v>
      </c>
      <c r="M189" s="49">
        <f>IF(curve_type="Simulada",_xlfn.XLOOKUP(tbl_Bonds[[#This Row],[Coupon]],Simulador!$B$5:$B$147,Simulador!$K$5:$K$147),0)</f>
        <v>0</v>
      </c>
      <c r="N189" s="5" cm="1">
        <f t="array" ref="N18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8.8437815039086765E-2</v>
      </c>
      <c r="O189" s="6">
        <f>IF(curve_type="Mercado",tbl_Bonds[[#This Row],[FC]]/(1+tbl_Bonds[[#This Row],[Real Mercado]])^(tbl_Bonds[[#This Row],[DU]]/252),tbl_Bonds[[#This Row],[FC]]/(1+tbl_Bonds[[#This Row],[Real Simulada]])^(tbl_Bonds[[#This Row],[DU]]/252))</f>
        <v>2.8595002889922921E-2</v>
      </c>
      <c r="P189" s="7">
        <f>tbl_Bonds[[#This Row],[Cotação]]*VNA</f>
        <v>113.10193789314702</v>
      </c>
      <c r="Q189" s="18">
        <f>tbl_Bonds[[#This Row],[Cotação]]%%*VNA</f>
        <v>1.1310193789314704E-2</v>
      </c>
      <c r="R18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-4.0822639160797754E-3</v>
      </c>
      <c r="S18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-3.9035816912818782E-3</v>
      </c>
      <c r="T18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4.248949481913014E-3</v>
      </c>
      <c r="U189" s="18">
        <f>IF(curve_type="Mercado",tbl_Bonds[[#This Row],[VP Cupom]]*LN(1+tbl_Bonds[[#This Row],[Real Mercado]])/252,tbl_Bonds[[#This Row],[VP Cupom]]*LN(1+tbl_Bonds[[#This Row],[Real Simulada]])/252)</f>
        <v>3.8034328556047631E-2</v>
      </c>
      <c r="V189" s="18">
        <f>SUMIF(Dashboard!$B$28:$B$42,tbl_Bonds[[#This Row],[Bond]],Dashboard!$C$28:$C$42)</f>
        <v>12247</v>
      </c>
      <c r="W189" s="18">
        <f>tbl_Bonds[[#This Row],[Quantidade]]*tbl_Bonds[[#This Row],[𝛿P/𝛿VNA]]</f>
        <v>138.51594333773718</v>
      </c>
      <c r="X189" s="18">
        <f>+tbl_Bonds[[#This Row],[Quantidade]]*tbl_Bonds[[#This Row],[𝛿P/𝛿r_real]]</f>
        <v>-49.995486180229008</v>
      </c>
      <c r="Y189" s="18">
        <f>tbl_Bonds[[#This Row],[Quantidade]]*tbl_Bonds[[#This Row],[𝛿P/𝛿r_pre]]</f>
        <v>-47.807164973129161</v>
      </c>
      <c r="Z189" s="18">
        <f>tbl_Bonds[[#This Row],[Quantidade]]*tbl_Bonds[[#This Row],[𝛿P/𝛿r_implicita]]</f>
        <v>52.036884304988682</v>
      </c>
      <c r="AA189" s="18">
        <f>tbl_Bonds[[#This Row],[Quantidade]]*tbl_Bonds[[#This Row],[𝛿P/𝛿du]]</f>
        <v>465.80642182591532</v>
      </c>
    </row>
    <row r="190" spans="1:27">
      <c r="A190" s="2" t="s">
        <v>87</v>
      </c>
      <c r="B190" s="3">
        <v>55015</v>
      </c>
      <c r="C190" s="3">
        <v>45153</v>
      </c>
      <c r="D190" s="4">
        <f>NETWORKDAYS(Dashboard!$C$10,bonds!C190,feriados)-1</f>
        <v>222</v>
      </c>
      <c r="E190" s="2">
        <f>IF(tbl_Bonds[[#This Row],[Coupon]]&lt;tbl_Bonds[[#This Row],[Maturity]],SQRT(1.06)-1,SQRT(1.06))</f>
        <v>2.9563014098699991E-2</v>
      </c>
      <c r="F190" s="5" cm="1">
        <f t="array" ref="F190">Svensson(betas_pre,tbl_Bonds[[#This Row],[DU]])</f>
        <v>0.13372890379553737</v>
      </c>
      <c r="G190" s="49">
        <f>IF(curve_type="Simulada",_xlfn.XLOOKUP(tbl_Bonds[[#This Row],[Coupon]],Simulador!$B$5:$B$147,Simulador!$H$5:$H$147),0)</f>
        <v>0</v>
      </c>
      <c r="H190" s="5" cm="1">
        <f t="array" ref="H19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0.13372890379553737</v>
      </c>
      <c r="I190" s="5" cm="1">
        <f t="array" ref="I190">Interpola_FF(tbl_Bonds[[#This Row],[DU]],dus_svensson,svensson_implicita)</f>
        <v>5.0400974841755763E-2</v>
      </c>
      <c r="J190" s="49">
        <f>IF(curve_type="Simulada",_xlfn.XLOOKUP(tbl_Bonds[[#This Row],[Coupon]],Simulador!$B$5:$B$147,Simulador!$N$5:$N$147),0)</f>
        <v>0</v>
      </c>
      <c r="K190" s="5" cm="1">
        <f t="array" ref="K19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5.0400974841755763E-2</v>
      </c>
      <c r="L190" s="5" cm="1">
        <f t="array" ref="L190">Interpola_FF(tbl_Bonds[[#This Row],[DU]],dus_svensson,svensson_real_spot)</f>
        <v>7.9302041272826251E-2</v>
      </c>
      <c r="M190" s="49">
        <f>IF(curve_type="Simulada",_xlfn.XLOOKUP(tbl_Bonds[[#This Row],[Coupon]],Simulador!$B$5:$B$147,Simulador!$K$5:$K$147),0)</f>
        <v>0</v>
      </c>
      <c r="N190" s="5" cm="1">
        <f t="array" ref="N19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7.9302041272826251E-2</v>
      </c>
      <c r="O190" s="6">
        <f>IF(curve_type="Mercado",tbl_Bonds[[#This Row],[FC]]/(1+tbl_Bonds[[#This Row],[Real Mercado]])^(tbl_Bonds[[#This Row],[DU]]/252),tbl_Bonds[[#This Row],[FC]]/(1+tbl_Bonds[[#This Row],[Real Simulada]])^(tbl_Bonds[[#This Row],[DU]]/252))</f>
        <v>2.7640844460278355E-2</v>
      </c>
      <c r="P190" s="7">
        <f>tbl_Bonds[[#This Row],[Cotação]]*VNA</f>
        <v>109.32795095335507</v>
      </c>
      <c r="Q190" s="18">
        <f>tbl_Bonds[[#This Row],[Cotação]]%%*VNA</f>
        <v>1.0932795095335505E-2</v>
      </c>
      <c r="R19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-8.9236112796952736E-3</v>
      </c>
      <c r="S19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-8.4950246026016599E-3</v>
      </c>
      <c r="T19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9.1689318280332253E-3</v>
      </c>
      <c r="U190" s="18">
        <f>IF(curve_type="Mercado",tbl_Bonds[[#This Row],[VP Cupom]]*LN(1+tbl_Bonds[[#This Row],[Real Mercado]])/252,tbl_Bonds[[#This Row],[VP Cupom]]*LN(1+tbl_Bonds[[#This Row],[Real Simulada]])/252)</f>
        <v>3.310839689950245E-2</v>
      </c>
      <c r="V190" s="18">
        <f>SUMIF(Dashboard!$B$28:$B$42,tbl_Bonds[[#This Row],[Bond]],Dashboard!$C$28:$C$42)</f>
        <v>12247</v>
      </c>
      <c r="W190" s="18">
        <f>tbl_Bonds[[#This Row],[Quantidade]]*tbl_Bonds[[#This Row],[𝛿P/𝛿VNA]]</f>
        <v>133.89394153257393</v>
      </c>
      <c r="X190" s="18">
        <f>+tbl_Bonds[[#This Row],[Quantidade]]*tbl_Bonds[[#This Row],[𝛿P/𝛿r_real]]</f>
        <v>-109.28746734242802</v>
      </c>
      <c r="Y190" s="18">
        <f>tbl_Bonds[[#This Row],[Quantidade]]*tbl_Bonds[[#This Row],[𝛿P/𝛿r_pre]]</f>
        <v>-104.03856630806253</v>
      </c>
      <c r="Z190" s="18">
        <f>tbl_Bonds[[#This Row],[Quantidade]]*tbl_Bonds[[#This Row],[𝛿P/𝛿r_implicita]]</f>
        <v>112.29190809792291</v>
      </c>
      <c r="AA190" s="18">
        <f>tbl_Bonds[[#This Row],[Quantidade]]*tbl_Bonds[[#This Row],[𝛿P/𝛿du]]</f>
        <v>405.47853682820653</v>
      </c>
    </row>
    <row r="191" spans="1:27">
      <c r="A191" s="2" t="s">
        <v>87</v>
      </c>
      <c r="B191" s="3">
        <v>55015</v>
      </c>
      <c r="C191" s="3">
        <v>45337</v>
      </c>
      <c r="D191" s="4">
        <f>NETWORKDAYS(Dashboard!$C$10,bonds!C191,feriados)-1</f>
        <v>346</v>
      </c>
      <c r="E191" s="2">
        <f>IF(tbl_Bonds[[#This Row],[Coupon]]&lt;tbl_Bonds[[#This Row],[Maturity]],SQRT(1.06)-1,SQRT(1.06))</f>
        <v>2.9563014098699991E-2</v>
      </c>
      <c r="F191" s="5" cm="1">
        <f t="array" ref="F191">Svensson(betas_pre,tbl_Bonds[[#This Row],[DU]])</f>
        <v>0.12747368770436204</v>
      </c>
      <c r="G191" s="49">
        <f>IF(curve_type="Simulada",_xlfn.XLOOKUP(tbl_Bonds[[#This Row],[Coupon]],Simulador!$B$5:$B$147,Simulador!$H$5:$H$147),0)</f>
        <v>0</v>
      </c>
      <c r="H191" s="5" cm="1">
        <f t="array" ref="H19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0.12747368770436204</v>
      </c>
      <c r="I191" s="5" cm="1">
        <f t="array" ref="I191">Interpola_FF(tbl_Bonds[[#This Row],[DU]],dus_svensson,svensson_implicita)</f>
        <v>5.1308537686221012E-2</v>
      </c>
      <c r="J191" s="49">
        <f>IF(curve_type="Simulada",_xlfn.XLOOKUP(tbl_Bonds[[#This Row],[Coupon]],Simulador!$B$5:$B$147,Simulador!$N$5:$N$147),0)</f>
        <v>0</v>
      </c>
      <c r="K191" s="5" cm="1">
        <f t="array" ref="K19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5.1308537686221012E-2</v>
      </c>
      <c r="L191" s="5" cm="1">
        <f t="array" ref="L191">Interpola_FF(tbl_Bonds[[#This Row],[DU]],dus_svensson,svensson_real_spot)</f>
        <v>7.2438747759168143E-2</v>
      </c>
      <c r="M191" s="49">
        <f>IF(curve_type="Simulada",_xlfn.XLOOKUP(tbl_Bonds[[#This Row],[Coupon]],Simulador!$B$5:$B$147,Simulador!$K$5:$K$147),0)</f>
        <v>0</v>
      </c>
      <c r="N191" s="5" cm="1">
        <f t="array" ref="N19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7.2438747759168143E-2</v>
      </c>
      <c r="O191" s="6">
        <f>IF(curve_type="Mercado",tbl_Bonds[[#This Row],[FC]]/(1+tbl_Bonds[[#This Row],[Real Mercado]])^(tbl_Bonds[[#This Row],[DU]]/252),tbl_Bonds[[#This Row],[FC]]/(1+tbl_Bonds[[#This Row],[Real Simulada]])^(tbl_Bonds[[#This Row],[DU]]/252))</f>
        <v>2.6856337759066942E-2</v>
      </c>
      <c r="P191" s="7">
        <f>tbl_Bonds[[#This Row],[Cotação]]*VNA</f>
        <v>106.22498822456166</v>
      </c>
      <c r="Q191" s="18">
        <f>tbl_Bonds[[#This Row],[Cotação]]%%*VNA</f>
        <v>1.0622498822456167E-2</v>
      </c>
      <c r="R19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-1.3599713293462592E-2</v>
      </c>
      <c r="S19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-1.2935723286440097E-2</v>
      </c>
      <c r="T19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1.3872889940554092E-2</v>
      </c>
      <c r="U191" s="18">
        <f>IF(curve_type="Mercado",tbl_Bonds[[#This Row],[VP Cupom]]*LN(1+tbl_Bonds[[#This Row],[Real Mercado]])/252,tbl_Bonds[[#This Row],[VP Cupom]]*LN(1+tbl_Bonds[[#This Row],[Real Simulada]])/252)</f>
        <v>2.947965085386333E-2</v>
      </c>
      <c r="V191" s="18">
        <f>SUMIF(Dashboard!$B$28:$B$42,tbl_Bonds[[#This Row],[Bond]],Dashboard!$C$28:$C$42)</f>
        <v>12247</v>
      </c>
      <c r="W191" s="18">
        <f>tbl_Bonds[[#This Row],[Quantidade]]*tbl_Bonds[[#This Row],[𝛿P/𝛿VNA]]</f>
        <v>130.09374307862066</v>
      </c>
      <c r="X191" s="18">
        <f>+tbl_Bonds[[#This Row],[Quantidade]]*tbl_Bonds[[#This Row],[𝛿P/𝛿r_real]]</f>
        <v>-166.55568870503637</v>
      </c>
      <c r="Y191" s="18">
        <f>tbl_Bonds[[#This Row],[Quantidade]]*tbl_Bonds[[#This Row],[𝛿P/𝛿r_pre]]</f>
        <v>-158.42380308903188</v>
      </c>
      <c r="Z191" s="18">
        <f>tbl_Bonds[[#This Row],[Quantidade]]*tbl_Bonds[[#This Row],[𝛿P/𝛿r_implicita]]</f>
        <v>169.90128310196596</v>
      </c>
      <c r="AA191" s="18">
        <f>tbl_Bonds[[#This Row],[Quantidade]]*tbl_Bonds[[#This Row],[𝛿P/𝛿du]]</f>
        <v>361.03728400726419</v>
      </c>
    </row>
    <row r="192" spans="1:27">
      <c r="A192" s="2" t="s">
        <v>87</v>
      </c>
      <c r="B192" s="3">
        <v>55015</v>
      </c>
      <c r="C192" s="3">
        <v>45519</v>
      </c>
      <c r="D192" s="4">
        <f>NETWORKDAYS(Dashboard!$C$10,bonds!C192,feriados)-1</f>
        <v>473</v>
      </c>
      <c r="E192" s="2">
        <f>IF(tbl_Bonds[[#This Row],[Coupon]]&lt;tbl_Bonds[[#This Row],[Maturity]],SQRT(1.06)-1,SQRT(1.06))</f>
        <v>2.9563014098699991E-2</v>
      </c>
      <c r="F192" s="5" cm="1">
        <f t="array" ref="F192">Svensson(betas_pre,tbl_Bonds[[#This Row],[DU]])</f>
        <v>0.12241457710811354</v>
      </c>
      <c r="G192" s="49">
        <f>IF(curve_type="Simulada",_xlfn.XLOOKUP(tbl_Bonds[[#This Row],[Coupon]],Simulador!$B$5:$B$147,Simulador!$H$5:$H$147),0)</f>
        <v>0</v>
      </c>
      <c r="H192" s="5" cm="1">
        <f t="array" ref="H19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0.12241457710811354</v>
      </c>
      <c r="I192" s="5" cm="1">
        <f t="array" ref="I192">Interpola_FF(tbl_Bonds[[#This Row],[DU]],dus_svensson,svensson_implicita)</f>
        <v>5.1636418386285854E-2</v>
      </c>
      <c r="J192" s="49">
        <f>IF(curve_type="Simulada",_xlfn.XLOOKUP(tbl_Bonds[[#This Row],[Coupon]],Simulador!$B$5:$B$147,Simulador!$N$5:$N$147),0)</f>
        <v>0</v>
      </c>
      <c r="K192" s="5" cm="1">
        <f t="array" ref="K19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5.1636418386285854E-2</v>
      </c>
      <c r="L192" s="5" cm="1">
        <f t="array" ref="L192">Interpola_FF(tbl_Bonds[[#This Row],[DU]],dus_svensson,svensson_real_spot)</f>
        <v>6.730173834988129E-2</v>
      </c>
      <c r="M192" s="49">
        <f>IF(curve_type="Simulada",_xlfn.XLOOKUP(tbl_Bonds[[#This Row],[Coupon]],Simulador!$B$5:$B$147,Simulador!$K$5:$K$147),0)</f>
        <v>0</v>
      </c>
      <c r="N192" s="5" cm="1">
        <f t="array" ref="N19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6.730173834988129E-2</v>
      </c>
      <c r="O192" s="6">
        <f>IF(curve_type="Mercado",tbl_Bonds[[#This Row],[FC]]/(1+tbl_Bonds[[#This Row],[Real Mercado]])^(tbl_Bonds[[#This Row],[DU]]/252),tbl_Bonds[[#This Row],[FC]]/(1+tbl_Bonds[[#This Row],[Real Simulada]])^(tbl_Bonds[[#This Row],[DU]]/252))</f>
        <v>2.6160982699978276E-2</v>
      </c>
      <c r="P192" s="7">
        <f>tbl_Bonds[[#This Row],[Cotação]]*VNA</f>
        <v>103.47464736922124</v>
      </c>
      <c r="Q192" s="18">
        <f>tbl_Bonds[[#This Row],[Cotação]]%%*VNA</f>
        <v>1.0347464736922126E-2</v>
      </c>
      <c r="R19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-1.8197316061490301E-2</v>
      </c>
      <c r="S19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-1.7303756115098563E-2</v>
      </c>
      <c r="T19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1.8468348720856322E-2</v>
      </c>
      <c r="U192" s="18">
        <f>IF(curve_type="Mercado",tbl_Bonds[[#This Row],[VP Cupom]]*LN(1+tbl_Bonds[[#This Row],[Real Mercado]])/252,tbl_Bonds[[#This Row],[VP Cupom]]*LN(1+tbl_Bonds[[#This Row],[Real Simulada]])/252)</f>
        <v>2.6744797971613773E-2</v>
      </c>
      <c r="V192" s="18">
        <f>SUMIF(Dashboard!$B$28:$B$42,tbl_Bonds[[#This Row],[Bond]],Dashboard!$C$28:$C$42)</f>
        <v>12247</v>
      </c>
      <c r="W192" s="18">
        <f>tbl_Bonds[[#This Row],[Quantidade]]*tbl_Bonds[[#This Row],[𝛿P/𝛿VNA]]</f>
        <v>126.72540063308529</v>
      </c>
      <c r="X192" s="18">
        <f>+tbl_Bonds[[#This Row],[Quantidade]]*tbl_Bonds[[#This Row],[𝛿P/𝛿r_real]]</f>
        <v>-222.86252980507172</v>
      </c>
      <c r="Y192" s="18">
        <f>tbl_Bonds[[#This Row],[Quantidade]]*tbl_Bonds[[#This Row],[𝛿P/𝛿r_pre]]</f>
        <v>-211.91910114161209</v>
      </c>
      <c r="Z192" s="18">
        <f>tbl_Bonds[[#This Row],[Quantidade]]*tbl_Bonds[[#This Row],[𝛿P/𝛿r_implicita]]</f>
        <v>226.18186678432738</v>
      </c>
      <c r="AA192" s="18">
        <f>tbl_Bonds[[#This Row],[Quantidade]]*tbl_Bonds[[#This Row],[𝛿P/𝛿du]]</f>
        <v>327.54354075835386</v>
      </c>
    </row>
    <row r="193" spans="1:27">
      <c r="A193" s="2" t="s">
        <v>87</v>
      </c>
      <c r="B193" s="3">
        <v>55015</v>
      </c>
      <c r="C193" s="3">
        <v>45705</v>
      </c>
      <c r="D193" s="4">
        <f>NETWORKDAYS(Dashboard!$C$10,bonds!C193,feriados)-1</f>
        <v>602</v>
      </c>
      <c r="E193" s="2">
        <f>IF(tbl_Bonds[[#This Row],[Coupon]]&lt;tbl_Bonds[[#This Row],[Maturity]],SQRT(1.06)-1,SQRT(1.06))</f>
        <v>2.9563014098699991E-2</v>
      </c>
      <c r="F193" s="5" cm="1">
        <f t="array" ref="F193">Svensson(betas_pre,tbl_Bonds[[#This Row],[DU]])</f>
        <v>0.11913959507080539</v>
      </c>
      <c r="G193" s="49">
        <f>IF(curve_type="Simulada",_xlfn.XLOOKUP(tbl_Bonds[[#This Row],[Coupon]],Simulador!$B$5:$B$147,Simulador!$H$5:$H$147),0)</f>
        <v>0</v>
      </c>
      <c r="H193" s="5" cm="1">
        <f t="array" ref="H19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0.11913959507080539</v>
      </c>
      <c r="I193" s="5" cm="1">
        <f t="array" ref="I193">Interpola_FF(tbl_Bonds[[#This Row],[DU]],dus_svensson,svensson_implicita)</f>
        <v>5.2245707571055622E-2</v>
      </c>
      <c r="J193" s="49">
        <f>IF(curve_type="Simulada",_xlfn.XLOOKUP(tbl_Bonds[[#This Row],[Coupon]],Simulador!$B$5:$B$147,Simulador!$N$5:$N$147),0)</f>
        <v>0</v>
      </c>
      <c r="K193" s="5" cm="1">
        <f t="array" ref="K19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5.2245707571055622E-2</v>
      </c>
      <c r="L193" s="5" cm="1">
        <f t="array" ref="L193">Interpola_FF(tbl_Bonds[[#This Row],[DU]],dus_svensson,svensson_real_spot)</f>
        <v>6.3573730880697621E-2</v>
      </c>
      <c r="M193" s="49">
        <f>IF(curve_type="Simulada",_xlfn.XLOOKUP(tbl_Bonds[[#This Row],[Coupon]],Simulador!$B$5:$B$147,Simulador!$K$5:$K$147),0)</f>
        <v>0</v>
      </c>
      <c r="N193" s="5" cm="1">
        <f t="array" ref="N19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6.3573730880697621E-2</v>
      </c>
      <c r="O193" s="6">
        <f>IF(curve_type="Mercado",tbl_Bonds[[#This Row],[FC]]/(1+tbl_Bonds[[#This Row],[Real Mercado]])^(tbl_Bonds[[#This Row],[DU]]/252),tbl_Bonds[[#This Row],[FC]]/(1+tbl_Bonds[[#This Row],[Real Simulada]])^(tbl_Bonds[[#This Row],[DU]]/252))</f>
        <v>2.5515488243228496E-2</v>
      </c>
      <c r="P193" s="7">
        <f>tbl_Bonds[[#This Row],[Cotação]]*VNA</f>
        <v>100.92152036871961</v>
      </c>
      <c r="Q193" s="18">
        <f>tbl_Bonds[[#This Row],[Cotação]]%%*VNA</f>
        <v>1.0092152036871962E-2</v>
      </c>
      <c r="R19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-2.2667944088744268E-2</v>
      </c>
      <c r="S19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-2.1542528534510597E-2</v>
      </c>
      <c r="T19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2.2912040873576508E-2</v>
      </c>
      <c r="U193" s="18">
        <f>IF(curve_type="Mercado",tbl_Bonds[[#This Row],[VP Cupom]]*LN(1+tbl_Bonds[[#This Row],[Real Mercado]])/252,tbl_Bonds[[#This Row],[VP Cupom]]*LN(1+tbl_Bonds[[#This Row],[Real Simulada]])/252)</f>
        <v>2.4683594413289961E-2</v>
      </c>
      <c r="V193" s="18">
        <f>SUMIF(Dashboard!$B$28:$B$42,tbl_Bonds[[#This Row],[Bond]],Dashboard!$C$28:$C$42)</f>
        <v>12247</v>
      </c>
      <c r="W193" s="18">
        <f>tbl_Bonds[[#This Row],[Quantidade]]*tbl_Bonds[[#This Row],[𝛿P/𝛿VNA]]</f>
        <v>123.59858599557091</v>
      </c>
      <c r="X193" s="18">
        <f>+tbl_Bonds[[#This Row],[Quantidade]]*tbl_Bonds[[#This Row],[𝛿P/𝛿r_real]]</f>
        <v>-277.61431125485103</v>
      </c>
      <c r="Y193" s="18">
        <f>tbl_Bonds[[#This Row],[Quantidade]]*tbl_Bonds[[#This Row],[𝛿P/𝛿r_pre]]</f>
        <v>-263.83134696215126</v>
      </c>
      <c r="Z193" s="18">
        <f>tbl_Bonds[[#This Row],[Quantidade]]*tbl_Bonds[[#This Row],[𝛿P/𝛿r_implicita]]</f>
        <v>280.60376457869148</v>
      </c>
      <c r="AA193" s="18">
        <f>tbl_Bonds[[#This Row],[Quantidade]]*tbl_Bonds[[#This Row],[𝛿P/𝛿du]]</f>
        <v>302.29998077956213</v>
      </c>
    </row>
    <row r="194" spans="1:27">
      <c r="A194" s="2" t="s">
        <v>87</v>
      </c>
      <c r="B194" s="3">
        <v>55015</v>
      </c>
      <c r="C194" s="3">
        <v>45884</v>
      </c>
      <c r="D194" s="4">
        <f>NETWORKDAYS(Dashboard!$C$10,bonds!C194,feriados)-1</f>
        <v>725</v>
      </c>
      <c r="E194" s="2">
        <f>IF(tbl_Bonds[[#This Row],[Coupon]]&lt;tbl_Bonds[[#This Row],[Maturity]],SQRT(1.06)-1,SQRT(1.06))</f>
        <v>2.9563014098699991E-2</v>
      </c>
      <c r="F194" s="5" cm="1">
        <f t="array" ref="F194">Svensson(betas_pre,tbl_Bonds[[#This Row],[DU]])</f>
        <v>0.11741710508794967</v>
      </c>
      <c r="G194" s="49">
        <f>IF(curve_type="Simulada",_xlfn.XLOOKUP(tbl_Bonds[[#This Row],[Coupon]],Simulador!$B$5:$B$147,Simulador!$H$5:$H$147),0)</f>
        <v>0</v>
      </c>
      <c r="H194" s="5" cm="1">
        <f t="array" ref="H19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0.11741710508794967</v>
      </c>
      <c r="I194" s="5" cm="1">
        <f t="array" ref="I194">Interpola_FF(tbl_Bonds[[#This Row],[DU]],dus_svensson,svensson_implicita)</f>
        <v>5.3104968591759505E-2</v>
      </c>
      <c r="J194" s="49">
        <f>IF(curve_type="Simulada",_xlfn.XLOOKUP(tbl_Bonds[[#This Row],[Coupon]],Simulador!$B$5:$B$147,Simulador!$N$5:$N$147),0)</f>
        <v>0</v>
      </c>
      <c r="K194" s="5" cm="1">
        <f t="array" ref="K19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5.3104968591759505E-2</v>
      </c>
      <c r="L194" s="5" cm="1">
        <f t="array" ref="L194">Interpola_FF(tbl_Bonds[[#This Row],[DU]],dus_svensson,svensson_real_spot)</f>
        <v>6.1070807198248644E-2</v>
      </c>
      <c r="M194" s="49">
        <f>IF(curve_type="Simulada",_xlfn.XLOOKUP(tbl_Bonds[[#This Row],[Coupon]],Simulador!$B$5:$B$147,Simulador!$K$5:$K$147),0)</f>
        <v>0</v>
      </c>
      <c r="N194" s="5" cm="1">
        <f t="array" ref="N19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6.1070807198248644E-2</v>
      </c>
      <c r="O194" s="6">
        <f>IF(curve_type="Mercado",tbl_Bonds[[#This Row],[FC]]/(1+tbl_Bonds[[#This Row],[Real Mercado]])^(tbl_Bonds[[#This Row],[DU]]/252),tbl_Bonds[[#This Row],[FC]]/(1+tbl_Bonds[[#This Row],[Real Simulada]])^(tbl_Bonds[[#This Row],[DU]]/252))</f>
        <v>2.4927721145174282E-2</v>
      </c>
      <c r="P194" s="7">
        <f>tbl_Bonds[[#This Row],[Cotação]]*VNA</f>
        <v>98.596722638302523</v>
      </c>
      <c r="Q194" s="18">
        <f>tbl_Bonds[[#This Row],[Cotação]]%%*VNA</f>
        <v>9.8596722638302527E-3</v>
      </c>
      <c r="R19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-2.6733485086830221E-2</v>
      </c>
      <c r="S19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-2.5385556042411363E-2</v>
      </c>
      <c r="T19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2.6935828231720655E-2</v>
      </c>
      <c r="U194" s="18">
        <f>IF(curve_type="Mercado",tbl_Bonds[[#This Row],[VP Cupom]]*LN(1+tbl_Bonds[[#This Row],[Real Mercado]])/252,tbl_Bonds[[#This Row],[VP Cupom]]*LN(1+tbl_Bonds[[#This Row],[Real Simulada]])/252)</f>
        <v>2.3193155001732964E-2</v>
      </c>
      <c r="V194" s="18">
        <f>SUMIF(Dashboard!$B$28:$B$42,tbl_Bonds[[#This Row],[Bond]],Dashboard!$C$28:$C$42)</f>
        <v>12247</v>
      </c>
      <c r="W194" s="18">
        <f>tbl_Bonds[[#This Row],[Quantidade]]*tbl_Bonds[[#This Row],[𝛿P/𝛿VNA]]</f>
        <v>120.75140621512911</v>
      </c>
      <c r="X194" s="18">
        <f>+tbl_Bonds[[#This Row],[Quantidade]]*tbl_Bonds[[#This Row],[𝛿P/𝛿r_real]]</f>
        <v>-327.40499185840974</v>
      </c>
      <c r="Y194" s="18">
        <f>tbl_Bonds[[#This Row],[Quantidade]]*tbl_Bonds[[#This Row],[𝛿P/𝛿r_pre]]</f>
        <v>-310.89690485141193</v>
      </c>
      <c r="Z194" s="18">
        <f>tbl_Bonds[[#This Row],[Quantidade]]*tbl_Bonds[[#This Row],[𝛿P/𝛿r_implicita]]</f>
        <v>329.88308835388284</v>
      </c>
      <c r="AA194" s="18">
        <f>tbl_Bonds[[#This Row],[Quantidade]]*tbl_Bonds[[#This Row],[𝛿P/𝛿du]]</f>
        <v>284.0465693062236</v>
      </c>
    </row>
    <row r="195" spans="1:27">
      <c r="A195" s="2" t="s">
        <v>87</v>
      </c>
      <c r="B195" s="3">
        <v>55015</v>
      </c>
      <c r="C195" s="3">
        <v>46071</v>
      </c>
      <c r="D195" s="4">
        <f>NETWORKDAYS(Dashboard!$C$10,bonds!C195,feriados)-1</f>
        <v>854</v>
      </c>
      <c r="E195" s="2">
        <f>IF(tbl_Bonds[[#This Row],[Coupon]]&lt;tbl_Bonds[[#This Row],[Maturity]],SQRT(1.06)-1,SQRT(1.06))</f>
        <v>2.9563014098699991E-2</v>
      </c>
      <c r="F195" s="5" cm="1">
        <f t="array" ref="F195">Svensson(betas_pre,tbl_Bonds[[#This Row],[DU]])</f>
        <v>0.11659182503244317</v>
      </c>
      <c r="G195" s="49">
        <f>IF(curve_type="Simulada",_xlfn.XLOOKUP(tbl_Bonds[[#This Row],[Coupon]],Simulador!$B$5:$B$147,Simulador!$H$5:$H$147),0)</f>
        <v>0</v>
      </c>
      <c r="H195" s="5" cm="1">
        <f t="array" ref="H19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0.11659182503244317</v>
      </c>
      <c r="I195" s="5" cm="1">
        <f t="array" ref="I195">Interpola_FF(tbl_Bonds[[#This Row],[DU]],dus_svensson,svensson_implicita)</f>
        <v>5.4141996542348858E-2</v>
      </c>
      <c r="J195" s="49">
        <f>IF(curve_type="Simulada",_xlfn.XLOOKUP(tbl_Bonds[[#This Row],[Coupon]],Simulador!$B$5:$B$147,Simulador!$N$5:$N$147),0)</f>
        <v>0</v>
      </c>
      <c r="K195" s="5" cm="1">
        <f t="array" ref="K19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5.4141996542348858E-2</v>
      </c>
      <c r="L195" s="5" cm="1">
        <f t="array" ref="L195">Interpola_FF(tbl_Bonds[[#This Row],[DU]],dus_svensson,svensson_real_spot)</f>
        <v>5.927838770503624E-2</v>
      </c>
      <c r="M195" s="49">
        <f>IF(curve_type="Simulada",_xlfn.XLOOKUP(tbl_Bonds[[#This Row],[Coupon]],Simulador!$B$5:$B$147,Simulador!$K$5:$K$147),0)</f>
        <v>0</v>
      </c>
      <c r="N195" s="5" cm="1">
        <f t="array" ref="N19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5.927838770503624E-2</v>
      </c>
      <c r="O195" s="6">
        <f>IF(curve_type="Mercado",tbl_Bonds[[#This Row],[FC]]/(1+tbl_Bonds[[#This Row],[Real Mercado]])^(tbl_Bonds[[#This Row],[DU]]/252),tbl_Bonds[[#This Row],[FC]]/(1+tbl_Bonds[[#This Row],[Real Simulada]])^(tbl_Bonds[[#This Row],[DU]]/252))</f>
        <v>2.4321604466759829E-2</v>
      </c>
      <c r="P195" s="7">
        <f>tbl_Bonds[[#This Row],[Cotação]]*VNA</f>
        <v>96.199346733780743</v>
      </c>
      <c r="Q195" s="18">
        <f>tbl_Bonds[[#This Row],[Cotação]]%%*VNA</f>
        <v>9.6199346733780756E-3</v>
      </c>
      <c r="R19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-3.0776507955646001E-2</v>
      </c>
      <c r="S19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-2.9200151732275033E-2</v>
      </c>
      <c r="T19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3.0930036770103562E-2</v>
      </c>
      <c r="U195" s="18">
        <f>IF(curve_type="Mercado",tbl_Bonds[[#This Row],[VP Cupom]]*LN(1+tbl_Bonds[[#This Row],[Real Mercado]])/252,tbl_Bonds[[#This Row],[VP Cupom]]*LN(1+tbl_Bonds[[#This Row],[Real Simulada]])/252)</f>
        <v>2.1983806825281928E-2</v>
      </c>
      <c r="V195" s="18">
        <f>SUMIF(Dashboard!$B$28:$B$42,tbl_Bonds[[#This Row],[Bond]],Dashboard!$C$28:$C$42)</f>
        <v>12247</v>
      </c>
      <c r="W195" s="18">
        <f>tbl_Bonds[[#This Row],[Quantidade]]*tbl_Bonds[[#This Row],[𝛿P/𝛿VNA]]</f>
        <v>117.81533994486129</v>
      </c>
      <c r="X195" s="18">
        <f>+tbl_Bonds[[#This Row],[Quantidade]]*tbl_Bonds[[#This Row],[𝛿P/𝛿r_real]]</f>
        <v>-376.91989293279659</v>
      </c>
      <c r="Y195" s="18">
        <f>tbl_Bonds[[#This Row],[Quantidade]]*tbl_Bonds[[#This Row],[𝛿P/𝛿r_pre]]</f>
        <v>-357.61425826517234</v>
      </c>
      <c r="Z195" s="18">
        <f>tbl_Bonds[[#This Row],[Quantidade]]*tbl_Bonds[[#This Row],[𝛿P/𝛿r_implicita]]</f>
        <v>378.80016032345833</v>
      </c>
      <c r="AA195" s="18">
        <f>tbl_Bonds[[#This Row],[Quantidade]]*tbl_Bonds[[#This Row],[𝛿P/𝛿du]]</f>
        <v>269.23568218922776</v>
      </c>
    </row>
    <row r="196" spans="1:27">
      <c r="A196" s="2" t="s">
        <v>87</v>
      </c>
      <c r="B196" s="3">
        <v>55015</v>
      </c>
      <c r="C196" s="3">
        <v>46251</v>
      </c>
      <c r="D196" s="4">
        <f>NETWORKDAYS(Dashboard!$C$10,bonds!C196,feriados)-1</f>
        <v>978</v>
      </c>
      <c r="E196" s="2">
        <f>IF(tbl_Bonds[[#This Row],[Coupon]]&lt;tbl_Bonds[[#This Row],[Maturity]],SQRT(1.06)-1,SQRT(1.06))</f>
        <v>2.9563014098699991E-2</v>
      </c>
      <c r="F196" s="5" cm="1">
        <f t="array" ref="F196">Svensson(betas_pre,tbl_Bonds[[#This Row],[DU]])</f>
        <v>0.11637191467183143</v>
      </c>
      <c r="G196" s="49">
        <f>IF(curve_type="Simulada",_xlfn.XLOOKUP(tbl_Bonds[[#This Row],[Coupon]],Simulador!$B$5:$B$147,Simulador!$H$5:$H$147),0)</f>
        <v>0</v>
      </c>
      <c r="H196" s="5" cm="1">
        <f t="array" ref="H19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0.11637191467183143</v>
      </c>
      <c r="I196" s="5" cm="1">
        <f t="array" ref="I196">Interpola_FF(tbl_Bonds[[#This Row],[DU]],dus_svensson,svensson_implicita)</f>
        <v>5.5066564562549658E-2</v>
      </c>
      <c r="J196" s="49">
        <f>IF(curve_type="Simulada",_xlfn.XLOOKUP(tbl_Bonds[[#This Row],[Coupon]],Simulador!$B$5:$B$147,Simulador!$N$5:$N$147),0)</f>
        <v>0</v>
      </c>
      <c r="K196" s="5" cm="1">
        <f t="array" ref="K19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5.5066564562549658E-2</v>
      </c>
      <c r="L196" s="5" cm="1">
        <f t="array" ref="L196">Interpola_FF(tbl_Bonds[[#This Row],[DU]],dus_svensson,svensson_real_spot)</f>
        <v>5.8133069907817969E-2</v>
      </c>
      <c r="M196" s="49">
        <f>IF(curve_type="Simulada",_xlfn.XLOOKUP(tbl_Bonds[[#This Row],[Coupon]],Simulador!$B$5:$B$147,Simulador!$K$5:$K$147),0)</f>
        <v>0</v>
      </c>
      <c r="N196" s="5" cm="1">
        <f t="array" ref="N19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5.8133069907817969E-2</v>
      </c>
      <c r="O196" s="6">
        <f>IF(curve_type="Mercado",tbl_Bonds[[#This Row],[FC]]/(1+tbl_Bonds[[#This Row],[Real Mercado]])^(tbl_Bonds[[#This Row],[DU]]/252),tbl_Bonds[[#This Row],[FC]]/(1+tbl_Bonds[[#This Row],[Real Simulada]])^(tbl_Bonds[[#This Row],[DU]]/252))</f>
        <v>2.3741547469357031E-2</v>
      </c>
      <c r="P196" s="7">
        <f>tbl_Bonds[[#This Row],[Cotação]]*VNA</f>
        <v>93.90504479762474</v>
      </c>
      <c r="Q196" s="18">
        <f>tbl_Bonds[[#This Row],[Cotação]]%%*VNA</f>
        <v>9.3905044797624737E-3</v>
      </c>
      <c r="R19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-3.4441888034227201E-2</v>
      </c>
      <c r="S19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-3.2648405861038642E-2</v>
      </c>
      <c r="T19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3.4545463372903575E-2</v>
      </c>
      <c r="U196" s="18">
        <f>IF(curve_type="Mercado",tbl_Bonds[[#This Row],[VP Cupom]]*LN(1+tbl_Bonds[[#This Row],[Real Mercado]])/252,tbl_Bonds[[#This Row],[VP Cupom]]*LN(1+tbl_Bonds[[#This Row],[Real Simulada]])/252)</f>
        <v>2.1056380546002E-2</v>
      </c>
      <c r="V196" s="18">
        <f>SUMIF(Dashboard!$B$28:$B$42,tbl_Bonds[[#This Row],[Bond]],Dashboard!$C$28:$C$42)</f>
        <v>12247</v>
      </c>
      <c r="W196" s="18">
        <f>tbl_Bonds[[#This Row],[Quantidade]]*tbl_Bonds[[#This Row],[𝛿P/𝛿VNA]]</f>
        <v>115.00550836365102</v>
      </c>
      <c r="X196" s="18">
        <f>+tbl_Bonds[[#This Row],[Quantidade]]*tbl_Bonds[[#This Row],[𝛿P/𝛿r_real]]</f>
        <v>-421.80980275518056</v>
      </c>
      <c r="Y196" s="18">
        <f>tbl_Bonds[[#This Row],[Quantidade]]*tbl_Bonds[[#This Row],[𝛿P/𝛿r_pre]]</f>
        <v>-399.84502658014026</v>
      </c>
      <c r="Z196" s="18">
        <f>tbl_Bonds[[#This Row],[Quantidade]]*tbl_Bonds[[#This Row],[𝛿P/𝛿r_implicita]]</f>
        <v>423.0782899279501</v>
      </c>
      <c r="AA196" s="18">
        <f>tbl_Bonds[[#This Row],[Quantidade]]*tbl_Bonds[[#This Row],[𝛿P/𝛿du]]</f>
        <v>257.87749254688651</v>
      </c>
    </row>
    <row r="197" spans="1:27">
      <c r="A197" s="2" t="s">
        <v>87</v>
      </c>
      <c r="B197" s="3">
        <v>55015</v>
      </c>
      <c r="C197" s="3">
        <v>46433</v>
      </c>
      <c r="D197" s="4">
        <f>NETWORKDAYS(Dashboard!$C$10,bonds!C197,feriados)-1</f>
        <v>1101</v>
      </c>
      <c r="E197" s="2">
        <f>IF(tbl_Bonds[[#This Row],[Coupon]]&lt;tbl_Bonds[[#This Row],[Maturity]],SQRT(1.06)-1,SQRT(1.06))</f>
        <v>2.9563014098699991E-2</v>
      </c>
      <c r="F197" s="5" cm="1">
        <f t="array" ref="F197">Svensson(betas_pre,tbl_Bonds[[#This Row],[DU]])</f>
        <v>0.11646160743294708</v>
      </c>
      <c r="G197" s="49">
        <f>IF(curve_type="Simulada",_xlfn.XLOOKUP(tbl_Bonds[[#This Row],[Coupon]],Simulador!$B$5:$B$147,Simulador!$H$5:$H$147),0)</f>
        <v>0</v>
      </c>
      <c r="H197" s="5" cm="1">
        <f t="array" ref="H19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0.11646160743294708</v>
      </c>
      <c r="I197" s="5" cm="1">
        <f t="array" ref="I197">Interpola_FF(tbl_Bonds[[#This Row],[DU]],dus_svensson,svensson_implicita)</f>
        <v>5.5866933897950277E-2</v>
      </c>
      <c r="J197" s="49">
        <f>IF(curve_type="Simulada",_xlfn.XLOOKUP(tbl_Bonds[[#This Row],[Coupon]],Simulador!$B$5:$B$147,Simulador!$N$5:$N$147),0)</f>
        <v>0</v>
      </c>
      <c r="K197" s="5" cm="1">
        <f t="array" ref="K19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5.5866933897950277E-2</v>
      </c>
      <c r="L197" s="5" cm="1">
        <f t="array" ref="L197">Interpola_FF(tbl_Bonds[[#This Row],[DU]],dus_svensson,svensson_real_spot)</f>
        <v>5.7407981869316727E-2</v>
      </c>
      <c r="M197" s="49">
        <f>IF(curve_type="Simulada",_xlfn.XLOOKUP(tbl_Bonds[[#This Row],[Coupon]],Simulador!$B$5:$B$147,Simulador!$K$5:$K$147),0)</f>
        <v>0</v>
      </c>
      <c r="N197" s="5" cm="1">
        <f t="array" ref="N19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5.7407981869316727E-2</v>
      </c>
      <c r="O197" s="6">
        <f>IF(curve_type="Mercado",tbl_Bonds[[#This Row],[FC]]/(1+tbl_Bonds[[#This Row],[Real Mercado]])^(tbl_Bonds[[#This Row],[DU]]/252),tbl_Bonds[[#This Row],[FC]]/(1+tbl_Bonds[[#This Row],[Real Simulada]])^(tbl_Bonds[[#This Row],[DU]]/252))</f>
        <v>2.3164968021171791E-2</v>
      </c>
      <c r="P197" s="7">
        <f>tbl_Bonds[[#This Row],[Cotação]]*VNA</f>
        <v>91.62449762684291</v>
      </c>
      <c r="Q197" s="18">
        <f>tbl_Bonds[[#This Row],[Cotação]]%%*VNA</f>
        <v>9.1624497626842921E-3</v>
      </c>
      <c r="R19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-3.7857837283893893E-2</v>
      </c>
      <c r="S19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-3.5858280398520265E-2</v>
      </c>
      <c r="T19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3.7916135157029754E-2</v>
      </c>
      <c r="U197" s="18">
        <f>IF(curve_type="Mercado",tbl_Bonds[[#This Row],[VP Cupom]]*LN(1+tbl_Bonds[[#This Row],[Real Mercado]])/252,tbl_Bonds[[#This Row],[VP Cupom]]*LN(1+tbl_Bonds[[#This Row],[Real Simulada]])/252)</f>
        <v>2.0295776418198942E-2</v>
      </c>
      <c r="V197" s="18">
        <f>SUMIF(Dashboard!$B$28:$B$42,tbl_Bonds[[#This Row],[Bond]],Dashboard!$C$28:$C$42)</f>
        <v>12247</v>
      </c>
      <c r="W197" s="18">
        <f>tbl_Bonds[[#This Row],[Quantidade]]*tbl_Bonds[[#This Row],[𝛿P/𝛿VNA]]</f>
        <v>112.21252224359452</v>
      </c>
      <c r="X197" s="18">
        <f>+tbl_Bonds[[#This Row],[Quantidade]]*tbl_Bonds[[#This Row],[𝛿P/𝛿r_real]]</f>
        <v>-463.64493321584848</v>
      </c>
      <c r="Y197" s="18">
        <f>tbl_Bonds[[#This Row],[Quantidade]]*tbl_Bonds[[#This Row],[𝛿P/𝛿r_pre]]</f>
        <v>-439.15636004067767</v>
      </c>
      <c r="Z197" s="18">
        <f>tbl_Bonds[[#This Row],[Quantidade]]*tbl_Bonds[[#This Row],[𝛿P/𝛿r_implicita]]</f>
        <v>464.35890726814341</v>
      </c>
      <c r="AA197" s="18">
        <f>tbl_Bonds[[#This Row],[Quantidade]]*tbl_Bonds[[#This Row],[𝛿P/𝛿du]]</f>
        <v>248.56237379368244</v>
      </c>
    </row>
    <row r="198" spans="1:27">
      <c r="A198" s="2" t="s">
        <v>87</v>
      </c>
      <c r="B198" s="3">
        <v>55015</v>
      </c>
      <c r="C198" s="3">
        <v>46615</v>
      </c>
      <c r="D198" s="4">
        <f>NETWORKDAYS(Dashboard!$C$10,bonds!C198,feriados)-1</f>
        <v>1228</v>
      </c>
      <c r="E198" s="2">
        <f>IF(tbl_Bonds[[#This Row],[Coupon]]&lt;tbl_Bonds[[#This Row],[Maturity]],SQRT(1.06)-1,SQRT(1.06))</f>
        <v>2.9563014098699991E-2</v>
      </c>
      <c r="F198" s="5" cm="1">
        <f t="array" ref="F198">Svensson(betas_pre,tbl_Bonds[[#This Row],[DU]])</f>
        <v>0.11671586421546679</v>
      </c>
      <c r="G198" s="49">
        <f>IF(curve_type="Simulada",_xlfn.XLOOKUP(tbl_Bonds[[#This Row],[Coupon]],Simulador!$B$5:$B$147,Simulador!$H$5:$H$147),0)</f>
        <v>0</v>
      </c>
      <c r="H198" s="5" cm="1">
        <f t="array" ref="H19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0.11671586421546679</v>
      </c>
      <c r="I198" s="5" cm="1">
        <f t="array" ref="I198">Interpola_FF(tbl_Bonds[[#This Row],[DU]],dus_svensson,svensson_implicita)</f>
        <v>5.6538828426135002E-2</v>
      </c>
      <c r="J198" s="49">
        <f>IF(curve_type="Simulada",_xlfn.XLOOKUP(tbl_Bonds[[#This Row],[Coupon]],Simulador!$B$5:$B$147,Simulador!$N$5:$N$147),0)</f>
        <v>0</v>
      </c>
      <c r="K198" s="5" cm="1">
        <f t="array" ref="K19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5.6538828426135002E-2</v>
      </c>
      <c r="L198" s="5" cm="1">
        <f t="array" ref="L198">Interpola_FF(tbl_Bonds[[#This Row],[DU]],dus_svensson,svensson_real_spot)</f>
        <v>5.6968724466762044E-2</v>
      </c>
      <c r="M198" s="49">
        <f>IF(curve_type="Simulada",_xlfn.XLOOKUP(tbl_Bonds[[#This Row],[Coupon]],Simulador!$B$5:$B$147,Simulador!$K$5:$K$147),0)</f>
        <v>0</v>
      </c>
      <c r="N198" s="5" cm="1">
        <f t="array" ref="N19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5.6968724466762044E-2</v>
      </c>
      <c r="O198" s="6">
        <f>IF(curve_type="Mercado",tbl_Bonds[[#This Row],[FC]]/(1+tbl_Bonds[[#This Row],[Real Mercado]])^(tbl_Bonds[[#This Row],[DU]]/252),tbl_Bonds[[#This Row],[FC]]/(1+tbl_Bonds[[#This Row],[Real Simulada]])^(tbl_Bonds[[#This Row],[DU]]/252))</f>
        <v>2.2568024049985532E-2</v>
      </c>
      <c r="P198" s="7">
        <f>tbl_Bonds[[#This Row],[Cotação]]*VNA</f>
        <v>89.263402570664766</v>
      </c>
      <c r="Q198" s="18">
        <f>tbl_Bonds[[#This Row],[Cotação]]%%*VNA</f>
        <v>8.9263402570664754E-3</v>
      </c>
      <c r="R19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-4.1153722672892003E-2</v>
      </c>
      <c r="S19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-3.8954041250868057E-2</v>
      </c>
      <c r="T19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4.1172737498865408E-2</v>
      </c>
      <c r="U198" s="18">
        <f>IF(curve_type="Mercado",tbl_Bonds[[#This Row],[VP Cupom]]*LN(1+tbl_Bonds[[#This Row],[Real Mercado]])/252,tbl_Bonds[[#This Row],[VP Cupom]]*LN(1+tbl_Bonds[[#This Row],[Real Simulada]])/252)</f>
        <v>1.9625592487311244E-2</v>
      </c>
      <c r="V198" s="18">
        <f>SUMIF(Dashboard!$B$28:$B$42,tbl_Bonds[[#This Row],[Bond]],Dashboard!$C$28:$C$42)</f>
        <v>12247</v>
      </c>
      <c r="W198" s="18">
        <f>tbl_Bonds[[#This Row],[Quantidade]]*tbl_Bonds[[#This Row],[𝛿P/𝛿VNA]]</f>
        <v>109.32088912829312</v>
      </c>
      <c r="X198" s="18">
        <f>+tbl_Bonds[[#This Row],[Quantidade]]*tbl_Bonds[[#This Row],[𝛿P/𝛿r_real]]</f>
        <v>-504.00964157490836</v>
      </c>
      <c r="Y198" s="18">
        <f>tbl_Bonds[[#This Row],[Quantidade]]*tbl_Bonds[[#This Row],[𝛿P/𝛿r_pre]]</f>
        <v>-477.07014319938111</v>
      </c>
      <c r="Z198" s="18">
        <f>tbl_Bonds[[#This Row],[Quantidade]]*tbl_Bonds[[#This Row],[𝛿P/𝛿r_implicita]]</f>
        <v>504.24251614860464</v>
      </c>
      <c r="AA198" s="18">
        <f>tbl_Bonds[[#This Row],[Quantidade]]*tbl_Bonds[[#This Row],[𝛿P/𝛿du]]</f>
        <v>240.35463119210081</v>
      </c>
    </row>
    <row r="199" spans="1:27">
      <c r="A199" s="2" t="s">
        <v>87</v>
      </c>
      <c r="B199" s="3">
        <v>55015</v>
      </c>
      <c r="C199" s="3">
        <v>46798</v>
      </c>
      <c r="D199" s="4">
        <f>NETWORKDAYS(Dashboard!$C$10,bonds!C199,feriados)-1</f>
        <v>1355</v>
      </c>
      <c r="E199" s="2">
        <f>IF(tbl_Bonds[[#This Row],[Coupon]]&lt;tbl_Bonds[[#This Row],[Maturity]],SQRT(1.06)-1,SQRT(1.06))</f>
        <v>2.9563014098699991E-2</v>
      </c>
      <c r="F199" s="5" cm="1">
        <f t="array" ref="F199">Svensson(betas_pre,tbl_Bonds[[#This Row],[DU]])</f>
        <v>0.11703860353993888</v>
      </c>
      <c r="G199" s="49">
        <f>IF(curve_type="Simulada",_xlfn.XLOOKUP(tbl_Bonds[[#This Row],[Coupon]],Simulador!$B$5:$B$147,Simulador!$H$5:$H$147),0)</f>
        <v>0</v>
      </c>
      <c r="H199" s="5" cm="1">
        <f t="array" ref="H19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0.11703860353993888</v>
      </c>
      <c r="I199" s="5" cm="1">
        <f t="array" ref="I199">Interpola_FF(tbl_Bonds[[#This Row],[DU]],dus_svensson,svensson_implicita)</f>
        <v>5.7054164176732813E-2</v>
      </c>
      <c r="J199" s="49">
        <f>IF(curve_type="Simulada",_xlfn.XLOOKUP(tbl_Bonds[[#This Row],[Coupon]],Simulador!$B$5:$B$147,Simulador!$N$5:$N$147),0)</f>
        <v>0</v>
      </c>
      <c r="K199" s="5" cm="1">
        <f t="array" ref="K19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5.7054164176732813E-2</v>
      </c>
      <c r="L199" s="5" cm="1">
        <f t="array" ref="L199">Interpola_FF(tbl_Bonds[[#This Row],[DU]],dus_svensson,svensson_real_spot)</f>
        <v>5.675390529669766E-2</v>
      </c>
      <c r="M199" s="49">
        <f>IF(curve_type="Simulada",_xlfn.XLOOKUP(tbl_Bonds[[#This Row],[Coupon]],Simulador!$B$5:$B$147,Simulador!$K$5:$K$147),0)</f>
        <v>0</v>
      </c>
      <c r="N199" s="5" cm="1">
        <f t="array" ref="N19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5.675390529669766E-2</v>
      </c>
      <c r="O199" s="6">
        <f>IF(curve_type="Mercado",tbl_Bonds[[#This Row],[FC]]/(1+tbl_Bonds[[#This Row],[Real Mercado]])^(tbl_Bonds[[#This Row],[DU]]/252),tbl_Bonds[[#This Row],[FC]]/(1+tbl_Bonds[[#This Row],[Real Simulada]])^(tbl_Bonds[[#This Row],[DU]]/252))</f>
        <v>2.1970585865922678E-2</v>
      </c>
      <c r="P199" s="7">
        <f>tbl_Bonds[[#This Row],[Cotação]]*VNA</f>
        <v>86.900352752170633</v>
      </c>
      <c r="Q199" s="18">
        <f>tbl_Bonds[[#This Row],[Cotação]]%%*VNA</f>
        <v>8.6900352752170631E-3</v>
      </c>
      <c r="R19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-4.4216710724769265E-2</v>
      </c>
      <c r="S19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-4.1831921789729297E-2</v>
      </c>
      <c r="T19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4.4205749414727782E-2</v>
      </c>
      <c r="U199" s="18">
        <f>IF(curve_type="Mercado",tbl_Bonds[[#This Row],[VP Cupom]]*LN(1+tbl_Bonds[[#This Row],[Real Mercado]])/252,tbl_Bonds[[#This Row],[VP Cupom]]*LN(1+tbl_Bonds[[#This Row],[Real Simulada]])/252)</f>
        <v>1.9035955403400421E-2</v>
      </c>
      <c r="V199" s="18">
        <f>SUMIF(Dashboard!$B$28:$B$42,tbl_Bonds[[#This Row],[Bond]],Dashboard!$C$28:$C$42)</f>
        <v>12247</v>
      </c>
      <c r="W199" s="18">
        <f>tbl_Bonds[[#This Row],[Quantidade]]*tbl_Bonds[[#This Row],[𝛿P/𝛿VNA]]</f>
        <v>106.42686201558337</v>
      </c>
      <c r="X199" s="18">
        <f>+tbl_Bonds[[#This Row],[Quantidade]]*tbl_Bonds[[#This Row],[𝛿P/𝛿r_real]]</f>
        <v>-541.52205624624924</v>
      </c>
      <c r="Y199" s="18">
        <f>tbl_Bonds[[#This Row],[Quantidade]]*tbl_Bonds[[#This Row],[𝛿P/𝛿r_pre]]</f>
        <v>-512.31554615881475</v>
      </c>
      <c r="Z199" s="18">
        <f>tbl_Bonds[[#This Row],[Quantidade]]*tbl_Bonds[[#This Row],[𝛿P/𝛿r_implicita]]</f>
        <v>541.38781308217119</v>
      </c>
      <c r="AA199" s="18">
        <f>tbl_Bonds[[#This Row],[Quantidade]]*tbl_Bonds[[#This Row],[𝛿P/𝛿du]]</f>
        <v>233.13334582544496</v>
      </c>
    </row>
    <row r="200" spans="1:27">
      <c r="A200" s="2" t="s">
        <v>87</v>
      </c>
      <c r="B200" s="3">
        <v>55015</v>
      </c>
      <c r="C200" s="3">
        <v>46980</v>
      </c>
      <c r="D200" s="4">
        <f>NETWORKDAYS(Dashboard!$C$10,bonds!C200,feriados)-1</f>
        <v>1479</v>
      </c>
      <c r="E200" s="2">
        <f>IF(tbl_Bonds[[#This Row],[Coupon]]&lt;tbl_Bonds[[#This Row],[Maturity]],SQRT(1.06)-1,SQRT(1.06))</f>
        <v>2.9563014098699991E-2</v>
      </c>
      <c r="F200" s="5" cm="1">
        <f t="array" ref="F200">Svensson(betas_pre,tbl_Bonds[[#This Row],[DU]])</f>
        <v>0.11736890213289761</v>
      </c>
      <c r="G200" s="49">
        <f>IF(curve_type="Simulada",_xlfn.XLOOKUP(tbl_Bonds[[#This Row],[Coupon]],Simulador!$B$5:$B$147,Simulador!$H$5:$H$147),0)</f>
        <v>0</v>
      </c>
      <c r="H200" s="5" cm="1">
        <f t="array" ref="H20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0.11736890213289761</v>
      </c>
      <c r="I200" s="5" cm="1">
        <f t="array" ref="I200">Interpola_FF(tbl_Bonds[[#This Row],[DU]],dus_svensson,svensson_implicita)</f>
        <v>5.742304317837621E-2</v>
      </c>
      <c r="J200" s="49">
        <f>IF(curve_type="Simulada",_xlfn.XLOOKUP(tbl_Bonds[[#This Row],[Coupon]],Simulador!$B$5:$B$147,Simulador!$N$5:$N$147),0)</f>
        <v>0</v>
      </c>
      <c r="K200" s="5" cm="1">
        <f t="array" ref="K20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5.742304317837621E-2</v>
      </c>
      <c r="L200" s="5" cm="1">
        <f t="array" ref="L200">Interpola_FF(tbl_Bonds[[#This Row],[DU]],dus_svensson,svensson_real_spot)</f>
        <v>5.6694932019935917E-2</v>
      </c>
      <c r="M200" s="49">
        <f>IF(curve_type="Simulada",_xlfn.XLOOKUP(tbl_Bonds[[#This Row],[Coupon]],Simulador!$B$5:$B$147,Simulador!$K$5:$K$147),0)</f>
        <v>0</v>
      </c>
      <c r="N200" s="5" cm="1">
        <f t="array" ref="N20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5.6694932019935917E-2</v>
      </c>
      <c r="O200" s="6">
        <f>IF(curve_type="Mercado",tbl_Bonds[[#This Row],[FC]]/(1+tbl_Bonds[[#This Row],[Real Mercado]])^(tbl_Bonds[[#This Row],[DU]]/252),tbl_Bonds[[#This Row],[FC]]/(1+tbl_Bonds[[#This Row],[Real Simulada]])^(tbl_Bonds[[#This Row],[DU]]/252))</f>
        <v>2.1388839605212852E-2</v>
      </c>
      <c r="P200" s="7">
        <f>tbl_Bonds[[#This Row],[Cotação]]*VNA</f>
        <v>84.599369265592273</v>
      </c>
      <c r="Q200" s="18">
        <f>tbl_Bonds[[#This Row],[Cotação]]%%*VNA</f>
        <v>8.4599369265592264E-3</v>
      </c>
      <c r="R20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-4.6987802412568697E-2</v>
      </c>
      <c r="S20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-4.4437419153390778E-2</v>
      </c>
      <c r="T20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4.6956599417200047E-2</v>
      </c>
      <c r="U200" s="18">
        <f>IF(curve_type="Mercado",tbl_Bonds[[#This Row],[VP Cupom]]*LN(1+tbl_Bonds[[#This Row],[Real Mercado]])/252,tbl_Bonds[[#This Row],[VP Cupom]]*LN(1+tbl_Bonds[[#This Row],[Real Simulada]])/252)</f>
        <v>1.851317822575797E-2</v>
      </c>
      <c r="V200" s="18">
        <f>SUMIF(Dashboard!$B$28:$B$42,tbl_Bonds[[#This Row],[Bond]],Dashboard!$C$28:$C$42)</f>
        <v>12247</v>
      </c>
      <c r="W200" s="18">
        <f>tbl_Bonds[[#This Row],[Quantidade]]*tbl_Bonds[[#This Row],[𝛿P/𝛿VNA]]</f>
        <v>103.60884753957085</v>
      </c>
      <c r="X200" s="18">
        <f>+tbl_Bonds[[#This Row],[Quantidade]]*tbl_Bonds[[#This Row],[𝛿P/𝛿r_real]]</f>
        <v>-575.45961614672888</v>
      </c>
      <c r="Y200" s="18">
        <f>tbl_Bonds[[#This Row],[Quantidade]]*tbl_Bonds[[#This Row],[𝛿P/𝛿r_pre]]</f>
        <v>-544.22507237157686</v>
      </c>
      <c r="Z200" s="18">
        <f>tbl_Bonds[[#This Row],[Quantidade]]*tbl_Bonds[[#This Row],[𝛿P/𝛿r_implicita]]</f>
        <v>575.07747306244903</v>
      </c>
      <c r="AA200" s="18">
        <f>tbl_Bonds[[#This Row],[Quantidade]]*tbl_Bonds[[#This Row],[𝛿P/𝛿du]]</f>
        <v>226.73089373085784</v>
      </c>
    </row>
    <row r="201" spans="1:27">
      <c r="A201" s="2" t="s">
        <v>87</v>
      </c>
      <c r="B201" s="3">
        <v>55015</v>
      </c>
      <c r="C201" s="3">
        <v>47164</v>
      </c>
      <c r="D201" s="4">
        <f>NETWORKDAYS(Dashboard!$C$10,bonds!C201,feriados)-1</f>
        <v>1603</v>
      </c>
      <c r="E201" s="2">
        <f>IF(tbl_Bonds[[#This Row],[Coupon]]&lt;tbl_Bonds[[#This Row],[Maturity]],SQRT(1.06)-1,SQRT(1.06))</f>
        <v>2.9563014098699991E-2</v>
      </c>
      <c r="F201" s="5" cm="1">
        <f t="array" ref="F201">Svensson(betas_pre,tbl_Bonds[[#This Row],[DU]])</f>
        <v>0.11768880617970637</v>
      </c>
      <c r="G201" s="49">
        <f>IF(curve_type="Simulada",_xlfn.XLOOKUP(tbl_Bonds[[#This Row],[Coupon]],Simulador!$B$5:$B$147,Simulador!$H$5:$H$147),0)</f>
        <v>0</v>
      </c>
      <c r="H201" s="5" cm="1">
        <f t="array" ref="H20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0.11768880617970637</v>
      </c>
      <c r="I201" s="5" cm="1">
        <f t="array" ref="I201">Interpola_FF(tbl_Bonds[[#This Row],[DU]],dus_svensson,svensson_implicita)</f>
        <v>5.7683163424037343E-2</v>
      </c>
      <c r="J201" s="49">
        <f>IF(curve_type="Simulada",_xlfn.XLOOKUP(tbl_Bonds[[#This Row],[Coupon]],Simulador!$B$5:$B$147,Simulador!$N$5:$N$147),0)</f>
        <v>0</v>
      </c>
      <c r="K201" s="5" cm="1">
        <f t="array" ref="K20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5.7683163424037343E-2</v>
      </c>
      <c r="L201" s="5" cm="1">
        <f t="array" ref="L201">Interpola_FF(tbl_Bonds[[#This Row],[DU]],dus_svensson,svensson_real_spot)</f>
        <v>5.6735781893983983E-2</v>
      </c>
      <c r="M201" s="49">
        <f>IF(curve_type="Simulada",_xlfn.XLOOKUP(tbl_Bonds[[#This Row],[Coupon]],Simulador!$B$5:$B$147,Simulador!$K$5:$K$147),0)</f>
        <v>0</v>
      </c>
      <c r="N201" s="5" cm="1">
        <f t="array" ref="N20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5.6735781893983983E-2</v>
      </c>
      <c r="O201" s="6">
        <f>IF(curve_type="Mercado",tbl_Bonds[[#This Row],[FC]]/(1+tbl_Bonds[[#This Row],[Real Mercado]])^(tbl_Bonds[[#This Row],[DU]]/252),tbl_Bonds[[#This Row],[FC]]/(1+tbl_Bonds[[#This Row],[Real Simulada]])^(tbl_Bonds[[#This Row],[DU]]/252))</f>
        <v>2.0811131483075736E-2</v>
      </c>
      <c r="P201" s="7">
        <f>tbl_Bonds[[#This Row],[Cotação]]*VNA</f>
        <v>82.314357845875122</v>
      </c>
      <c r="Q201" s="18">
        <f>tbl_Bonds[[#This Row],[Cotação]]%%*VNA</f>
        <v>8.2314357845875118E-3</v>
      </c>
      <c r="R20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-4.9549829320523861E-2</v>
      </c>
      <c r="S20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-4.6848392175617516E-2</v>
      </c>
      <c r="T20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4.9506246608571704E-2</v>
      </c>
      <c r="U201" s="18">
        <f>IF(curve_type="Mercado",tbl_Bonds[[#This Row],[VP Cupom]]*LN(1+tbl_Bonds[[#This Row],[Real Mercado]])/252,tbl_Bonds[[#This Row],[VP Cupom]]*LN(1+tbl_Bonds[[#This Row],[Real Simulada]])/252)</f>
        <v>1.8025768341404708E-2</v>
      </c>
      <c r="V201" s="18">
        <f>SUMIF(Dashboard!$B$28:$B$42,tbl_Bonds[[#This Row],[Bond]],Dashboard!$C$28:$C$42)</f>
        <v>12247</v>
      </c>
      <c r="W201" s="18">
        <f>tbl_Bonds[[#This Row],[Quantidade]]*tbl_Bonds[[#This Row],[𝛿P/𝛿VNA]]</f>
        <v>100.81039405384325</v>
      </c>
      <c r="X201" s="18">
        <f>+tbl_Bonds[[#This Row],[Quantidade]]*tbl_Bonds[[#This Row],[𝛿P/𝛿r_real]]</f>
        <v>-606.83675968845569</v>
      </c>
      <c r="Y201" s="18">
        <f>tbl_Bonds[[#This Row],[Quantidade]]*tbl_Bonds[[#This Row],[𝛿P/𝛿r_pre]]</f>
        <v>-573.75225897478776</v>
      </c>
      <c r="Z201" s="18">
        <f>tbl_Bonds[[#This Row],[Quantidade]]*tbl_Bonds[[#This Row],[𝛿P/𝛿r_implicita]]</f>
        <v>606.30300221517768</v>
      </c>
      <c r="AA201" s="18">
        <f>tbl_Bonds[[#This Row],[Quantidade]]*tbl_Bonds[[#This Row],[𝛿P/𝛿du]]</f>
        <v>220.76158487718345</v>
      </c>
    </row>
    <row r="202" spans="1:27">
      <c r="A202" s="2" t="s">
        <v>87</v>
      </c>
      <c r="B202" s="3">
        <v>55015</v>
      </c>
      <c r="C202" s="3">
        <v>47345</v>
      </c>
      <c r="D202" s="4">
        <f>NETWORKDAYS(Dashboard!$C$10,bonds!C202,feriados)-1</f>
        <v>1729</v>
      </c>
      <c r="E202" s="2">
        <f>IF(tbl_Bonds[[#This Row],[Coupon]]&lt;tbl_Bonds[[#This Row],[Maturity]],SQRT(1.06)-1,SQRT(1.06))</f>
        <v>2.9563014098699991E-2</v>
      </c>
      <c r="F202" s="5" cm="1">
        <f t="array" ref="F202">Svensson(betas_pre,tbl_Bonds[[#This Row],[DU]])</f>
        <v>0.11799146123194351</v>
      </c>
      <c r="G202" s="49">
        <f>IF(curve_type="Simulada",_xlfn.XLOOKUP(tbl_Bonds[[#This Row],[Coupon]],Simulador!$B$5:$B$147,Simulador!$H$5:$H$147),0)</f>
        <v>0</v>
      </c>
      <c r="H202" s="5" cm="1">
        <f t="array" ref="H20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0.11799146123194351</v>
      </c>
      <c r="I202" s="5" cm="1">
        <f t="array" ref="I202">Interpola_FF(tbl_Bonds[[#This Row],[DU]],dus_svensson,svensson_implicita)</f>
        <v>5.7860887908244507E-2</v>
      </c>
      <c r="J202" s="49">
        <f>IF(curve_type="Simulada",_xlfn.XLOOKUP(tbl_Bonds[[#This Row],[Coupon]],Simulador!$B$5:$B$147,Simulador!$N$5:$N$147),0)</f>
        <v>0</v>
      </c>
      <c r="K202" s="5" cm="1">
        <f t="array" ref="K20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5.7860887908244507E-2</v>
      </c>
      <c r="L202" s="5" cm="1">
        <f t="array" ref="L202">Interpola_FF(tbl_Bonds[[#This Row],[DU]],dus_svensson,svensson_real_spot)</f>
        <v>5.6843208866909523E-2</v>
      </c>
      <c r="M202" s="49">
        <f>IF(curve_type="Simulada",_xlfn.XLOOKUP(tbl_Bonds[[#This Row],[Coupon]],Simulador!$B$5:$B$147,Simulador!$K$5:$K$147),0)</f>
        <v>0</v>
      </c>
      <c r="N202" s="5" cm="1">
        <f t="array" ref="N20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5.6843208866909523E-2</v>
      </c>
      <c r="O202" s="6">
        <f>IF(curve_type="Mercado",tbl_Bonds[[#This Row],[FC]]/(1+tbl_Bonds[[#This Row],[Real Mercado]])^(tbl_Bonds[[#This Row],[DU]]/252),tbl_Bonds[[#This Row],[FC]]/(1+tbl_Bonds[[#This Row],[Real Simulada]])^(tbl_Bonds[[#This Row],[DU]]/252))</f>
        <v>2.0230638204419435E-2</v>
      </c>
      <c r="P202" s="7">
        <f>tbl_Bonds[[#This Row],[Cotação]]*VNA</f>
        <v>80.018330284601063</v>
      </c>
      <c r="Q202" s="18">
        <f>tbl_Bonds[[#This Row],[Cotação]]%%*VNA</f>
        <v>8.0018330284601074E-3</v>
      </c>
      <c r="R20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-5.1948543587355685E-2</v>
      </c>
      <c r="S20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-4.910772396550566E-2</v>
      </c>
      <c r="T20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5.1899088719057192E-2</v>
      </c>
      <c r="U202" s="18">
        <f>IF(curve_type="Mercado",tbl_Bonds[[#This Row],[VP Cupom]]*LN(1+tbl_Bonds[[#This Row],[Real Mercado]])/252,tbl_Bonds[[#This Row],[VP Cupom]]*LN(1+tbl_Bonds[[#This Row],[Real Simulada]])/252)</f>
        <v>1.7555246853020717E-2</v>
      </c>
      <c r="V202" s="18">
        <f>SUMIF(Dashboard!$B$28:$B$42,tbl_Bonds[[#This Row],[Bond]],Dashboard!$C$28:$C$42)</f>
        <v>12247</v>
      </c>
      <c r="W202" s="18">
        <f>tbl_Bonds[[#This Row],[Quantidade]]*tbl_Bonds[[#This Row],[𝛿P/𝛿VNA]]</f>
        <v>97.998449099550939</v>
      </c>
      <c r="X202" s="18">
        <f>+tbl_Bonds[[#This Row],[Quantidade]]*tbl_Bonds[[#This Row],[𝛿P/𝛿r_real]]</f>
        <v>-636.21381331434509</v>
      </c>
      <c r="Y202" s="18">
        <f>tbl_Bonds[[#This Row],[Quantidade]]*tbl_Bonds[[#This Row],[𝛿P/𝛿r_pre]]</f>
        <v>-601.42229540554786</v>
      </c>
      <c r="Z202" s="18">
        <f>tbl_Bonds[[#This Row],[Quantidade]]*tbl_Bonds[[#This Row],[𝛿P/𝛿r_implicita]]</f>
        <v>635.60813954229343</v>
      </c>
      <c r="AA202" s="18">
        <f>tbl_Bonds[[#This Row],[Quantidade]]*tbl_Bonds[[#This Row],[𝛿P/𝛿du]]</f>
        <v>214.9991082089447</v>
      </c>
    </row>
    <row r="203" spans="1:27">
      <c r="A203" s="2" t="s">
        <v>87</v>
      </c>
      <c r="B203" s="3">
        <v>55015</v>
      </c>
      <c r="C203" s="3">
        <v>47529</v>
      </c>
      <c r="D203" s="4">
        <f>NETWORKDAYS(Dashboard!$C$10,bonds!C203,feriados)-1</f>
        <v>1855</v>
      </c>
      <c r="E203" s="2">
        <f>IF(tbl_Bonds[[#This Row],[Coupon]]&lt;tbl_Bonds[[#This Row],[Maturity]],SQRT(1.06)-1,SQRT(1.06))</f>
        <v>2.9563014098699991E-2</v>
      </c>
      <c r="F203" s="5" cm="1">
        <f t="array" ref="F203">Svensson(betas_pre,tbl_Bonds[[#This Row],[DU]])</f>
        <v>0.11826738921135904</v>
      </c>
      <c r="G203" s="49">
        <f>IF(curve_type="Simulada",_xlfn.XLOOKUP(tbl_Bonds[[#This Row],[Coupon]],Simulador!$B$5:$B$147,Simulador!$H$5:$H$147),0)</f>
        <v>0</v>
      </c>
      <c r="H203" s="5" cm="1">
        <f t="array" ref="H20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0.11826738921135904</v>
      </c>
      <c r="I203" s="5" cm="1">
        <f t="array" ref="I203">Interpola_FF(tbl_Bonds[[#This Row],[DU]],dus_svensson,svensson_implicita)</f>
        <v>5.7973532188232424E-2</v>
      </c>
      <c r="J203" s="49">
        <f>IF(curve_type="Simulada",_xlfn.XLOOKUP(tbl_Bonds[[#This Row],[Coupon]],Simulador!$B$5:$B$147,Simulador!$N$5:$N$147),0)</f>
        <v>0</v>
      </c>
      <c r="K203" s="5" cm="1">
        <f t="array" ref="K20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5.7973532188232424E-2</v>
      </c>
      <c r="L203" s="5" cm="1">
        <f t="array" ref="L203">Interpola_FF(tbl_Bonds[[#This Row],[DU]],dus_svensson,svensson_real_spot)</f>
        <v>5.699082751972151E-2</v>
      </c>
      <c r="M203" s="49">
        <f>IF(curve_type="Simulada",_xlfn.XLOOKUP(tbl_Bonds[[#This Row],[Coupon]],Simulador!$B$5:$B$147,Simulador!$K$5:$K$147),0)</f>
        <v>0</v>
      </c>
      <c r="N203" s="5" cm="1">
        <f t="array" ref="N20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5.699082751972151E-2</v>
      </c>
      <c r="O203" s="6">
        <f>IF(curve_type="Mercado",tbl_Bonds[[#This Row],[FC]]/(1+tbl_Bonds[[#This Row],[Real Mercado]])^(tbl_Bonds[[#This Row],[DU]]/252),tbl_Bonds[[#This Row],[FC]]/(1+tbl_Bonds[[#This Row],[Real Simulada]])^(tbl_Bonds[[#This Row],[DU]]/252))</f>
        <v>1.9658835840888039E-2</v>
      </c>
      <c r="P203" s="7">
        <f>tbl_Bonds[[#This Row],[Cotação]]*VNA</f>
        <v>77.756677937292736</v>
      </c>
      <c r="Q203" s="18">
        <f>tbl_Bonds[[#This Row],[Cotação]]%%*VNA</f>
        <v>7.7756677937292733E-3</v>
      </c>
      <c r="R20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-5.415142033639022E-2</v>
      </c>
      <c r="S20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-5.1184453352055591E-2</v>
      </c>
      <c r="T20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5.4101452708204559E-2</v>
      </c>
      <c r="U203" s="18">
        <f>IF(curve_type="Mercado",tbl_Bonds[[#This Row],[VP Cupom]]*LN(1+tbl_Bonds[[#This Row],[Real Mercado]])/252,tbl_Bonds[[#This Row],[VP Cupom]]*LN(1+tbl_Bonds[[#This Row],[Real Simulada]])/252)</f>
        <v>1.7102158281184266E-2</v>
      </c>
      <c r="V203" s="18">
        <f>SUMIF(Dashboard!$B$28:$B$42,tbl_Bonds[[#This Row],[Bond]],Dashboard!$C$28:$C$42)</f>
        <v>12247</v>
      </c>
      <c r="W203" s="18">
        <f>tbl_Bonds[[#This Row],[Quantidade]]*tbl_Bonds[[#This Row],[𝛿P/𝛿VNA]]</f>
        <v>95.228603469802408</v>
      </c>
      <c r="X203" s="18">
        <f>+tbl_Bonds[[#This Row],[Quantidade]]*tbl_Bonds[[#This Row],[𝛿P/𝛿r_real]]</f>
        <v>-663.19244485977106</v>
      </c>
      <c r="Y203" s="18">
        <f>tbl_Bonds[[#This Row],[Quantidade]]*tbl_Bonds[[#This Row],[𝛿P/𝛿r_pre]]</f>
        <v>-626.85600020262484</v>
      </c>
      <c r="Z203" s="18">
        <f>tbl_Bonds[[#This Row],[Quantidade]]*tbl_Bonds[[#This Row],[𝛿P/𝛿r_implicita]]</f>
        <v>662.58049131738119</v>
      </c>
      <c r="AA203" s="18">
        <f>tbl_Bonds[[#This Row],[Quantidade]]*tbl_Bonds[[#This Row],[𝛿P/𝛿du]]</f>
        <v>209.45013246966371</v>
      </c>
    </row>
    <row r="204" spans="1:27">
      <c r="A204" s="2" t="s">
        <v>87</v>
      </c>
      <c r="B204" s="3">
        <v>55015</v>
      </c>
      <c r="C204" s="3">
        <v>47710</v>
      </c>
      <c r="D204" s="4">
        <f>NETWORKDAYS(Dashboard!$C$10,bonds!C204,feriados)-1</f>
        <v>1979</v>
      </c>
      <c r="E204" s="2">
        <f>IF(tbl_Bonds[[#This Row],[Coupon]]&lt;tbl_Bonds[[#This Row],[Maturity]],SQRT(1.06)-1,SQRT(1.06))</f>
        <v>2.9563014098699991E-2</v>
      </c>
      <c r="F204" s="5" cm="1">
        <f t="array" ref="F204">Svensson(betas_pre,tbl_Bonds[[#This Row],[DU]])</f>
        <v>0.11851270064571921</v>
      </c>
      <c r="G204" s="49">
        <f>IF(curve_type="Simulada",_xlfn.XLOOKUP(tbl_Bonds[[#This Row],[Coupon]],Simulador!$B$5:$B$147,Simulador!$H$5:$H$147),0)</f>
        <v>0</v>
      </c>
      <c r="H204" s="5" cm="1">
        <f t="array" ref="H20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0.11851270064571921</v>
      </c>
      <c r="I204" s="5" cm="1">
        <f t="array" ref="I204">Interpola_FF(tbl_Bonds[[#This Row],[DU]],dus_svensson,svensson_implicita)</f>
        <v>5.8039061744824538E-2</v>
      </c>
      <c r="J204" s="49">
        <f>IF(curve_type="Simulada",_xlfn.XLOOKUP(tbl_Bonds[[#This Row],[Coupon]],Simulador!$B$5:$B$147,Simulador!$N$5:$N$147),0)</f>
        <v>0</v>
      </c>
      <c r="K204" s="5" cm="1">
        <f t="array" ref="K20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5.8039061744824538E-2</v>
      </c>
      <c r="L204" s="5" cm="1">
        <f t="array" ref="L204">Interpola_FF(tbl_Bonds[[#This Row],[DU]],dus_svensson,svensson_real_spot)</f>
        <v>5.7156852715572137E-2</v>
      </c>
      <c r="M204" s="49">
        <f>IF(curve_type="Simulada",_xlfn.XLOOKUP(tbl_Bonds[[#This Row],[Coupon]],Simulador!$B$5:$B$147,Simulador!$K$5:$K$147),0)</f>
        <v>0</v>
      </c>
      <c r="N204" s="5" cm="1">
        <f t="array" ref="N20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5.7156852715572137E-2</v>
      </c>
      <c r="O204" s="6">
        <f>IF(curve_type="Mercado",tbl_Bonds[[#This Row],[FC]]/(1+tbl_Bonds[[#This Row],[Real Mercado]])^(tbl_Bonds[[#This Row],[DU]]/252),tbl_Bonds[[#This Row],[FC]]/(1+tbl_Bonds[[#This Row],[Real Simulada]])^(tbl_Bonds[[#This Row],[DU]]/252))</f>
        <v>1.9106342435482381E-2</v>
      </c>
      <c r="P204" s="7">
        <f>tbl_Bonds[[#This Row],[Cotação]]*VNA</f>
        <v>75.571398395090441</v>
      </c>
      <c r="Q204" s="18">
        <f>tbl_Bonds[[#This Row],[Cotação]]%%*VNA</f>
        <v>7.5571398395090448E-3</v>
      </c>
      <c r="R20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-5.6138820372608284E-2</v>
      </c>
      <c r="S20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-5.3059536354545626E-2</v>
      </c>
      <c r="T20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5.6092225182179427E-2</v>
      </c>
      <c r="U204" s="18">
        <f>IF(curve_type="Mercado",tbl_Bonds[[#This Row],[VP Cupom]]*LN(1+tbl_Bonds[[#This Row],[Real Mercado]])/252,tbl_Bonds[[#This Row],[VP Cupom]]*LN(1+tbl_Bonds[[#This Row],[Real Simulada]])/252)</f>
        <v>1.6668618443149198E-2</v>
      </c>
      <c r="V204" s="18">
        <f>SUMIF(Dashboard!$B$28:$B$42,tbl_Bonds[[#This Row],[Bond]],Dashboard!$C$28:$C$42)</f>
        <v>12247</v>
      </c>
      <c r="W204" s="18">
        <f>tbl_Bonds[[#This Row],[Quantidade]]*tbl_Bonds[[#This Row],[𝛿P/𝛿VNA]]</f>
        <v>92.552291614467265</v>
      </c>
      <c r="X204" s="18">
        <f>+tbl_Bonds[[#This Row],[Quantidade]]*tbl_Bonds[[#This Row],[𝛿P/𝛿r_real]]</f>
        <v>-687.53213310333365</v>
      </c>
      <c r="Y204" s="18">
        <f>tbl_Bonds[[#This Row],[Quantidade]]*tbl_Bonds[[#This Row],[𝛿P/𝛿r_pre]]</f>
        <v>-649.82014173412028</v>
      </c>
      <c r="Z204" s="18">
        <f>tbl_Bonds[[#This Row],[Quantidade]]*tbl_Bonds[[#This Row],[𝛿P/𝛿r_implicita]]</f>
        <v>686.96148180615148</v>
      </c>
      <c r="AA204" s="18">
        <f>tbl_Bonds[[#This Row],[Quantidade]]*tbl_Bonds[[#This Row],[𝛿P/𝛿du]]</f>
        <v>204.14057007324823</v>
      </c>
    </row>
    <row r="205" spans="1:27">
      <c r="A205" s="2" t="s">
        <v>87</v>
      </c>
      <c r="B205" s="3">
        <v>55015</v>
      </c>
      <c r="C205" s="3">
        <v>47896</v>
      </c>
      <c r="D205" s="4">
        <f>NETWORKDAYS(Dashboard!$C$10,bonds!C205,feriados)-1</f>
        <v>2108</v>
      </c>
      <c r="E205" s="2">
        <f>IF(tbl_Bonds[[#This Row],[Coupon]]&lt;tbl_Bonds[[#This Row],[Maturity]],SQRT(1.06)-1,SQRT(1.06))</f>
        <v>2.9563014098699991E-2</v>
      </c>
      <c r="F205" s="5" cm="1">
        <f t="array" ref="F205">Svensson(betas_pre,tbl_Bonds[[#This Row],[DU]])</f>
        <v>0.1187420783777112</v>
      </c>
      <c r="G205" s="49">
        <f>IF(curve_type="Simulada",_xlfn.XLOOKUP(tbl_Bonds[[#This Row],[Coupon]],Simulador!$B$5:$B$147,Simulador!$H$5:$H$147),0)</f>
        <v>0</v>
      </c>
      <c r="H205" s="5" cm="1">
        <f t="array" ref="H20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0.1187420783777112</v>
      </c>
      <c r="I205" s="5" cm="1">
        <f t="array" ref="I205">Interpola_FF(tbl_Bonds[[#This Row],[DU]],dus_svensson,svensson_implicita)</f>
        <v>5.8075178529090499E-2</v>
      </c>
      <c r="J205" s="49">
        <f>IF(curve_type="Simulada",_xlfn.XLOOKUP(tbl_Bonds[[#This Row],[Coupon]],Simulador!$B$5:$B$147,Simulador!$N$5:$N$147),0)</f>
        <v>0</v>
      </c>
      <c r="K205" s="5" cm="1">
        <f t="array" ref="K20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5.8075178529090499E-2</v>
      </c>
      <c r="L205" s="5" cm="1">
        <f t="array" ref="L205">Interpola_FF(tbl_Bonds[[#This Row],[DU]],dus_svensson,svensson_real_spot)</f>
        <v>5.7337312092009096E-2</v>
      </c>
      <c r="M205" s="49">
        <f>IF(curve_type="Simulada",_xlfn.XLOOKUP(tbl_Bonds[[#This Row],[Coupon]],Simulador!$B$5:$B$147,Simulador!$K$5:$K$147),0)</f>
        <v>0</v>
      </c>
      <c r="N205" s="5" cm="1">
        <f t="array" ref="N20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5.7337312092009096E-2</v>
      </c>
      <c r="O205" s="6">
        <f>IF(curve_type="Mercado",tbl_Bonds[[#This Row],[FC]]/(1+tbl_Bonds[[#This Row],[Real Mercado]])^(tbl_Bonds[[#This Row],[DU]]/252),tbl_Bonds[[#This Row],[FC]]/(1+tbl_Bonds[[#This Row],[Real Simulada]])^(tbl_Bonds[[#This Row],[DU]]/252))</f>
        <v>1.8543870024465087E-2</v>
      </c>
      <c r="P205" s="7">
        <f>tbl_Bonds[[#This Row],[Cotação]]*VNA</f>
        <v>73.346648849081291</v>
      </c>
      <c r="Q205" s="18">
        <f>tbl_Bonds[[#This Row],[Cotação]]%%*VNA</f>
        <v>7.3346648849081288E-3</v>
      </c>
      <c r="R20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-5.8027890604865094E-2</v>
      </c>
      <c r="S20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-5.4843012232040744E-2</v>
      </c>
      <c r="T20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5.7987548270683316E-2</v>
      </c>
      <c r="U205" s="18">
        <f>IF(curve_type="Mercado",tbl_Bonds[[#This Row],[VP Cupom]]*LN(1+tbl_Bonds[[#This Row],[Real Mercado]])/252,tbl_Bonds[[#This Row],[VP Cupom]]*LN(1+tbl_Bonds[[#This Row],[Real Simulada]])/252)</f>
        <v>1.622759041684927E-2</v>
      </c>
      <c r="V205" s="18">
        <f>SUMIF(Dashboard!$B$28:$B$42,tbl_Bonds[[#This Row],[Bond]],Dashboard!$C$28:$C$42)</f>
        <v>12247</v>
      </c>
      <c r="W205" s="18">
        <f>tbl_Bonds[[#This Row],[Quantidade]]*tbl_Bonds[[#This Row],[𝛿P/𝛿VNA]]</f>
        <v>89.827640845469858</v>
      </c>
      <c r="X205" s="18">
        <f>+tbl_Bonds[[#This Row],[Quantidade]]*tbl_Bonds[[#This Row],[𝛿P/𝛿r_real]]</f>
        <v>-710.66757623778278</v>
      </c>
      <c r="Y205" s="18">
        <f>tbl_Bonds[[#This Row],[Quantidade]]*tbl_Bonds[[#This Row],[𝛿P/𝛿r_pre]]</f>
        <v>-671.66237080580299</v>
      </c>
      <c r="Z205" s="18">
        <f>tbl_Bonds[[#This Row],[Quantidade]]*tbl_Bonds[[#This Row],[𝛿P/𝛿r_implicita]]</f>
        <v>710.1735036710586</v>
      </c>
      <c r="AA205" s="18">
        <f>tbl_Bonds[[#This Row],[Quantidade]]*tbl_Bonds[[#This Row],[𝛿P/𝛿du]]</f>
        <v>198.73929983515302</v>
      </c>
    </row>
    <row r="206" spans="1:27">
      <c r="A206" s="2" t="s">
        <v>87</v>
      </c>
      <c r="B206" s="3">
        <v>55015</v>
      </c>
      <c r="C206" s="3">
        <v>48075</v>
      </c>
      <c r="D206" s="4">
        <f>NETWORKDAYS(Dashboard!$C$10,bonds!C206,feriados)-1</f>
        <v>2231</v>
      </c>
      <c r="E206" s="2">
        <f>IF(tbl_Bonds[[#This Row],[Coupon]]&lt;tbl_Bonds[[#This Row],[Maturity]],SQRT(1.06)-1,SQRT(1.06))</f>
        <v>2.9563014098699991E-2</v>
      </c>
      <c r="F206" s="5" cm="1">
        <f t="array" ref="F206">Svensson(betas_pre,tbl_Bonds[[#This Row],[DU]])</f>
        <v>0.11893865889866469</v>
      </c>
      <c r="G206" s="49">
        <f>IF(curve_type="Simulada",_xlfn.XLOOKUP(tbl_Bonds[[#This Row],[Coupon]],Simulador!$B$5:$B$147,Simulador!$H$5:$H$147),0)</f>
        <v>0</v>
      </c>
      <c r="H206" s="5" cm="1">
        <f t="array" ref="H20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0.11893865889866469</v>
      </c>
      <c r="I206" s="5" cm="1">
        <f t="array" ref="I206">Interpola_FF(tbl_Bonds[[#This Row],[DU]],dus_svensson,svensson_implicita)</f>
        <v>5.8089895028151872E-2</v>
      </c>
      <c r="J206" s="49">
        <f>IF(curve_type="Simulada",_xlfn.XLOOKUP(tbl_Bonds[[#This Row],[Coupon]],Simulador!$B$5:$B$147,Simulador!$N$5:$N$147),0)</f>
        <v>0</v>
      </c>
      <c r="K206" s="5" cm="1">
        <f t="array" ref="K20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5.8089895028151872E-2</v>
      </c>
      <c r="L206" s="5" cm="1">
        <f t="array" ref="L206">Interpola_FF(tbl_Bonds[[#This Row],[DU]],dus_svensson,svensson_real_spot)</f>
        <v>5.7508281745383361E-2</v>
      </c>
      <c r="M206" s="49">
        <f>IF(curve_type="Simulada",_xlfn.XLOOKUP(tbl_Bonds[[#This Row],[Coupon]],Simulador!$B$5:$B$147,Simulador!$K$5:$K$147),0)</f>
        <v>0</v>
      </c>
      <c r="N206" s="5" cm="1">
        <f t="array" ref="N20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5.7508281745383361E-2</v>
      </c>
      <c r="O206" s="6">
        <f>IF(curve_type="Mercado",tbl_Bonds[[#This Row],[FC]]/(1+tbl_Bonds[[#This Row],[Real Mercado]])^(tbl_Bonds[[#This Row],[DU]]/252),tbl_Bonds[[#This Row],[FC]]/(1+tbl_Bonds[[#This Row],[Real Simulada]])^(tbl_Bonds[[#This Row],[DU]]/252))</f>
        <v>1.8020224244759638E-2</v>
      </c>
      <c r="P206" s="7">
        <f>tbl_Bonds[[#This Row],[Cotação]]*VNA</f>
        <v>71.275470444859977</v>
      </c>
      <c r="Q206" s="18">
        <f>tbl_Bonds[[#This Row],[Cotação]]%%*VNA</f>
        <v>7.1275470444859971E-3</v>
      </c>
      <c r="R20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-5.9669904781292853E-2</v>
      </c>
      <c r="S20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-5.6394067551843036E-2</v>
      </c>
      <c r="T20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5.963718452733266E-2</v>
      </c>
      <c r="U206" s="18">
        <f>IF(curve_type="Mercado",tbl_Bonds[[#This Row],[VP Cupom]]*LN(1+tbl_Bonds[[#This Row],[Real Mercado]])/252,tbl_Bonds[[#This Row],[VP Cupom]]*LN(1+tbl_Bonds[[#This Row],[Real Simulada]])/252)</f>
        <v>1.5815083155086521E-2</v>
      </c>
      <c r="V206" s="18">
        <f>SUMIF(Dashboard!$B$28:$B$42,tbl_Bonds[[#This Row],[Bond]],Dashboard!$C$28:$C$42)</f>
        <v>12247</v>
      </c>
      <c r="W206" s="18">
        <f>tbl_Bonds[[#This Row],[Quantidade]]*tbl_Bonds[[#This Row],[𝛿P/𝛿VNA]]</f>
        <v>87.291068653820005</v>
      </c>
      <c r="X206" s="18">
        <f>+tbl_Bonds[[#This Row],[Quantidade]]*tbl_Bonds[[#This Row],[𝛿P/𝛿r_real]]</f>
        <v>-730.77732385649358</v>
      </c>
      <c r="Y206" s="18">
        <f>tbl_Bonds[[#This Row],[Quantidade]]*tbl_Bonds[[#This Row],[𝛿P/𝛿r_pre]]</f>
        <v>-690.65814530742171</v>
      </c>
      <c r="Z206" s="18">
        <f>tbl_Bonds[[#This Row],[Quantidade]]*tbl_Bonds[[#This Row],[𝛿P/𝛿r_implicita]]</f>
        <v>730.37659890624309</v>
      </c>
      <c r="AA206" s="18">
        <f>tbl_Bonds[[#This Row],[Quantidade]]*tbl_Bonds[[#This Row],[𝛿P/𝛿du]]</f>
        <v>193.68732340034461</v>
      </c>
    </row>
    <row r="207" spans="1:27">
      <c r="A207" s="2" t="s">
        <v>87</v>
      </c>
      <c r="B207" s="3">
        <v>55015</v>
      </c>
      <c r="C207" s="3">
        <v>48260</v>
      </c>
      <c r="D207" s="4">
        <f>NETWORKDAYS(Dashboard!$C$10,bonds!C207,feriados)-1</f>
        <v>2358</v>
      </c>
      <c r="E207" s="2">
        <f>IF(tbl_Bonds[[#This Row],[Coupon]]&lt;tbl_Bonds[[#This Row],[Maturity]],SQRT(1.06)-1,SQRT(1.06))</f>
        <v>2.9563014098699991E-2</v>
      </c>
      <c r="F207" s="5" cm="1">
        <f t="array" ref="F207">Svensson(betas_pre,tbl_Bonds[[#This Row],[DU]])</f>
        <v>0.11912158088679581</v>
      </c>
      <c r="G207" s="49">
        <f>IF(curve_type="Simulada",_xlfn.XLOOKUP(tbl_Bonds[[#This Row],[Coupon]],Simulador!$B$5:$B$147,Simulador!$H$5:$H$147),0)</f>
        <v>0</v>
      </c>
      <c r="H207" s="5" cm="1">
        <f t="array" ref="H20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0.11912158088679581</v>
      </c>
      <c r="I207" s="5" cm="1">
        <f t="array" ref="I207">Interpola_FF(tbl_Bonds[[#This Row],[DU]],dus_svensson,svensson_implicita)</f>
        <v>5.8093588183373734E-2</v>
      </c>
      <c r="J207" s="49">
        <f>IF(curve_type="Simulada",_xlfn.XLOOKUP(tbl_Bonds[[#This Row],[Coupon]],Simulador!$B$5:$B$147,Simulador!$N$5:$N$147),0)</f>
        <v>0</v>
      </c>
      <c r="K207" s="5" cm="1">
        <f t="array" ref="K20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5.8093588183373734E-2</v>
      </c>
      <c r="L207" s="5" cm="1">
        <f t="array" ref="L207">Interpola_FF(tbl_Bonds[[#This Row],[DU]],dus_svensson,svensson_real_spot)</f>
        <v>5.7677395986454938E-2</v>
      </c>
      <c r="M207" s="49">
        <f>IF(curve_type="Simulada",_xlfn.XLOOKUP(tbl_Bonds[[#This Row],[Coupon]],Simulador!$B$5:$B$147,Simulador!$K$5:$K$147),0)</f>
        <v>0</v>
      </c>
      <c r="N207" s="5" cm="1">
        <f t="array" ref="N20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5.7677395986454938E-2</v>
      </c>
      <c r="O207" s="6">
        <f>IF(curve_type="Mercado",tbl_Bonds[[#This Row],[FC]]/(1+tbl_Bonds[[#This Row],[Real Mercado]])^(tbl_Bonds[[#This Row],[DU]]/252),tbl_Bonds[[#This Row],[FC]]/(1+tbl_Bonds[[#This Row],[Real Simulada]])^(tbl_Bonds[[#This Row],[DU]]/252))</f>
        <v>1.7493315301939292E-2</v>
      </c>
      <c r="P207" s="7">
        <f>tbl_Bonds[[#This Row],[Cotação]]*VNA</f>
        <v>69.191385237538242</v>
      </c>
      <c r="Q207" s="18">
        <f>tbl_Bonds[[#This Row],[Cotação]]%%*VNA</f>
        <v>6.9191385237538242E-3</v>
      </c>
      <c r="R20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-6.1212774198262425E-2</v>
      </c>
      <c r="S20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-5.7851995291766566E-2</v>
      </c>
      <c r="T20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6.1188742802547713E-2</v>
      </c>
      <c r="U207" s="18">
        <f>IF(curve_type="Mercado",tbl_Bonds[[#This Row],[VP Cupom]]*LN(1+tbl_Bonds[[#This Row],[Real Mercado]])/252,tbl_Bonds[[#This Row],[VP Cupom]]*LN(1+tbl_Bonds[[#This Row],[Real Simulada]])/252)</f>
        <v>1.5396557159779287E-2</v>
      </c>
      <c r="V207" s="18">
        <f>SUMIF(Dashboard!$B$28:$B$42,tbl_Bonds[[#This Row],[Bond]],Dashboard!$C$28:$C$42)</f>
        <v>12247</v>
      </c>
      <c r="W207" s="18">
        <f>tbl_Bonds[[#This Row],[Quantidade]]*tbl_Bonds[[#This Row],[𝛿P/𝛿VNA]]</f>
        <v>84.738689500413088</v>
      </c>
      <c r="X207" s="18">
        <f>+tbl_Bonds[[#This Row],[Quantidade]]*tbl_Bonds[[#This Row],[𝛿P/𝛿r_real]]</f>
        <v>-749.67284560611995</v>
      </c>
      <c r="Y207" s="18">
        <f>tbl_Bonds[[#This Row],[Quantidade]]*tbl_Bonds[[#This Row],[𝛿P/𝛿r_pre]]</f>
        <v>-708.51338633826515</v>
      </c>
      <c r="Z207" s="18">
        <f>tbl_Bonds[[#This Row],[Quantidade]]*tbl_Bonds[[#This Row],[𝛿P/𝛿r_implicita]]</f>
        <v>749.37853310280184</v>
      </c>
      <c r="AA207" s="18">
        <f>tbl_Bonds[[#This Row],[Quantidade]]*tbl_Bonds[[#This Row],[𝛿P/𝛿du]]</f>
        <v>188.56163553581692</v>
      </c>
    </row>
    <row r="208" spans="1:27">
      <c r="A208" s="2" t="s">
        <v>87</v>
      </c>
      <c r="B208" s="3">
        <v>55015</v>
      </c>
      <c r="C208" s="3">
        <v>48442</v>
      </c>
      <c r="D208" s="4">
        <f>NETWORKDAYS(Dashboard!$C$10,bonds!C208,feriados)-1</f>
        <v>2485</v>
      </c>
      <c r="E208" s="2">
        <f>IF(tbl_Bonds[[#This Row],[Coupon]]&lt;tbl_Bonds[[#This Row],[Maturity]],SQRT(1.06)-1,SQRT(1.06))</f>
        <v>2.9563014098699991E-2</v>
      </c>
      <c r="F208" s="5" cm="1">
        <f t="array" ref="F208">Svensson(betas_pre,tbl_Bonds[[#This Row],[DU]])</f>
        <v>0.11928663253884547</v>
      </c>
      <c r="G208" s="49">
        <f>IF(curve_type="Simulada",_xlfn.XLOOKUP(tbl_Bonds[[#This Row],[Coupon]],Simulador!$B$5:$B$147,Simulador!$H$5:$H$147),0)</f>
        <v>0</v>
      </c>
      <c r="H208" s="5" cm="1">
        <f t="array" ref="H20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0.11928663253884547</v>
      </c>
      <c r="I208" s="5" cm="1">
        <f t="array" ref="I208">Interpola_FF(tbl_Bonds[[#This Row],[DU]],dus_svensson,svensson_implicita)</f>
        <v>5.8091578017454903E-2</v>
      </c>
      <c r="J208" s="49">
        <f>IF(curve_type="Simulada",_xlfn.XLOOKUP(tbl_Bonds[[#This Row],[Coupon]],Simulador!$B$5:$B$147,Simulador!$N$5:$N$147),0)</f>
        <v>0</v>
      </c>
      <c r="K208" s="5" cm="1">
        <f t="array" ref="K20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5.8091578017454903E-2</v>
      </c>
      <c r="L208" s="5" cm="1">
        <f t="array" ref="L208">Interpola_FF(tbl_Bonds[[#This Row],[DU]],dus_svensson,svensson_real_spot)</f>
        <v>5.7835355150152479E-2</v>
      </c>
      <c r="M208" s="49">
        <f>IF(curve_type="Simulada",_xlfn.XLOOKUP(tbl_Bonds[[#This Row],[Coupon]],Simulador!$B$5:$B$147,Simulador!$K$5:$K$147),0)</f>
        <v>0</v>
      </c>
      <c r="N208" s="5" cm="1">
        <f t="array" ref="N20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5.7835355150152479E-2</v>
      </c>
      <c r="O208" s="6">
        <f>IF(curve_type="Mercado",tbl_Bonds[[#This Row],[FC]]/(1+tbl_Bonds[[#This Row],[Real Mercado]])^(tbl_Bonds[[#This Row],[DU]]/252),tbl_Bonds[[#This Row],[FC]]/(1+tbl_Bonds[[#This Row],[Real Simulada]])^(tbl_Bonds[[#This Row],[DU]]/252))</f>
        <v>1.6980846272611861E-2</v>
      </c>
      <c r="P208" s="7">
        <f>tbl_Bonds[[#This Row],[Cotação]]*VNA</f>
        <v>67.164414282148755</v>
      </c>
      <c r="Q208" s="18">
        <f>tbl_Bonds[[#This Row],[Cotação]]%%*VNA</f>
        <v>6.7164414282148751E-3</v>
      </c>
      <c r="R20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-6.261047607498009E-2</v>
      </c>
      <c r="S20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-5.9173049233493286E-2</v>
      </c>
      <c r="T20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6.2595340885058456E-2</v>
      </c>
      <c r="U208" s="18">
        <f>IF(curve_type="Mercado",tbl_Bonds[[#This Row],[VP Cupom]]*LN(1+tbl_Bonds[[#This Row],[Real Mercado]])/252,tbl_Bonds[[#This Row],[VP Cupom]]*LN(1+tbl_Bonds[[#This Row],[Real Simulada]])/252)</f>
        <v>1.4985314298570071E-2</v>
      </c>
      <c r="V208" s="18">
        <f>SUMIF(Dashboard!$B$28:$B$42,tbl_Bonds[[#This Row],[Bond]],Dashboard!$C$28:$C$42)</f>
        <v>12247</v>
      </c>
      <c r="W208" s="18">
        <f>tbl_Bonds[[#This Row],[Quantidade]]*tbl_Bonds[[#This Row],[𝛿P/𝛿VNA]]</f>
        <v>82.256258171347582</v>
      </c>
      <c r="X208" s="18">
        <f>+tbl_Bonds[[#This Row],[Quantidade]]*tbl_Bonds[[#This Row],[𝛿P/𝛿r_real]]</f>
        <v>-766.79050049028115</v>
      </c>
      <c r="Y208" s="18">
        <f>tbl_Bonds[[#This Row],[Quantidade]]*tbl_Bonds[[#This Row],[𝛿P/𝛿r_pre]]</f>
        <v>-724.69233396259222</v>
      </c>
      <c r="Z208" s="18">
        <f>tbl_Bonds[[#This Row],[Quantidade]]*tbl_Bonds[[#This Row],[𝛿P/𝛿r_implicita]]</f>
        <v>766.60513981931092</v>
      </c>
      <c r="AA208" s="18">
        <f>tbl_Bonds[[#This Row],[Quantidade]]*tbl_Bonds[[#This Row],[𝛿P/𝛿du]]</f>
        <v>183.52514421458767</v>
      </c>
    </row>
    <row r="209" spans="1:27">
      <c r="A209" s="2" t="s">
        <v>87</v>
      </c>
      <c r="B209" s="3">
        <v>55015</v>
      </c>
      <c r="C209" s="3">
        <v>48625</v>
      </c>
      <c r="D209" s="4">
        <f>NETWORKDAYS(Dashboard!$C$10,bonds!C209,feriados)-1</f>
        <v>2612</v>
      </c>
      <c r="E209" s="2">
        <f>IF(tbl_Bonds[[#This Row],[Coupon]]&lt;tbl_Bonds[[#This Row],[Maturity]],SQRT(1.06)-1,SQRT(1.06))</f>
        <v>2.9563014098699991E-2</v>
      </c>
      <c r="F209" s="5" cm="1">
        <f t="array" ref="F209">Svensson(betas_pre,tbl_Bonds[[#This Row],[DU]])</f>
        <v>0.11943608482042488</v>
      </c>
      <c r="G209" s="49">
        <f>IF(curve_type="Simulada",_xlfn.XLOOKUP(tbl_Bonds[[#This Row],[Coupon]],Simulador!$B$5:$B$147,Simulador!$H$5:$H$147),0)</f>
        <v>0</v>
      </c>
      <c r="H209" s="5" cm="1">
        <f t="array" ref="H20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0.11943608482042488</v>
      </c>
      <c r="I209" s="5" cm="1">
        <f t="array" ref="I209">Interpola_FF(tbl_Bonds[[#This Row],[DU]],dus_svensson,svensson_implicita)</f>
        <v>5.8088111866002823E-2</v>
      </c>
      <c r="J209" s="49">
        <f>IF(curve_type="Simulada",_xlfn.XLOOKUP(tbl_Bonds[[#This Row],[Coupon]],Simulador!$B$5:$B$147,Simulador!$N$5:$N$147),0)</f>
        <v>0</v>
      </c>
      <c r="K209" s="5" cm="1">
        <f t="array" ref="K20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5.8088111866002823E-2</v>
      </c>
      <c r="L209" s="5" cm="1">
        <f t="array" ref="L209">Interpola_FF(tbl_Bonds[[#This Row],[DU]],dus_svensson,svensson_real_spot)</f>
        <v>5.7980046197837254E-2</v>
      </c>
      <c r="M209" s="49">
        <f>IF(curve_type="Simulada",_xlfn.XLOOKUP(tbl_Bonds[[#This Row],[Coupon]],Simulador!$B$5:$B$147,Simulador!$K$5:$K$147),0)</f>
        <v>0</v>
      </c>
      <c r="N209" s="5" cm="1">
        <f t="array" ref="N20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5.7980046197837254E-2</v>
      </c>
      <c r="O209" s="6">
        <f>IF(curve_type="Mercado",tbl_Bonds[[#This Row],[FC]]/(1+tbl_Bonds[[#This Row],[Real Mercado]])^(tbl_Bonds[[#This Row],[DU]]/252),tbl_Bonds[[#This Row],[FC]]/(1+tbl_Bonds[[#This Row],[Real Simulada]])^(tbl_Bonds[[#This Row],[DU]]/252))</f>
        <v>1.6483055471411198E-2</v>
      </c>
      <c r="P209" s="7">
        <f>tbl_Bonds[[#This Row],[Cotação]]*VNA</f>
        <v>65.195500185587562</v>
      </c>
      <c r="Q209" s="18">
        <f>tbl_Bonds[[#This Row],[Cotação]]%%*VNA</f>
        <v>6.5195500185587559E-3</v>
      </c>
      <c r="R20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-6.3872332573586016E-2</v>
      </c>
      <c r="S20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-6.0365812491267185E-2</v>
      </c>
      <c r="T20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6.3865823681786033E-2</v>
      </c>
      <c r="U209" s="18">
        <f>IF(curve_type="Mercado",tbl_Bonds[[#This Row],[VP Cupom]]*LN(1+tbl_Bonds[[#This Row],[Real Mercado]])/252,tbl_Bonds[[#This Row],[VP Cupom]]*LN(1+tbl_Bonds[[#This Row],[Real Simulada]])/252)</f>
        <v>1.4581406528036217E-2</v>
      </c>
      <c r="V209" s="18">
        <f>SUMIF(Dashboard!$B$28:$B$42,tbl_Bonds[[#This Row],[Bond]],Dashboard!$C$28:$C$42)</f>
        <v>12247</v>
      </c>
      <c r="W209" s="18">
        <f>tbl_Bonds[[#This Row],[Quantidade]]*tbl_Bonds[[#This Row],[𝛿P/𝛿VNA]]</f>
        <v>79.844929077289081</v>
      </c>
      <c r="X209" s="18">
        <f>+tbl_Bonds[[#This Row],[Quantidade]]*tbl_Bonds[[#This Row],[𝛿P/𝛿r_real]]</f>
        <v>-782.24445702870798</v>
      </c>
      <c r="Y209" s="18">
        <f>tbl_Bonds[[#This Row],[Quantidade]]*tbl_Bonds[[#This Row],[𝛿P/𝛿r_pre]]</f>
        <v>-739.30010558054926</v>
      </c>
      <c r="Z209" s="18">
        <f>tbl_Bonds[[#This Row],[Quantidade]]*tbl_Bonds[[#This Row],[𝛿P/𝛿r_implicita]]</f>
        <v>782.16474263083353</v>
      </c>
      <c r="AA209" s="18">
        <f>tbl_Bonds[[#This Row],[Quantidade]]*tbl_Bonds[[#This Row],[𝛿P/𝛿du]]</f>
        <v>178.57848574885955</v>
      </c>
    </row>
    <row r="210" spans="1:27">
      <c r="A210" s="2" t="s">
        <v>87</v>
      </c>
      <c r="B210" s="3">
        <v>55015</v>
      </c>
      <c r="C210" s="3">
        <v>48806</v>
      </c>
      <c r="D210" s="4">
        <f>NETWORKDAYS(Dashboard!$C$10,bonds!C210,feriados)-1</f>
        <v>2736</v>
      </c>
      <c r="E210" s="2">
        <f>IF(tbl_Bonds[[#This Row],[Coupon]]&lt;tbl_Bonds[[#This Row],[Maturity]],SQRT(1.06)-1,SQRT(1.06))</f>
        <v>2.9563014098699991E-2</v>
      </c>
      <c r="F210" s="5" cm="1">
        <f t="array" ref="F210">Svensson(betas_pre,tbl_Bonds[[#This Row],[DU]])</f>
        <v>0.11956885530821211</v>
      </c>
      <c r="G210" s="49">
        <f>IF(curve_type="Simulada",_xlfn.XLOOKUP(tbl_Bonds[[#This Row],[Coupon]],Simulador!$B$5:$B$147,Simulador!$H$5:$H$147),0)</f>
        <v>0</v>
      </c>
      <c r="H210" s="5" cm="1">
        <f t="array" ref="H21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0.11956885530821211</v>
      </c>
      <c r="I210" s="5" cm="1">
        <f t="array" ref="I210">Interpola_FF(tbl_Bonds[[#This Row],[DU]],dus_svensson,svensson_implicita)</f>
        <v>5.8086017122378264E-2</v>
      </c>
      <c r="J210" s="49">
        <f>IF(curve_type="Simulada",_xlfn.XLOOKUP(tbl_Bonds[[#This Row],[Coupon]],Simulador!$B$5:$B$147,Simulador!$N$5:$N$147),0)</f>
        <v>0</v>
      </c>
      <c r="K210" s="5" cm="1">
        <f t="array" ref="K21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5.8086017122378264E-2</v>
      </c>
      <c r="L210" s="5" cm="1">
        <f t="array" ref="L210">Interpola_FF(tbl_Bonds[[#This Row],[DU]],dus_svensson,svensson_real_spot)</f>
        <v>5.810761154270061E-2</v>
      </c>
      <c r="M210" s="49">
        <f>IF(curve_type="Simulada",_xlfn.XLOOKUP(tbl_Bonds[[#This Row],[Coupon]],Simulador!$B$5:$B$147,Simulador!$K$5:$K$147),0)</f>
        <v>0</v>
      </c>
      <c r="N210" s="5" cm="1">
        <f t="array" ref="N21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5.810761154270061E-2</v>
      </c>
      <c r="O210" s="6">
        <f>IF(curve_type="Mercado",tbl_Bonds[[#This Row],[FC]]/(1+tbl_Bonds[[#This Row],[Real Mercado]])^(tbl_Bonds[[#This Row],[DU]]/252),tbl_Bonds[[#This Row],[FC]]/(1+tbl_Bonds[[#This Row],[Real Simulada]])^(tbl_Bonds[[#This Row],[DU]]/252))</f>
        <v>1.601123196542386E-2</v>
      </c>
      <c r="P210" s="7">
        <f>tbl_Bonds[[#This Row],[Cotação]]*VNA</f>
        <v>63.329294643446744</v>
      </c>
      <c r="Q210" s="18">
        <f>tbl_Bonds[[#This Row],[Cotação]]%%*VNA</f>
        <v>6.3329294643446731E-3</v>
      </c>
      <c r="R21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-6.4981594639842141E-2</v>
      </c>
      <c r="S21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-6.1414292020879738E-2</v>
      </c>
      <c r="T21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6.4982929085838317E-2</v>
      </c>
      <c r="U210" s="18">
        <f>IF(curve_type="Mercado",tbl_Bonds[[#This Row],[VP Cupom]]*LN(1+tbl_Bonds[[#This Row],[Real Mercado]])/252,tbl_Bonds[[#This Row],[VP Cupom]]*LN(1+tbl_Bonds[[#This Row],[Real Simulada]])/252)</f>
        <v>1.4194316605929191E-2</v>
      </c>
      <c r="V210" s="18">
        <f>SUMIF(Dashboard!$B$28:$B$42,tbl_Bonds[[#This Row],[Bond]],Dashboard!$C$28:$C$42)</f>
        <v>12247</v>
      </c>
      <c r="W210" s="18">
        <f>tbl_Bonds[[#This Row],[Quantidade]]*tbl_Bonds[[#This Row],[𝛿P/𝛿VNA]]</f>
        <v>77.559387149829206</v>
      </c>
      <c r="X210" s="18">
        <f>+tbl_Bonds[[#This Row],[Quantidade]]*tbl_Bonds[[#This Row],[𝛿P/𝛿r_real]]</f>
        <v>-795.82958955414665</v>
      </c>
      <c r="Y210" s="18">
        <f>tbl_Bonds[[#This Row],[Quantidade]]*tbl_Bonds[[#This Row],[𝛿P/𝛿r_pre]]</f>
        <v>-752.14083437971419</v>
      </c>
      <c r="Z210" s="18">
        <f>tbl_Bonds[[#This Row],[Quantidade]]*tbl_Bonds[[#This Row],[𝛿P/𝛿r_implicita]]</f>
        <v>795.8459325142619</v>
      </c>
      <c r="AA210" s="18">
        <f>tbl_Bonds[[#This Row],[Quantidade]]*tbl_Bonds[[#This Row],[𝛿P/𝛿du]]</f>
        <v>173.8377954728148</v>
      </c>
    </row>
    <row r="211" spans="1:27">
      <c r="A211" s="2" t="s">
        <v>87</v>
      </c>
      <c r="B211" s="3">
        <v>55015</v>
      </c>
      <c r="C211" s="3">
        <v>48990</v>
      </c>
      <c r="D211" s="4">
        <f>NETWORKDAYS(Dashboard!$C$10,bonds!C211,feriados)-1</f>
        <v>2864</v>
      </c>
      <c r="E211" s="2">
        <f>IF(tbl_Bonds[[#This Row],[Coupon]]&lt;tbl_Bonds[[#This Row],[Maturity]],SQRT(1.06)-1,SQRT(1.06))</f>
        <v>2.9563014098699991E-2</v>
      </c>
      <c r="F211" s="5" cm="1">
        <f t="array" ref="F211">Svensson(betas_pre,tbl_Bonds[[#This Row],[DU]])</f>
        <v>0.11969397895680058</v>
      </c>
      <c r="G211" s="49">
        <f>IF(curve_type="Simulada",_xlfn.XLOOKUP(tbl_Bonds[[#This Row],[Coupon]],Simulador!$B$5:$B$147,Simulador!$H$5:$H$147),0)</f>
        <v>0</v>
      </c>
      <c r="H211" s="5" cm="1">
        <f t="array" ref="H21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0.11969397895680058</v>
      </c>
      <c r="I211" s="5" cm="1">
        <f t="array" ref="I211">Interpola_FF(tbl_Bonds[[#This Row],[DU]],dus_svensson,svensson_implicita)</f>
        <v>5.8086868517013501E-2</v>
      </c>
      <c r="J211" s="49">
        <f>IF(curve_type="Simulada",_xlfn.XLOOKUP(tbl_Bonds[[#This Row],[Coupon]],Simulador!$B$5:$B$147,Simulador!$N$5:$N$147),0)</f>
        <v>0</v>
      </c>
      <c r="K211" s="5" cm="1">
        <f t="array" ref="K21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5.8086868517013501E-2</v>
      </c>
      <c r="L211" s="5" cm="1">
        <f t="array" ref="L211">Interpola_FF(tbl_Bonds[[#This Row],[DU]],dus_svensson,svensson_real_spot)</f>
        <v>5.8225008086649765E-2</v>
      </c>
      <c r="M211" s="49">
        <f>IF(curve_type="Simulada",_xlfn.XLOOKUP(tbl_Bonds[[#This Row],[Coupon]],Simulador!$B$5:$B$147,Simulador!$K$5:$K$147),0)</f>
        <v>0</v>
      </c>
      <c r="N211" s="5" cm="1">
        <f t="array" ref="N21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5.8225008086649765E-2</v>
      </c>
      <c r="O211" s="6">
        <f>IF(curve_type="Mercado",tbl_Bonds[[#This Row],[FC]]/(1+tbl_Bonds[[#This Row],[Real Mercado]])^(tbl_Bonds[[#This Row],[DU]]/252),tbl_Bonds[[#This Row],[FC]]/(1+tbl_Bonds[[#This Row],[Real Simulada]])^(tbl_Bonds[[#This Row],[DU]]/252))</f>
        <v>1.553880281585803E-2</v>
      </c>
      <c r="P211" s="7">
        <f>tbl_Bonds[[#This Row],[Cotação]]*VNA</f>
        <v>61.46069359665556</v>
      </c>
      <c r="Q211" s="18">
        <f>tbl_Bonds[[#This Row],[Cotação]]%%*VNA</f>
        <v>6.1460693596655557E-3</v>
      </c>
      <c r="R21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-6.6007291003429058E-2</v>
      </c>
      <c r="S21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-6.2383625926477386E-2</v>
      </c>
      <c r="T21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6.6015912694645573E-2</v>
      </c>
      <c r="U211" s="18">
        <f>IF(curve_type="Mercado",tbl_Bonds[[#This Row],[VP Cupom]]*LN(1+tbl_Bonds[[#This Row],[Real Mercado]])/252,tbl_Bonds[[#This Row],[VP Cupom]]*LN(1+tbl_Bonds[[#This Row],[Real Simulada]])/252)</f>
        <v>1.3802555720676428E-2</v>
      </c>
      <c r="V211" s="18">
        <f>SUMIF(Dashboard!$B$28:$B$42,tbl_Bonds[[#This Row],[Bond]],Dashboard!$C$28:$C$42)</f>
        <v>12247</v>
      </c>
      <c r="W211" s="18">
        <f>tbl_Bonds[[#This Row],[Quantidade]]*tbl_Bonds[[#This Row],[𝛿P/𝛿VNA]]</f>
        <v>75.270911447824062</v>
      </c>
      <c r="X211" s="18">
        <f>+tbl_Bonds[[#This Row],[Quantidade]]*tbl_Bonds[[#This Row],[𝛿P/𝛿r_real]]</f>
        <v>-808.39129291899565</v>
      </c>
      <c r="Y211" s="18">
        <f>tbl_Bonds[[#This Row],[Quantidade]]*tbl_Bonds[[#This Row],[𝛿P/𝛿r_pre]]</f>
        <v>-764.01226672156849</v>
      </c>
      <c r="Z211" s="18">
        <f>tbl_Bonds[[#This Row],[Quantidade]]*tbl_Bonds[[#This Row],[𝛿P/𝛿r_implicita]]</f>
        <v>808.49688277132429</v>
      </c>
      <c r="AA211" s="18">
        <f>tbl_Bonds[[#This Row],[Quantidade]]*tbl_Bonds[[#This Row],[𝛿P/𝛿du]]</f>
        <v>169.03989991112419</v>
      </c>
    </row>
    <row r="212" spans="1:27">
      <c r="A212" s="2" t="s">
        <v>87</v>
      </c>
      <c r="B212" s="3">
        <v>55015</v>
      </c>
      <c r="C212" s="3">
        <v>49171</v>
      </c>
      <c r="D212" s="4">
        <f>NETWORKDAYS(Dashboard!$C$10,bonds!C212,feriados)-1</f>
        <v>2987</v>
      </c>
      <c r="E212" s="2">
        <f>IF(tbl_Bonds[[#This Row],[Coupon]]&lt;tbl_Bonds[[#This Row],[Maturity]],SQRT(1.06)-1,SQRT(1.06))</f>
        <v>2.9563014098699991E-2</v>
      </c>
      <c r="F212" s="5" cm="1">
        <f t="array" ref="F212">Svensson(betas_pre,tbl_Bonds[[#This Row],[DU]])</f>
        <v>0.11980417582365722</v>
      </c>
      <c r="G212" s="49">
        <f>IF(curve_type="Simulada",_xlfn.XLOOKUP(tbl_Bonds[[#This Row],[Coupon]],Simulador!$B$5:$B$147,Simulador!$H$5:$H$147),0)</f>
        <v>0</v>
      </c>
      <c r="H212" s="5" cm="1">
        <f t="array" ref="H21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0.11980417582365722</v>
      </c>
      <c r="I212" s="5" cm="1">
        <f t="array" ref="I212">Interpola_FF(tbl_Bonds[[#This Row],[DU]],dus_svensson,svensson_implicita)</f>
        <v>5.809152730404965E-2</v>
      </c>
      <c r="J212" s="49">
        <f>IF(curve_type="Simulada",_xlfn.XLOOKUP(tbl_Bonds[[#This Row],[Coupon]],Simulador!$B$5:$B$147,Simulador!$N$5:$N$147),0)</f>
        <v>0</v>
      </c>
      <c r="K212" s="5" cm="1">
        <f t="array" ref="K21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5.809152730404965E-2</v>
      </c>
      <c r="L212" s="5" cm="1">
        <f t="array" ref="L212">Interpola_FF(tbl_Bonds[[#This Row],[DU]],dus_svensson,svensson_real_spot)</f>
        <v>5.8324492388269089E-2</v>
      </c>
      <c r="M212" s="49">
        <f>IF(curve_type="Simulada",_xlfn.XLOOKUP(tbl_Bonds[[#This Row],[Coupon]],Simulador!$B$5:$B$147,Simulador!$K$5:$K$147),0)</f>
        <v>0</v>
      </c>
      <c r="N212" s="5" cm="1">
        <f t="array" ref="N21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5.8324492388269089E-2</v>
      </c>
      <c r="O212" s="6">
        <f>IF(curve_type="Mercado",tbl_Bonds[[#This Row],[FC]]/(1+tbl_Bonds[[#This Row],[Real Mercado]])^(tbl_Bonds[[#This Row],[DU]]/252),tbl_Bonds[[#This Row],[FC]]/(1+tbl_Bonds[[#This Row],[Real Simulada]])^(tbl_Bonds[[#This Row],[DU]]/252))</f>
        <v>1.5098618751390024E-2</v>
      </c>
      <c r="P212" s="7">
        <f>tbl_Bonds[[#This Row],[Cotação]]*VNA</f>
        <v>59.719631673610323</v>
      </c>
      <c r="Q212" s="18">
        <f>tbl_Bonds[[#This Row],[Cotação]]%%*VNA</f>
        <v>5.9719631673610333E-3</v>
      </c>
      <c r="R21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-6.6885650531168392E-2</v>
      </c>
      <c r="S21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-6.3213484737622394E-2</v>
      </c>
      <c r="T21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6.6900378985090894E-2</v>
      </c>
      <c r="U212" s="18">
        <f>IF(curve_type="Mercado",tbl_Bonds[[#This Row],[VP Cupom]]*LN(1+tbl_Bonds[[#This Row],[Real Mercado]])/252,tbl_Bonds[[#This Row],[VP Cupom]]*LN(1+tbl_Bonds[[#This Row],[Real Simulada]])/252)</f>
        <v>1.3433833980373346E-2</v>
      </c>
      <c r="V212" s="18">
        <f>SUMIF(Dashboard!$B$28:$B$42,tbl_Bonds[[#This Row],[Bond]],Dashboard!$C$28:$C$42)</f>
        <v>12247</v>
      </c>
      <c r="W212" s="18">
        <f>tbl_Bonds[[#This Row],[Quantidade]]*tbl_Bonds[[#This Row],[𝛿P/𝛿VNA]]</f>
        <v>73.13863291067058</v>
      </c>
      <c r="X212" s="18">
        <f>+tbl_Bonds[[#This Row],[Quantidade]]*tbl_Bonds[[#This Row],[𝛿P/𝛿r_real]]</f>
        <v>-819.14856205521926</v>
      </c>
      <c r="Y212" s="18">
        <f>tbl_Bonds[[#This Row],[Quantidade]]*tbl_Bonds[[#This Row],[𝛿P/𝛿r_pre]]</f>
        <v>-774.17554758166148</v>
      </c>
      <c r="Z212" s="18">
        <f>tbl_Bonds[[#This Row],[Quantidade]]*tbl_Bonds[[#This Row],[𝛿P/𝛿r_implicita]]</f>
        <v>819.32894143040824</v>
      </c>
      <c r="AA212" s="18">
        <f>tbl_Bonds[[#This Row],[Quantidade]]*tbl_Bonds[[#This Row],[𝛿P/𝛿du]]</f>
        <v>164.52416475763238</v>
      </c>
    </row>
    <row r="213" spans="1:27">
      <c r="A213" s="2" t="s">
        <v>87</v>
      </c>
      <c r="B213" s="3">
        <v>55015</v>
      </c>
      <c r="C213" s="3">
        <v>49355</v>
      </c>
      <c r="D213" s="4">
        <f>NETWORKDAYS(Dashboard!$C$10,bonds!C213,feriados)-1</f>
        <v>3111</v>
      </c>
      <c r="E213" s="2">
        <f>IF(tbl_Bonds[[#This Row],[Coupon]]&lt;tbl_Bonds[[#This Row],[Maturity]],SQRT(1.06)-1,SQRT(1.06))</f>
        <v>2.9563014098699991E-2</v>
      </c>
      <c r="F213" s="5" cm="1">
        <f t="array" ref="F213">Svensson(betas_pre,tbl_Bonds[[#This Row],[DU]])</f>
        <v>0.1199064799245569</v>
      </c>
      <c r="G213" s="49">
        <f>IF(curve_type="Simulada",_xlfn.XLOOKUP(tbl_Bonds[[#This Row],[Coupon]],Simulador!$B$5:$B$147,Simulador!$H$5:$H$147),0)</f>
        <v>0</v>
      </c>
      <c r="H213" s="5" cm="1">
        <f t="array" ref="H21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0.1199064799245569</v>
      </c>
      <c r="I213" s="5" cm="1">
        <f t="array" ref="I213">Interpola_FF(tbl_Bonds[[#This Row],[DU]],dus_svensson,svensson_implicita)</f>
        <v>5.810037436798976E-2</v>
      </c>
      <c r="J213" s="49">
        <f>IF(curve_type="Simulada",_xlfn.XLOOKUP(tbl_Bonds[[#This Row],[Coupon]],Simulador!$B$5:$B$147,Simulador!$N$5:$N$147),0)</f>
        <v>0</v>
      </c>
      <c r="K213" s="5" cm="1">
        <f t="array" ref="K21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5.810037436798976E-2</v>
      </c>
      <c r="L213" s="5" cm="1">
        <f t="array" ref="L213">Interpola_FF(tbl_Bonds[[#This Row],[DU]],dus_svensson,svensson_real_spot)</f>
        <v>5.8412328241514766E-2</v>
      </c>
      <c r="M213" s="49">
        <f>IF(curve_type="Simulada",_xlfn.XLOOKUP(tbl_Bonds[[#This Row],[Coupon]],Simulador!$B$5:$B$147,Simulador!$K$5:$K$147),0)</f>
        <v>0</v>
      </c>
      <c r="N213" s="5" cm="1">
        <f t="array" ref="N21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5.8412328241514766E-2</v>
      </c>
      <c r="O213" s="6">
        <f>IF(curve_type="Mercado",tbl_Bonds[[#This Row],[FC]]/(1+tbl_Bonds[[#This Row],[Real Mercado]])^(tbl_Bonds[[#This Row],[DU]]/252),tbl_Bonds[[#This Row],[FC]]/(1+tbl_Bonds[[#This Row],[Real Simulada]])^(tbl_Bonds[[#This Row],[DU]]/252))</f>
        <v>1.4668247374485249E-2</v>
      </c>
      <c r="P213" s="7">
        <f>tbl_Bonds[[#This Row],[Cotação]]*VNA</f>
        <v>58.017381915879902</v>
      </c>
      <c r="Q213" s="18">
        <f>tbl_Bonds[[#This Row],[Cotação]]%%*VNA</f>
        <v>5.8017381915879893E-3</v>
      </c>
      <c r="R21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-6.7671017646202508E-2</v>
      </c>
      <c r="S21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-6.395519739861795E-2</v>
      </c>
      <c r="T21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6.7690969332042619E-2</v>
      </c>
      <c r="U213" s="18">
        <f>IF(curve_type="Mercado",tbl_Bonds[[#This Row],[VP Cupom]]*LN(1+tbl_Bonds[[#This Row],[Real Mercado]])/252,tbl_Bonds[[#This Row],[VP Cupom]]*LN(1+tbl_Bonds[[#This Row],[Real Simulada]])/252)</f>
        <v>1.3070022668649454E-2</v>
      </c>
      <c r="V213" s="18">
        <f>SUMIF(Dashboard!$B$28:$B$42,tbl_Bonds[[#This Row],[Bond]],Dashboard!$C$28:$C$42)</f>
        <v>12247</v>
      </c>
      <c r="W213" s="18">
        <f>tbl_Bonds[[#This Row],[Quantidade]]*tbl_Bonds[[#This Row],[𝛿P/𝛿VNA]]</f>
        <v>71.053887632378107</v>
      </c>
      <c r="X213" s="18">
        <f>+tbl_Bonds[[#This Row],[Quantidade]]*tbl_Bonds[[#This Row],[𝛿P/𝛿r_real]]</f>
        <v>-828.76695311304206</v>
      </c>
      <c r="Y213" s="18">
        <f>tbl_Bonds[[#This Row],[Quantidade]]*tbl_Bonds[[#This Row],[𝛿P/𝛿r_pre]]</f>
        <v>-783.25930254087405</v>
      </c>
      <c r="Z213" s="18">
        <f>tbl_Bonds[[#This Row],[Quantidade]]*tbl_Bonds[[#This Row],[𝛿P/𝛿r_implicita]]</f>
        <v>829.01130140952591</v>
      </c>
      <c r="AA213" s="18">
        <f>tbl_Bonds[[#This Row],[Quantidade]]*tbl_Bonds[[#This Row],[𝛿P/𝛿du]]</f>
        <v>160.06856762294987</v>
      </c>
    </row>
    <row r="214" spans="1:27">
      <c r="A214" s="2" t="s">
        <v>87</v>
      </c>
      <c r="B214" s="3">
        <v>55015</v>
      </c>
      <c r="C214" s="3">
        <v>49536</v>
      </c>
      <c r="D214" s="4">
        <f>NETWORKDAYS(Dashboard!$C$10,bonds!C214,feriados)-1</f>
        <v>3237</v>
      </c>
      <c r="E214" s="2">
        <f>IF(tbl_Bonds[[#This Row],[Coupon]]&lt;tbl_Bonds[[#This Row],[Maturity]],SQRT(1.06)-1,SQRT(1.06))</f>
        <v>2.9563014098699991E-2</v>
      </c>
      <c r="F214" s="5" cm="1">
        <f t="array" ref="F214">Svensson(betas_pre,tbl_Bonds[[#This Row],[DU]])</f>
        <v>0.12000242022926019</v>
      </c>
      <c r="G214" s="49">
        <f>IF(curve_type="Simulada",_xlfn.XLOOKUP(tbl_Bonds[[#This Row],[Coupon]],Simulador!$B$5:$B$147,Simulador!$H$5:$H$147),0)</f>
        <v>0</v>
      </c>
      <c r="H214" s="5" cm="1">
        <f t="array" ref="H21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0.12000242022926019</v>
      </c>
      <c r="I214" s="5" cm="1">
        <f t="array" ref="I214">Interpola_FF(tbl_Bonds[[#This Row],[DU]],dus_svensson,svensson_implicita)</f>
        <v>5.8113662146890954E-2</v>
      </c>
      <c r="J214" s="49">
        <f>IF(curve_type="Simulada",_xlfn.XLOOKUP(tbl_Bonds[[#This Row],[Coupon]],Simulador!$B$5:$B$147,Simulador!$N$5:$N$147),0)</f>
        <v>0</v>
      </c>
      <c r="K214" s="5" cm="1">
        <f t="array" ref="K21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5.8113662146890954E-2</v>
      </c>
      <c r="L214" s="5" cm="1">
        <f t="array" ref="L214">Interpola_FF(tbl_Bonds[[#This Row],[DU]],dus_svensson,svensson_real_spot)</f>
        <v>5.8489706848831924E-2</v>
      </c>
      <c r="M214" s="49">
        <f>IF(curve_type="Simulada",_xlfn.XLOOKUP(tbl_Bonds[[#This Row],[Coupon]],Simulador!$B$5:$B$147,Simulador!$K$5:$K$147),0)</f>
        <v>0</v>
      </c>
      <c r="N214" s="5" cm="1">
        <f t="array" ref="N21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5.8489706848831924E-2</v>
      </c>
      <c r="O214" s="6">
        <f>IF(curve_type="Mercado",tbl_Bonds[[#This Row],[FC]]/(1+tbl_Bonds[[#This Row],[Real Mercado]])^(tbl_Bonds[[#This Row],[DU]]/252),tbl_Bonds[[#This Row],[FC]]/(1+tbl_Bonds[[#This Row],[Real Simulada]])^(tbl_Bonds[[#This Row],[DU]]/252))</f>
        <v>1.4244360391035597E-2</v>
      </c>
      <c r="P214" s="7">
        <f>tbl_Bonds[[#This Row],[Cotação]]*VNA</f>
        <v>56.340779907466356</v>
      </c>
      <c r="Q214" s="18">
        <f>tbl_Bonds[[#This Row],[Cotação]]%%*VNA</f>
        <v>5.6340779907466353E-3</v>
      </c>
      <c r="R21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-6.8372014172658216E-2</v>
      </c>
      <c r="S21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-6.4616889918703263E-2</v>
      </c>
      <c r="T21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6.8396312877952961E-2</v>
      </c>
      <c r="U214" s="18">
        <f>IF(curve_type="Mercado",tbl_Bonds[[#This Row],[VP Cupom]]*LN(1+tbl_Bonds[[#This Row],[Real Mercado]])/252,tbl_Bonds[[#This Row],[VP Cupom]]*LN(1+tbl_Bonds[[#This Row],[Real Simulada]])/252)</f>
        <v>1.2708666146208676E-2</v>
      </c>
      <c r="V214" s="18">
        <f>SUMIF(Dashboard!$B$28:$B$42,tbl_Bonds[[#This Row],[Bond]],Dashboard!$C$28:$C$42)</f>
        <v>12247</v>
      </c>
      <c r="W214" s="18">
        <f>tbl_Bonds[[#This Row],[Quantidade]]*tbl_Bonds[[#This Row],[𝛿P/𝛿VNA]]</f>
        <v>69.000553152674044</v>
      </c>
      <c r="X214" s="18">
        <f>+tbl_Bonds[[#This Row],[Quantidade]]*tbl_Bonds[[#This Row],[𝛿P/𝛿r_real]]</f>
        <v>-837.35205757254516</v>
      </c>
      <c r="Y214" s="18">
        <f>tbl_Bonds[[#This Row],[Quantidade]]*tbl_Bonds[[#This Row],[𝛿P/𝛿r_pre]]</f>
        <v>-791.36305083435889</v>
      </c>
      <c r="Z214" s="18">
        <f>tbl_Bonds[[#This Row],[Quantidade]]*tbl_Bonds[[#This Row],[𝛿P/𝛿r_implicita]]</f>
        <v>837.64964381628988</v>
      </c>
      <c r="AA214" s="18">
        <f>tbl_Bonds[[#This Row],[Quantidade]]*tbl_Bonds[[#This Row],[𝛿P/𝛿du]]</f>
        <v>155.64303429261764</v>
      </c>
    </row>
    <row r="215" spans="1:27">
      <c r="A215" s="2" t="s">
        <v>87</v>
      </c>
      <c r="B215" s="3">
        <v>55015</v>
      </c>
      <c r="C215" s="3">
        <v>49720</v>
      </c>
      <c r="D215" s="4">
        <f>NETWORKDAYS(Dashboard!$C$10,bonds!C215,feriados)-1</f>
        <v>3363</v>
      </c>
      <c r="E215" s="2">
        <f>IF(tbl_Bonds[[#This Row],[Coupon]]&lt;tbl_Bonds[[#This Row],[Maturity]],SQRT(1.06)-1,SQRT(1.06))</f>
        <v>2.9563014098699991E-2</v>
      </c>
      <c r="F215" s="5" cm="1">
        <f t="array" ref="F215">Svensson(betas_pre,tbl_Bonds[[#This Row],[DU]])</f>
        <v>0.1200911767032468</v>
      </c>
      <c r="G215" s="49">
        <f>IF(curve_type="Simulada",_xlfn.XLOOKUP(tbl_Bonds[[#This Row],[Coupon]],Simulador!$B$5:$B$147,Simulador!$H$5:$H$147),0)</f>
        <v>0</v>
      </c>
      <c r="H215" s="5" cm="1">
        <f t="array" ref="H21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0.1200911767032468</v>
      </c>
      <c r="I215" s="5" cm="1">
        <f t="array" ref="I215">Interpola_FF(tbl_Bonds[[#This Row],[DU]],dus_svensson,svensson_implicita)</f>
        <v>5.8131103872528289E-2</v>
      </c>
      <c r="J215" s="49">
        <f>IF(curve_type="Simulada",_xlfn.XLOOKUP(tbl_Bonds[[#This Row],[Coupon]],Simulador!$B$5:$B$147,Simulador!$N$5:$N$147),0)</f>
        <v>0</v>
      </c>
      <c r="K215" s="5" cm="1">
        <f t="array" ref="K21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5.8131103872528289E-2</v>
      </c>
      <c r="L215" s="5" cm="1">
        <f t="array" ref="L215">Interpola_FF(tbl_Bonds[[#This Row],[DU]],dus_svensson,svensson_real_spot)</f>
        <v>5.8556139186790812E-2</v>
      </c>
      <c r="M215" s="49">
        <f>IF(curve_type="Simulada",_xlfn.XLOOKUP(tbl_Bonds[[#This Row],[Coupon]],Simulador!$B$5:$B$147,Simulador!$K$5:$K$147),0)</f>
        <v>0</v>
      </c>
      <c r="N215" s="5" cm="1">
        <f t="array" ref="N21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5.8556139186790812E-2</v>
      </c>
      <c r="O215" s="6">
        <f>IF(curve_type="Mercado",tbl_Bonds[[#This Row],[FC]]/(1+tbl_Bonds[[#This Row],[Real Mercado]])^(tbl_Bonds[[#This Row],[DU]]/252),tbl_Bonds[[#This Row],[FC]]/(1+tbl_Bonds[[#This Row],[Real Simulada]])^(tbl_Bonds[[#This Row],[DU]]/252))</f>
        <v>1.3833621679340042E-2</v>
      </c>
      <c r="P215" s="7">
        <f>tbl_Bonds[[#This Row],[Cotação]]*VNA</f>
        <v>54.716183314861247</v>
      </c>
      <c r="Q215" s="18">
        <f>tbl_Bonds[[#This Row],[Cotação]]%%*VNA</f>
        <v>5.4716183314861251E-3</v>
      </c>
      <c r="R21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-6.8980800069845666E-2</v>
      </c>
      <c r="S21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-6.5191165118247976E-2</v>
      </c>
      <c r="T21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6.9008508095751708E-2</v>
      </c>
      <c r="U215" s="18">
        <f>IF(curve_type="Mercado",tbl_Bonds[[#This Row],[VP Cupom]]*LN(1+tbl_Bonds[[#This Row],[Real Mercado]])/252,tbl_Bonds[[#This Row],[VP Cupom]]*LN(1+tbl_Bonds[[#This Row],[Real Simulada]])/252)</f>
        <v>1.2355836276366758E-2</v>
      </c>
      <c r="V215" s="18">
        <f>SUMIF(Dashboard!$B$28:$B$42,tbl_Bonds[[#This Row],[Bond]],Dashboard!$C$28:$C$42)</f>
        <v>12247</v>
      </c>
      <c r="W215" s="18">
        <f>tbl_Bonds[[#This Row],[Quantidade]]*tbl_Bonds[[#This Row],[𝛿P/𝛿VNA]]</f>
        <v>67.010909705710574</v>
      </c>
      <c r="X215" s="18">
        <f>+tbl_Bonds[[#This Row],[Quantidade]]*tbl_Bonds[[#This Row],[𝛿P/𝛿r_real]]</f>
        <v>-844.80785845539992</v>
      </c>
      <c r="Y215" s="18">
        <f>tbl_Bonds[[#This Row],[Quantidade]]*tbl_Bonds[[#This Row],[𝛿P/𝛿r_pre]]</f>
        <v>-798.39619920318296</v>
      </c>
      <c r="Z215" s="18">
        <f>tbl_Bonds[[#This Row],[Quantidade]]*tbl_Bonds[[#This Row],[𝛿P/𝛿r_implicita]]</f>
        <v>845.14719864867118</v>
      </c>
      <c r="AA215" s="18">
        <f>tbl_Bonds[[#This Row],[Quantidade]]*tbl_Bonds[[#This Row],[𝛿P/𝛿du]]</f>
        <v>151.3219268766637</v>
      </c>
    </row>
    <row r="216" spans="1:27">
      <c r="A216" s="2" t="s">
        <v>87</v>
      </c>
      <c r="B216" s="3">
        <v>55015</v>
      </c>
      <c r="C216" s="3">
        <v>49902</v>
      </c>
      <c r="D216" s="4">
        <f>NETWORKDAYS(Dashboard!$C$10,bonds!C216,feriados)-1</f>
        <v>3487</v>
      </c>
      <c r="E216" s="2">
        <f>IF(tbl_Bonds[[#This Row],[Coupon]]&lt;tbl_Bonds[[#This Row],[Maturity]],SQRT(1.06)-1,SQRT(1.06))</f>
        <v>2.9563014098699991E-2</v>
      </c>
      <c r="F216" s="5" cm="1">
        <f t="array" ref="F216">Svensson(betas_pre,tbl_Bonds[[#This Row],[DU]])</f>
        <v>0.12017226232074725</v>
      </c>
      <c r="G216" s="49">
        <f>IF(curve_type="Simulada",_xlfn.XLOOKUP(tbl_Bonds[[#This Row],[Coupon]],Simulador!$B$5:$B$147,Simulador!$H$5:$H$147),0)</f>
        <v>0</v>
      </c>
      <c r="H216" s="5" cm="1">
        <f t="array" ref="H21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0.12017226232074725</v>
      </c>
      <c r="I216" s="5" cm="1">
        <f t="array" ref="I216">Interpola_FF(tbl_Bonds[[#This Row],[DU]],dus_svensson,svensson_implicita)</f>
        <v>5.8152005046111732E-2</v>
      </c>
      <c r="J216" s="49">
        <f>IF(curve_type="Simulada",_xlfn.XLOOKUP(tbl_Bonds[[#This Row],[Coupon]],Simulador!$B$5:$B$147,Simulador!$N$5:$N$147),0)</f>
        <v>0</v>
      </c>
      <c r="K216" s="5" cm="1">
        <f t="array" ref="K21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5.8152005046111732E-2</v>
      </c>
      <c r="L216" s="5" cm="1">
        <f t="array" ref="L216">Interpola_FF(tbl_Bonds[[#This Row],[DU]],dus_svensson,svensson_real_spot)</f>
        <v>5.8611859295576219E-2</v>
      </c>
      <c r="M216" s="49">
        <f>IF(curve_type="Simulada",_xlfn.XLOOKUP(tbl_Bonds[[#This Row],[Coupon]],Simulador!$B$5:$B$147,Simulador!$K$5:$K$147),0)</f>
        <v>0</v>
      </c>
      <c r="N216" s="5" cm="1">
        <f t="array" ref="N21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5.8611859295576219E-2</v>
      </c>
      <c r="O216" s="6">
        <f>IF(curve_type="Mercado",tbl_Bonds[[#This Row],[FC]]/(1+tbl_Bonds[[#This Row],[Real Mercado]])^(tbl_Bonds[[#This Row],[DU]]/252),tbl_Bonds[[#This Row],[FC]]/(1+tbl_Bonds[[#This Row],[Real Simulada]])^(tbl_Bonds[[#This Row],[DU]]/252))</f>
        <v>1.344184155914838E-2</v>
      </c>
      <c r="P216" s="7">
        <f>tbl_Bonds[[#This Row],[Cotação]]*VNA</f>
        <v>53.166573720756169</v>
      </c>
      <c r="Q216" s="18">
        <f>tbl_Bonds[[#This Row],[Cotação]]%%*VNA</f>
        <v>5.3166573720756175E-3</v>
      </c>
      <c r="R21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-6.9494962528300522E-2</v>
      </c>
      <c r="S21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-6.5675783273343835E-2</v>
      </c>
      <c r="T21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6.9525163093919332E-2</v>
      </c>
      <c r="U216" s="18">
        <f>IF(curve_type="Mercado",tbl_Bonds[[#This Row],[VP Cupom]]*LN(1+tbl_Bonds[[#This Row],[Real Mercado]])/252,tbl_Bonds[[#This Row],[VP Cupom]]*LN(1+tbl_Bonds[[#This Row],[Real Simulada]])/252)</f>
        <v>1.2017013474349551E-2</v>
      </c>
      <c r="V216" s="18">
        <f>SUMIF(Dashboard!$B$28:$B$42,tbl_Bonds[[#This Row],[Bond]],Dashboard!$C$28:$C$42)</f>
        <v>12247</v>
      </c>
      <c r="W216" s="18">
        <f>tbl_Bonds[[#This Row],[Quantidade]]*tbl_Bonds[[#This Row],[𝛿P/𝛿VNA]]</f>
        <v>65.113102835810082</v>
      </c>
      <c r="X216" s="18">
        <f>+tbl_Bonds[[#This Row],[Quantidade]]*tbl_Bonds[[#This Row],[𝛿P/𝛿r_real]]</f>
        <v>-851.10480608409648</v>
      </c>
      <c r="Y216" s="18">
        <f>tbl_Bonds[[#This Row],[Quantidade]]*tbl_Bonds[[#This Row],[𝛿P/𝛿r_pre]]</f>
        <v>-804.33131774864194</v>
      </c>
      <c r="Z216" s="18">
        <f>tbl_Bonds[[#This Row],[Quantidade]]*tbl_Bonds[[#This Row],[𝛿P/𝛿r_implicita]]</f>
        <v>851.47467241123002</v>
      </c>
      <c r="AA216" s="18">
        <f>tbl_Bonds[[#This Row],[Quantidade]]*tbl_Bonds[[#This Row],[𝛿P/𝛿du]]</f>
        <v>147.17236402035894</v>
      </c>
    </row>
    <row r="217" spans="1:27">
      <c r="A217" s="2" t="s">
        <v>87</v>
      </c>
      <c r="B217" s="3">
        <v>55015</v>
      </c>
      <c r="C217" s="3">
        <v>50089</v>
      </c>
      <c r="D217" s="4">
        <f>NETWORKDAYS(Dashboard!$C$10,bonds!C217,feriados)-1</f>
        <v>3616</v>
      </c>
      <c r="E217" s="2">
        <f>IF(tbl_Bonds[[#This Row],[Coupon]]&lt;tbl_Bonds[[#This Row],[Maturity]],SQRT(1.06)-1,SQRT(1.06))</f>
        <v>2.9563014098699991E-2</v>
      </c>
      <c r="F217" s="5" cm="1">
        <f t="array" ref="F217">Svensson(betas_pre,tbl_Bonds[[#This Row],[DU]])</f>
        <v>0.1202507133679222</v>
      </c>
      <c r="G217" s="49">
        <f>IF(curve_type="Simulada",_xlfn.XLOOKUP(tbl_Bonds[[#This Row],[Coupon]],Simulador!$B$5:$B$147,Simulador!$H$5:$H$147),0)</f>
        <v>0</v>
      </c>
      <c r="H217" s="5" cm="1">
        <f t="array" ref="H21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0.1202507133679222</v>
      </c>
      <c r="I217" s="5" cm="1">
        <f t="array" ref="I217">Interpola_FF(tbl_Bonds[[#This Row],[DU]],dus_svensson,svensson_implicita)</f>
        <v>5.8177190059257589E-2</v>
      </c>
      <c r="J217" s="49">
        <f>IF(curve_type="Simulada",_xlfn.XLOOKUP(tbl_Bonds[[#This Row],[Coupon]],Simulador!$B$5:$B$147,Simulador!$N$5:$N$147),0)</f>
        <v>0</v>
      </c>
      <c r="K217" s="5" cm="1">
        <f t="array" ref="K21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5.8177190059257589E-2</v>
      </c>
      <c r="L217" s="5" cm="1">
        <f t="array" ref="L217">Interpola_FF(tbl_Bonds[[#This Row],[DU]],dus_svensson,svensson_real_spot)</f>
        <v>5.8660801841484034E-2</v>
      </c>
      <c r="M217" s="49">
        <f>IF(curve_type="Simulada",_xlfn.XLOOKUP(tbl_Bonds[[#This Row],[Coupon]],Simulador!$B$5:$B$147,Simulador!$K$5:$K$147),0)</f>
        <v>0</v>
      </c>
      <c r="N217" s="5" cm="1">
        <f t="array" ref="N21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5.8660801841484034E-2</v>
      </c>
      <c r="O217" s="6">
        <f>IF(curve_type="Mercado",tbl_Bonds[[#This Row],[FC]]/(1+tbl_Bonds[[#This Row],[Real Mercado]])^(tbl_Bonds[[#This Row],[DU]]/252),tbl_Bonds[[#This Row],[FC]]/(1+tbl_Bonds[[#This Row],[Real Simulada]])^(tbl_Bonds[[#This Row],[DU]]/252))</f>
        <v>1.3046914116702193E-2</v>
      </c>
      <c r="P217" s="7">
        <f>tbl_Bonds[[#This Row],[Cotação]]*VNA</f>
        <v>51.604515509403825</v>
      </c>
      <c r="Q217" s="18">
        <f>tbl_Bonds[[#This Row],[Cotação]]%%*VNA</f>
        <v>5.1604515509403818E-3</v>
      </c>
      <c r="R21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-6.9945334738683321E-2</v>
      </c>
      <c r="S21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-6.6099831466518988E-2</v>
      </c>
      <c r="T21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6.9977300634991621E-2</v>
      </c>
      <c r="U217" s="18">
        <f>IF(curve_type="Mercado",tbl_Bonds[[#This Row],[VP Cupom]]*LN(1+tbl_Bonds[[#This Row],[Real Mercado]])/252,tbl_Bonds[[#This Row],[VP Cupom]]*LN(1+tbl_Bonds[[#This Row],[Real Simulada]])/252)</f>
        <v>1.1673415448772621E-2</v>
      </c>
      <c r="V217" s="18">
        <f>SUMIF(Dashboard!$B$28:$B$42,tbl_Bonds[[#This Row],[Bond]],Dashboard!$C$28:$C$42)</f>
        <v>12247</v>
      </c>
      <c r="W217" s="18">
        <f>tbl_Bonds[[#This Row],[Quantidade]]*tbl_Bonds[[#This Row],[𝛿P/𝛿VNA]]</f>
        <v>63.200050144366855</v>
      </c>
      <c r="X217" s="18">
        <f>+tbl_Bonds[[#This Row],[Quantidade]]*tbl_Bonds[[#This Row],[𝛿P/𝛿r_real]]</f>
        <v>-856.62051454465461</v>
      </c>
      <c r="Y217" s="18">
        <f>tbl_Bonds[[#This Row],[Quantidade]]*tbl_Bonds[[#This Row],[𝛿P/𝛿r_pre]]</f>
        <v>-809.52463597045801</v>
      </c>
      <c r="Z217" s="18">
        <f>tbl_Bonds[[#This Row],[Quantidade]]*tbl_Bonds[[#This Row],[𝛿P/𝛿r_implicita]]</f>
        <v>857.01200087674238</v>
      </c>
      <c r="AA217" s="18">
        <f>tbl_Bonds[[#This Row],[Quantidade]]*tbl_Bonds[[#This Row],[𝛿P/𝛿du]]</f>
        <v>142.9643190011183</v>
      </c>
    </row>
    <row r="218" spans="1:27">
      <c r="A218" s="2" t="s">
        <v>87</v>
      </c>
      <c r="B218" s="3">
        <v>55015</v>
      </c>
      <c r="C218" s="3">
        <v>50269</v>
      </c>
      <c r="D218" s="4">
        <f>NETWORKDAYS(Dashboard!$C$10,bonds!C218,feriados)-1</f>
        <v>3740</v>
      </c>
      <c r="E218" s="2">
        <f>IF(tbl_Bonds[[#This Row],[Coupon]]&lt;tbl_Bonds[[#This Row],[Maturity]],SQRT(1.06)-1,SQRT(1.06))</f>
        <v>2.9563014098699991E-2</v>
      </c>
      <c r="F218" s="5" cm="1">
        <f t="array" ref="F218">Svensson(betas_pre,tbl_Bonds[[#This Row],[DU]])</f>
        <v>0.12032101936210414</v>
      </c>
      <c r="G218" s="49">
        <f>IF(curve_type="Simulada",_xlfn.XLOOKUP(tbl_Bonds[[#This Row],[Coupon]],Simulador!$B$5:$B$147,Simulador!$H$5:$H$147),0)</f>
        <v>0</v>
      </c>
      <c r="H218" s="5" cm="1">
        <f t="array" ref="H21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0.12032101936210414</v>
      </c>
      <c r="I218" s="5" cm="1">
        <f t="array" ref="I218">Interpola_FF(tbl_Bonds[[#This Row],[DU]],dus_svensson,svensson_implicita)</f>
        <v>5.8204320020614153E-2</v>
      </c>
      <c r="J218" s="49">
        <f>IF(curve_type="Simulada",_xlfn.XLOOKUP(tbl_Bonds[[#This Row],[Coupon]],Simulador!$B$5:$B$147,Simulador!$N$5:$N$147),0)</f>
        <v>0</v>
      </c>
      <c r="K218" s="5" cm="1">
        <f t="array" ref="K21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5.8204320020614153E-2</v>
      </c>
      <c r="L218" s="5" cm="1">
        <f t="array" ref="L218">Interpola_FF(tbl_Bonds[[#This Row],[DU]],dus_svensson,svensson_real_spot)</f>
        <v>5.8700099138915718E-2</v>
      </c>
      <c r="M218" s="49">
        <f>IF(curve_type="Simulada",_xlfn.XLOOKUP(tbl_Bonds[[#This Row],[Coupon]],Simulador!$B$5:$B$147,Simulador!$K$5:$K$147),0)</f>
        <v>0</v>
      </c>
      <c r="N218" s="5" cm="1">
        <f t="array" ref="N21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5.8700099138915718E-2</v>
      </c>
      <c r="O218" s="6">
        <f>IF(curve_type="Mercado",tbl_Bonds[[#This Row],[FC]]/(1+tbl_Bonds[[#This Row],[Real Mercado]])^(tbl_Bonds[[#This Row],[DU]]/252),tbl_Bonds[[#This Row],[FC]]/(1+tbl_Bonds[[#This Row],[Real Simulada]])^(tbl_Bonds[[#This Row],[DU]]/252))</f>
        <v>1.2679047216846477E-2</v>
      </c>
      <c r="P218" s="7">
        <f>tbl_Bonds[[#This Row],[Cotação]]*VNA</f>
        <v>50.14948997852381</v>
      </c>
      <c r="Q218" s="18">
        <f>tbl_Bonds[[#This Row],[Cotação]]%%*VNA</f>
        <v>5.0149489978523814E-3</v>
      </c>
      <c r="R21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-7.0301505948538678E-2</v>
      </c>
      <c r="S21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-6.6434717545993949E-2</v>
      </c>
      <c r="T21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7.0334442105388056E-2</v>
      </c>
      <c r="U218" s="18">
        <f>IF(curve_type="Mercado",tbl_Bonds[[#This Row],[VP Cupom]]*LN(1+tbl_Bonds[[#This Row],[Real Mercado]])/252,tbl_Bonds[[#This Row],[VP Cupom]]*LN(1+tbl_Bonds[[#This Row],[Real Simulada]])/252)</f>
        <v>1.1351662234153959E-2</v>
      </c>
      <c r="V218" s="18">
        <f>SUMIF(Dashboard!$B$28:$B$42,tbl_Bonds[[#This Row],[Bond]],Dashboard!$C$28:$C$42)</f>
        <v>12247</v>
      </c>
      <c r="W218" s="18">
        <f>tbl_Bonds[[#This Row],[Quantidade]]*tbl_Bonds[[#This Row],[𝛿P/𝛿VNA]]</f>
        <v>61.418080376698114</v>
      </c>
      <c r="X218" s="18">
        <f>+tbl_Bonds[[#This Row],[Quantidade]]*tbl_Bonds[[#This Row],[𝛿P/𝛿r_real]]</f>
        <v>-860.98254335175318</v>
      </c>
      <c r="Y218" s="18">
        <f>tbl_Bonds[[#This Row],[Quantidade]]*tbl_Bonds[[#This Row],[𝛿P/𝛿r_pre]]</f>
        <v>-813.62598578578786</v>
      </c>
      <c r="Z218" s="18">
        <f>tbl_Bonds[[#This Row],[Quantidade]]*tbl_Bonds[[#This Row],[𝛿P/𝛿r_implicita]]</f>
        <v>861.38591246468752</v>
      </c>
      <c r="AA218" s="18">
        <f>tbl_Bonds[[#This Row],[Quantidade]]*tbl_Bonds[[#This Row],[𝛿P/𝛿du]]</f>
        <v>139.02380738168353</v>
      </c>
    </row>
    <row r="219" spans="1:27">
      <c r="A219" s="2" t="s">
        <v>87</v>
      </c>
      <c r="B219" s="3">
        <v>55015</v>
      </c>
      <c r="C219" s="3">
        <v>50451</v>
      </c>
      <c r="D219" s="4">
        <f>NETWORKDAYS(Dashboard!$C$10,bonds!C219,feriados)-1</f>
        <v>3865</v>
      </c>
      <c r="E219" s="2">
        <f>IF(tbl_Bonds[[#This Row],[Coupon]]&lt;tbl_Bonds[[#This Row],[Maturity]],SQRT(1.06)-1,SQRT(1.06))</f>
        <v>2.9563014098699991E-2</v>
      </c>
      <c r="F219" s="5" cm="1">
        <f t="array" ref="F219">Svensson(betas_pre,tbl_Bonds[[#This Row],[DU]])</f>
        <v>0.12038732306130104</v>
      </c>
      <c r="G219" s="49">
        <f>IF(curve_type="Simulada",_xlfn.XLOOKUP(tbl_Bonds[[#This Row],[Coupon]],Simulador!$B$5:$B$147,Simulador!$H$5:$H$147),0)</f>
        <v>0</v>
      </c>
      <c r="H219" s="5" cm="1">
        <f t="array" ref="H21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0.12038732306130104</v>
      </c>
      <c r="I219" s="5" cm="1">
        <f t="array" ref="I219">Interpola_FF(tbl_Bonds[[#This Row],[DU]],dus_svensson,svensson_implicita)</f>
        <v>5.8234064269589547E-2</v>
      </c>
      <c r="J219" s="49">
        <f>IF(curve_type="Simulada",_xlfn.XLOOKUP(tbl_Bonds[[#This Row],[Coupon]],Simulador!$B$5:$B$147,Simulador!$N$5:$N$147),0)</f>
        <v>0</v>
      </c>
      <c r="K219" s="5" cm="1">
        <f t="array" ref="K21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5.8234064269589547E-2</v>
      </c>
      <c r="L219" s="5" cm="1">
        <f t="array" ref="L219">Interpola_FF(tbl_Bonds[[#This Row],[DU]],dus_svensson,svensson_real_spot)</f>
        <v>5.8732996877415289E-2</v>
      </c>
      <c r="M219" s="49">
        <f>IF(curve_type="Simulada",_xlfn.XLOOKUP(tbl_Bonds[[#This Row],[Coupon]],Simulador!$B$5:$B$147,Simulador!$K$5:$K$147),0)</f>
        <v>0</v>
      </c>
      <c r="N219" s="5" cm="1">
        <f t="array" ref="N21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5.8732996877415289E-2</v>
      </c>
      <c r="O219" s="6">
        <f>IF(curve_type="Mercado",tbl_Bonds[[#This Row],[FC]]/(1+tbl_Bonds[[#This Row],[Real Mercado]])^(tbl_Bonds[[#This Row],[DU]]/252),tbl_Bonds[[#This Row],[FC]]/(1+tbl_Bonds[[#This Row],[Real Simulada]])^(tbl_Bonds[[#This Row],[DU]]/252))</f>
        <v>1.2319454328426013E-2</v>
      </c>
      <c r="P219" s="7">
        <f>tbl_Bonds[[#This Row],[Cotação]]*VNA</f>
        <v>48.727190680653081</v>
      </c>
      <c r="Q219" s="18">
        <f>tbl_Bonds[[#This Row],[Cotação]]%%*VNA</f>
        <v>4.8727190680653088E-3</v>
      </c>
      <c r="R21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-7.0588488426762269E-2</v>
      </c>
      <c r="S21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-6.6704040237697826E-2</v>
      </c>
      <c r="T21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7.0621768475077812E-2</v>
      </c>
      <c r="U219" s="18">
        <f>IF(curve_type="Mercado",tbl_Bonds[[#This Row],[VP Cupom]]*LN(1+tbl_Bonds[[#This Row],[Real Mercado]])/252,tbl_Bonds[[#This Row],[VP Cupom]]*LN(1+tbl_Bonds[[#This Row],[Real Simulada]])/252)</f>
        <v>1.1035723942664721E-2</v>
      </c>
      <c r="V219" s="18">
        <f>SUMIF(Dashboard!$B$28:$B$42,tbl_Bonds[[#This Row],[Bond]],Dashboard!$C$28:$C$42)</f>
        <v>12247</v>
      </c>
      <c r="W219" s="18">
        <f>tbl_Bonds[[#This Row],[Quantidade]]*tbl_Bonds[[#This Row],[𝛿P/𝛿VNA]]</f>
        <v>59.676190426595838</v>
      </c>
      <c r="X219" s="18">
        <f>+tbl_Bonds[[#This Row],[Quantidade]]*tbl_Bonds[[#This Row],[𝛿P/𝛿r_real]]</f>
        <v>-864.49721776255751</v>
      </c>
      <c r="Y219" s="18">
        <f>tbl_Bonds[[#This Row],[Quantidade]]*tbl_Bonds[[#This Row],[𝛿P/𝛿r_pre]]</f>
        <v>-816.92438079108524</v>
      </c>
      <c r="Z219" s="18">
        <f>tbl_Bonds[[#This Row],[Quantidade]]*tbl_Bonds[[#This Row],[𝛿P/𝛿r_implicita]]</f>
        <v>864.90479851427801</v>
      </c>
      <c r="AA219" s="18">
        <f>tbl_Bonds[[#This Row],[Quantidade]]*tbl_Bonds[[#This Row],[𝛿P/𝛿du]]</f>
        <v>135.15451112581485</v>
      </c>
    </row>
    <row r="220" spans="1:27">
      <c r="A220" s="2" t="s">
        <v>87</v>
      </c>
      <c r="B220" s="3">
        <v>55015</v>
      </c>
      <c r="C220" s="3">
        <v>50633</v>
      </c>
      <c r="D220" s="4">
        <f>NETWORKDAYS(Dashboard!$C$10,bonds!C220,feriados)-1</f>
        <v>3990</v>
      </c>
      <c r="E220" s="2">
        <f>IF(tbl_Bonds[[#This Row],[Coupon]]&lt;tbl_Bonds[[#This Row],[Maturity]],SQRT(1.06)-1,SQRT(1.06))</f>
        <v>2.9563014098699991E-2</v>
      </c>
      <c r="F220" s="5" cm="1">
        <f t="array" ref="F220">Svensson(betas_pre,tbl_Bonds[[#This Row],[DU]])</f>
        <v>0.12044946906148286</v>
      </c>
      <c r="G220" s="49">
        <f>IF(curve_type="Simulada",_xlfn.XLOOKUP(tbl_Bonds[[#This Row],[Coupon]],Simulador!$B$5:$B$147,Simulador!$H$5:$H$147),0)</f>
        <v>0</v>
      </c>
      <c r="H220" s="5" cm="1">
        <f t="array" ref="H22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0.12044946906148286</v>
      </c>
      <c r="I220" s="5" cm="1">
        <f t="array" ref="I220">Interpola_FF(tbl_Bonds[[#This Row],[DU]],dus_svensson,svensson_implicita)</f>
        <v>5.8265780259018296E-2</v>
      </c>
      <c r="J220" s="49">
        <f>IF(curve_type="Simulada",_xlfn.XLOOKUP(tbl_Bonds[[#This Row],[Coupon]],Simulador!$B$5:$B$147,Simulador!$N$5:$N$147),0)</f>
        <v>0</v>
      </c>
      <c r="K220" s="5" cm="1">
        <f t="array" ref="K22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5.8265780259018296E-2</v>
      </c>
      <c r="L220" s="5" cm="1">
        <f t="array" ref="L220">Interpola_FF(tbl_Bonds[[#This Row],[DU]],dus_svensson,svensson_real_spot)</f>
        <v>5.8759991321506444E-2</v>
      </c>
      <c r="M220" s="49">
        <f>IF(curve_type="Simulada",_xlfn.XLOOKUP(tbl_Bonds[[#This Row],[Coupon]],Simulador!$B$5:$B$147,Simulador!$K$5:$K$147),0)</f>
        <v>0</v>
      </c>
      <c r="N220" s="5" cm="1">
        <f t="array" ref="N22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5.8759991321506444E-2</v>
      </c>
      <c r="O220" s="6">
        <f>IF(curve_type="Mercado",tbl_Bonds[[#This Row],[FC]]/(1+tbl_Bonds[[#This Row],[Real Mercado]])^(tbl_Bonds[[#This Row],[DU]]/252),tbl_Bonds[[#This Row],[FC]]/(1+tbl_Bonds[[#This Row],[Real Simulada]])^(tbl_Bonds[[#This Row],[DU]]/252))</f>
        <v>1.1970747860051445E-2</v>
      </c>
      <c r="P220" s="7">
        <f>tbl_Bonds[[#This Row],[Cotação]]*VNA</f>
        <v>47.347950486803072</v>
      </c>
      <c r="Q220" s="18">
        <f>tbl_Bonds[[#This Row],[Cotação]]%%*VNA</f>
        <v>4.7347950486803072E-3</v>
      </c>
      <c r="R22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-7.0806971254363013E-2</v>
      </c>
      <c r="S22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-6.6908494812450328E-2</v>
      </c>
      <c r="T22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7.0840037433662531E-2</v>
      </c>
      <c r="U220" s="18">
        <f>IF(curve_type="Mercado",tbl_Bonds[[#This Row],[VP Cupom]]*LN(1+tbl_Bonds[[#This Row],[Real Mercado]])/252,tbl_Bonds[[#This Row],[VP Cupom]]*LN(1+tbl_Bonds[[#This Row],[Real Simulada]])/252)</f>
        <v>1.072814443664785E-2</v>
      </c>
      <c r="V220" s="18">
        <f>SUMIF(Dashboard!$B$28:$B$42,tbl_Bonds[[#This Row],[Bond]],Dashboard!$C$28:$C$42)</f>
        <v>12247</v>
      </c>
      <c r="W220" s="18">
        <f>tbl_Bonds[[#This Row],[Quantidade]]*tbl_Bonds[[#This Row],[𝛿P/𝛿VNA]]</f>
        <v>57.987034961187724</v>
      </c>
      <c r="X220" s="18">
        <f>+tbl_Bonds[[#This Row],[Quantidade]]*tbl_Bonds[[#This Row],[𝛿P/𝛿r_real]]</f>
        <v>-867.17297695218383</v>
      </c>
      <c r="Y220" s="18">
        <f>tbl_Bonds[[#This Row],[Quantidade]]*tbl_Bonds[[#This Row],[𝛿P/𝛿r_pre]]</f>
        <v>-819.42833596807918</v>
      </c>
      <c r="Z220" s="18">
        <f>tbl_Bonds[[#This Row],[Quantidade]]*tbl_Bonds[[#This Row],[𝛿P/𝛿r_implicita]]</f>
        <v>867.57793845006506</v>
      </c>
      <c r="AA220" s="18">
        <f>tbl_Bonds[[#This Row],[Quantidade]]*tbl_Bonds[[#This Row],[𝛿P/𝛿du]]</f>
        <v>131.38758491562621</v>
      </c>
    </row>
    <row r="221" spans="1:27">
      <c r="A221" s="2" t="s">
        <v>87</v>
      </c>
      <c r="B221" s="3">
        <v>55015</v>
      </c>
      <c r="C221" s="3">
        <v>50816</v>
      </c>
      <c r="D221" s="4">
        <f>NETWORKDAYS(Dashboard!$C$10,bonds!C221,feriados)-1</f>
        <v>4117</v>
      </c>
      <c r="E221" s="2">
        <f>IF(tbl_Bonds[[#This Row],[Coupon]]&lt;tbl_Bonds[[#This Row],[Maturity]],SQRT(1.06)-1,SQRT(1.06))</f>
        <v>2.9563014098699991E-2</v>
      </c>
      <c r="F221" s="5" cm="1">
        <f t="array" ref="F221">Svensson(betas_pre,tbl_Bonds[[#This Row],[DU]])</f>
        <v>0.12050874137297377</v>
      </c>
      <c r="G221" s="49">
        <f>IF(curve_type="Simulada",_xlfn.XLOOKUP(tbl_Bonds[[#This Row],[Coupon]],Simulador!$B$5:$B$147,Simulador!$H$5:$H$147),0)</f>
        <v>0</v>
      </c>
      <c r="H221" s="5" cm="1">
        <f t="array" ref="H22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0.12050874137297377</v>
      </c>
      <c r="I221" s="5" cm="1">
        <f t="array" ref="I221">Interpola_FF(tbl_Bonds[[#This Row],[DU]],dus_svensson,svensson_implicita)</f>
        <v>5.8299588626735677E-2</v>
      </c>
      <c r="J221" s="49">
        <f>IF(curve_type="Simulada",_xlfn.XLOOKUP(tbl_Bonds[[#This Row],[Coupon]],Simulador!$B$5:$B$147,Simulador!$N$5:$N$147),0)</f>
        <v>0</v>
      </c>
      <c r="K221" s="5" cm="1">
        <f t="array" ref="K22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5.8299588626735677E-2</v>
      </c>
      <c r="L221" s="5" cm="1">
        <f t="array" ref="L221">Interpola_FF(tbl_Bonds[[#This Row],[DU]],dus_svensson,svensson_real_spot)</f>
        <v>5.8782175441086881E-2</v>
      </c>
      <c r="M221" s="49">
        <f>IF(curve_type="Simulada",_xlfn.XLOOKUP(tbl_Bonds[[#This Row],[Coupon]],Simulador!$B$5:$B$147,Simulador!$K$5:$K$147),0)</f>
        <v>0</v>
      </c>
      <c r="N221" s="5" cm="1">
        <f t="array" ref="N22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5.8782175441086881E-2</v>
      </c>
      <c r="O221" s="6">
        <f>IF(curve_type="Mercado",tbl_Bonds[[#This Row],[FC]]/(1+tbl_Bonds[[#This Row],[Real Mercado]])^(tbl_Bonds[[#This Row],[DU]]/252),tbl_Bonds[[#This Row],[FC]]/(1+tbl_Bonds[[#This Row],[Real Simulada]])^(tbl_Bonds[[#This Row],[DU]]/252))</f>
        <v>1.1627208383587086E-2</v>
      </c>
      <c r="P221" s="7">
        <f>tbl_Bonds[[#This Row],[Cotação]]*VNA</f>
        <v>45.989147318274313</v>
      </c>
      <c r="Q221" s="18">
        <f>tbl_Bonds[[#This Row],[Cotação]]%%*VNA</f>
        <v>4.5989147318274319E-3</v>
      </c>
      <c r="R22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-7.096252533421081E-2</v>
      </c>
      <c r="S22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-6.7053342337054872E-2</v>
      </c>
      <c r="T22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7.09948837119357E-2</v>
      </c>
      <c r="U221" s="18">
        <f>IF(curve_type="Mercado",tbl_Bonds[[#This Row],[VP Cupom]]*LN(1+tbl_Bonds[[#This Row],[Real Mercado]])/252,tbl_Bonds[[#This Row],[VP Cupom]]*LN(1+tbl_Bonds[[#This Row],[Real Simulada]])/252)</f>
        <v>1.0424089297910959E-2</v>
      </c>
      <c r="V221" s="18">
        <f>SUMIF(Dashboard!$B$28:$B$42,tbl_Bonds[[#This Row],[Bond]],Dashboard!$C$28:$C$42)</f>
        <v>12247</v>
      </c>
      <c r="W221" s="18">
        <f>tbl_Bonds[[#This Row],[Quantidade]]*tbl_Bonds[[#This Row],[𝛿P/𝛿VNA]]</f>
        <v>56.322908720690556</v>
      </c>
      <c r="X221" s="18">
        <f>+tbl_Bonds[[#This Row],[Quantidade]]*tbl_Bonds[[#This Row],[𝛿P/𝛿r_real]]</f>
        <v>-869.07804776807984</v>
      </c>
      <c r="Y221" s="18">
        <f>tbl_Bonds[[#This Row],[Quantidade]]*tbl_Bonds[[#This Row],[𝛿P/𝛿r_pre]]</f>
        <v>-821.20228360191106</v>
      </c>
      <c r="Z221" s="18">
        <f>tbl_Bonds[[#This Row],[Quantidade]]*tbl_Bonds[[#This Row],[𝛿P/𝛿r_implicita]]</f>
        <v>869.47434082007646</v>
      </c>
      <c r="AA221" s="18">
        <f>tbl_Bonds[[#This Row],[Quantidade]]*tbl_Bonds[[#This Row],[𝛿P/𝛿du]]</f>
        <v>127.66382163151552</v>
      </c>
    </row>
    <row r="222" spans="1:27">
      <c r="A222" s="2" t="s">
        <v>87</v>
      </c>
      <c r="B222" s="3">
        <v>55015</v>
      </c>
      <c r="C222" s="3">
        <v>50997</v>
      </c>
      <c r="D222" s="4">
        <f>NETWORKDAYS(Dashboard!$C$10,bonds!C222,feriados)-1</f>
        <v>4241</v>
      </c>
      <c r="E222" s="2">
        <f>IF(tbl_Bonds[[#This Row],[Coupon]]&lt;tbl_Bonds[[#This Row],[Maturity]],SQRT(1.06)-1,SQRT(1.06))</f>
        <v>2.9563014098699991E-2</v>
      </c>
      <c r="F222" s="5" cm="1">
        <f t="array" ref="F222">Svensson(betas_pre,tbl_Bonds[[#This Row],[DU]])</f>
        <v>0.12056318553647621</v>
      </c>
      <c r="G222" s="49">
        <f>IF(curve_type="Simulada",_xlfn.XLOOKUP(tbl_Bonds[[#This Row],[Coupon]],Simulador!$B$5:$B$147,Simulador!$H$5:$H$147),0)</f>
        <v>0</v>
      </c>
      <c r="H222" s="5" cm="1">
        <f t="array" ref="H22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0.12056318553647621</v>
      </c>
      <c r="I222" s="5" cm="1">
        <f t="array" ref="I222">Interpola_FF(tbl_Bonds[[#This Row],[DU]],dus_svensson,svensson_implicita)</f>
        <v>5.8333783790841975E-2</v>
      </c>
      <c r="J222" s="49">
        <f>IF(curve_type="Simulada",_xlfn.XLOOKUP(tbl_Bonds[[#This Row],[Coupon]],Simulador!$B$5:$B$147,Simulador!$N$5:$N$147),0)</f>
        <v>0</v>
      </c>
      <c r="K222" s="5" cm="1">
        <f t="array" ref="K22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5.8333783790841975E-2</v>
      </c>
      <c r="L222" s="5" cm="1">
        <f t="array" ref="L222">Interpola_FF(tbl_Bonds[[#This Row],[DU]],dus_svensson,svensson_real_spot)</f>
        <v>5.8799409120790624E-2</v>
      </c>
      <c r="M222" s="49">
        <f>IF(curve_type="Simulada",_xlfn.XLOOKUP(tbl_Bonds[[#This Row],[Coupon]],Simulador!$B$5:$B$147,Simulador!$K$5:$K$147),0)</f>
        <v>0</v>
      </c>
      <c r="N222" s="5" cm="1">
        <f t="array" ref="N22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5.8799409120790624E-2</v>
      </c>
      <c r="O222" s="6">
        <f>IF(curve_type="Mercado",tbl_Bonds[[#This Row],[FC]]/(1+tbl_Bonds[[#This Row],[Real Mercado]])^(tbl_Bonds[[#This Row],[DU]]/252),tbl_Bonds[[#This Row],[FC]]/(1+tbl_Bonds[[#This Row],[Real Simulada]])^(tbl_Bonds[[#This Row],[DU]]/252))</f>
        <v>1.1301863508631512E-2</v>
      </c>
      <c r="P222" s="7">
        <f>tbl_Bonds[[#This Row],[Cotação]]*VNA</f>
        <v>44.702309335332671</v>
      </c>
      <c r="Q222" s="18">
        <f>tbl_Bonds[[#This Row],[Cotação]]%%*VNA</f>
        <v>4.4702309335332676E-3</v>
      </c>
      <c r="R22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-7.1053258739512348E-2</v>
      </c>
      <c r="S22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-6.7136908168725556E-2</v>
      </c>
      <c r="T22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7.1084518737696195E-2</v>
      </c>
      <c r="U222" s="18">
        <f>IF(curve_type="Mercado",tbl_Bonds[[#This Row],[VP Cupom]]*LN(1+tbl_Bonds[[#This Row],[Real Mercado]])/252,tbl_Bonds[[#This Row],[VP Cupom]]*LN(1+tbl_Bonds[[#This Row],[Real Simulada]])/252)</f>
        <v>1.0135296643253924E-2</v>
      </c>
      <c r="V222" s="18">
        <f>SUMIF(Dashboard!$B$28:$B$42,tbl_Bonds[[#This Row],[Bond]],Dashboard!$C$28:$C$42)</f>
        <v>12247</v>
      </c>
      <c r="W222" s="18">
        <f>tbl_Bonds[[#This Row],[Quantidade]]*tbl_Bonds[[#This Row],[𝛿P/𝛿VNA]]</f>
        <v>54.746918242981927</v>
      </c>
      <c r="X222" s="18">
        <f>+tbl_Bonds[[#This Row],[Quantidade]]*tbl_Bonds[[#This Row],[𝛿P/𝛿r_real]]</f>
        <v>-870.18925978280777</v>
      </c>
      <c r="Y222" s="18">
        <f>tbl_Bonds[[#This Row],[Quantidade]]*tbl_Bonds[[#This Row],[𝛿P/𝛿r_pre]]</f>
        <v>-822.22571434238193</v>
      </c>
      <c r="Z222" s="18">
        <f>tbl_Bonds[[#This Row],[Quantidade]]*tbl_Bonds[[#This Row],[𝛿P/𝛿r_implicita]]</f>
        <v>870.57210098056532</v>
      </c>
      <c r="AA222" s="18">
        <f>tbl_Bonds[[#This Row],[Quantidade]]*tbl_Bonds[[#This Row],[𝛿P/𝛿du]]</f>
        <v>124.12697798993081</v>
      </c>
    </row>
    <row r="223" spans="1:27">
      <c r="A223" s="2" t="s">
        <v>87</v>
      </c>
      <c r="B223" s="3">
        <v>55015</v>
      </c>
      <c r="C223" s="3">
        <v>51181</v>
      </c>
      <c r="D223" s="4">
        <f>NETWORKDAYS(Dashboard!$C$10,bonds!C223,feriados)-1</f>
        <v>4367</v>
      </c>
      <c r="E223" s="2">
        <f>IF(tbl_Bonds[[#This Row],[Coupon]]&lt;tbl_Bonds[[#This Row],[Maturity]],SQRT(1.06)-1,SQRT(1.06))</f>
        <v>2.9563014098699991E-2</v>
      </c>
      <c r="F223" s="5" cm="1">
        <f t="array" ref="F223">Svensson(betas_pre,tbl_Bonds[[#This Row],[DU]])</f>
        <v>0.12061533809566234</v>
      </c>
      <c r="G223" s="49">
        <f>IF(curve_type="Simulada",_xlfn.XLOOKUP(tbl_Bonds[[#This Row],[Coupon]],Simulador!$B$5:$B$147,Simulador!$H$5:$H$147),0)</f>
        <v>0</v>
      </c>
      <c r="H223" s="5" cm="1">
        <f t="array" ref="H22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0.12061533809566234</v>
      </c>
      <c r="I223" s="5" cm="1">
        <f t="array" ref="I223">Interpola_FF(tbl_Bonds[[#This Row],[DU]],dus_svensson,svensson_implicita)</f>
        <v>5.8369365588984978E-2</v>
      </c>
      <c r="J223" s="49">
        <f>IF(curve_type="Simulada",_xlfn.XLOOKUP(tbl_Bonds[[#This Row],[Coupon]],Simulador!$B$5:$B$147,Simulador!$N$5:$N$147),0)</f>
        <v>0</v>
      </c>
      <c r="K223" s="5" cm="1">
        <f t="array" ref="K22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5.8369365588984978E-2</v>
      </c>
      <c r="L223" s="5" cm="1">
        <f t="array" ref="L223">Interpola_FF(tbl_Bonds[[#This Row],[DU]],dus_svensson,svensson_real_spot)</f>
        <v>5.8813089255010942E-2</v>
      </c>
      <c r="M223" s="49">
        <f>IF(curve_type="Simulada",_xlfn.XLOOKUP(tbl_Bonds[[#This Row],[Coupon]],Simulador!$B$5:$B$147,Simulador!$K$5:$K$147),0)</f>
        <v>0</v>
      </c>
      <c r="N223" s="5" cm="1">
        <f t="array" ref="N22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5.8813089255010942E-2</v>
      </c>
      <c r="O223" s="6">
        <f>IF(curve_type="Mercado",tbl_Bonds[[#This Row],[FC]]/(1+tbl_Bonds[[#This Row],[Real Mercado]])^(tbl_Bonds[[#This Row],[DU]]/252),tbl_Bonds[[#This Row],[FC]]/(1+tbl_Bonds[[#This Row],[Real Simulada]])^(tbl_Bonds[[#This Row],[DU]]/252))</f>
        <v>1.0981103220500979E-2</v>
      </c>
      <c r="P223" s="7">
        <f>tbl_Bonds[[#This Row],[Cotação]]*VNA</f>
        <v>43.433604788374488</v>
      </c>
      <c r="Q223" s="18">
        <f>tbl_Bonds[[#This Row],[Cotação]]%%*VNA</f>
        <v>4.343360478837449E-3</v>
      </c>
      <c r="R22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-7.1086842590904309E-2</v>
      </c>
      <c r="S22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-6.7166382805658842E-2</v>
      </c>
      <c r="T22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7.1116645307037429E-2</v>
      </c>
      <c r="U223" s="18">
        <f>IF(curve_type="Mercado",tbl_Bonds[[#This Row],[VP Cupom]]*LN(1+tbl_Bonds[[#This Row],[Real Mercado]])/252,tbl_Bonds[[#This Row],[VP Cupom]]*LN(1+tbl_Bonds[[#This Row],[Real Simulada]])/252)</f>
        <v>9.8498717982934744E-3</v>
      </c>
      <c r="V223" s="18">
        <f>SUMIF(Dashboard!$B$28:$B$42,tbl_Bonds[[#This Row],[Bond]],Dashboard!$C$28:$C$42)</f>
        <v>12247</v>
      </c>
      <c r="W223" s="18">
        <f>tbl_Bonds[[#This Row],[Quantidade]]*tbl_Bonds[[#This Row],[𝛿P/𝛿VNA]]</f>
        <v>53.193135784322237</v>
      </c>
      <c r="X223" s="18">
        <f>+tbl_Bonds[[#This Row],[Quantidade]]*tbl_Bonds[[#This Row],[𝛿P/𝛿r_real]]</f>
        <v>-870.60056121080504</v>
      </c>
      <c r="Y223" s="18">
        <f>tbl_Bonds[[#This Row],[Quantidade]]*tbl_Bonds[[#This Row],[𝛿P/𝛿r_pre]]</f>
        <v>-822.58669022090385</v>
      </c>
      <c r="Z223" s="18">
        <f>tbl_Bonds[[#This Row],[Quantidade]]*tbl_Bonds[[#This Row],[𝛿P/𝛿r_implicita]]</f>
        <v>870.9655550752874</v>
      </c>
      <c r="AA223" s="18">
        <f>tbl_Bonds[[#This Row],[Quantidade]]*tbl_Bonds[[#This Row],[𝛿P/𝛿du]]</f>
        <v>120.63137991370019</v>
      </c>
    </row>
    <row r="224" spans="1:27">
      <c r="A224" s="2" t="s">
        <v>87</v>
      </c>
      <c r="B224" s="3">
        <v>55015</v>
      </c>
      <c r="C224" s="3">
        <v>51363</v>
      </c>
      <c r="D224" s="4">
        <f>NETWORKDAYS(Dashboard!$C$10,bonds!C224,feriados)-1</f>
        <v>4494</v>
      </c>
      <c r="E224" s="2">
        <f>IF(tbl_Bonds[[#This Row],[Coupon]]&lt;tbl_Bonds[[#This Row],[Maturity]],SQRT(1.06)-1,SQRT(1.06))</f>
        <v>2.9563014098699991E-2</v>
      </c>
      <c r="F224" s="5" cm="1">
        <f t="array" ref="F224">Svensson(betas_pre,tbl_Bonds[[#This Row],[DU]])</f>
        <v>0.12066494275144943</v>
      </c>
      <c r="G224" s="49">
        <f>IF(curve_type="Simulada",_xlfn.XLOOKUP(tbl_Bonds[[#This Row],[Coupon]],Simulador!$B$5:$B$147,Simulador!$H$5:$H$147),0)</f>
        <v>0</v>
      </c>
      <c r="H224" s="5" cm="1">
        <f t="array" ref="H22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0.12066494275144943</v>
      </c>
      <c r="I224" s="5" cm="1">
        <f t="array" ref="I224">Interpola_FF(tbl_Bonds[[#This Row],[DU]],dus_svensson,svensson_implicita)</f>
        <v>5.8405778317638379E-2</v>
      </c>
      <c r="J224" s="49">
        <f>IF(curve_type="Simulada",_xlfn.XLOOKUP(tbl_Bonds[[#This Row],[Coupon]],Simulador!$B$5:$B$147,Simulador!$N$5:$N$147),0)</f>
        <v>0</v>
      </c>
      <c r="K224" s="5" cm="1">
        <f t="array" ref="K22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5.8405778317638379E-2</v>
      </c>
      <c r="L224" s="5" cm="1">
        <f t="array" ref="L224">Interpola_FF(tbl_Bonds[[#This Row],[DU]],dus_svensson,svensson_real_spot)</f>
        <v>5.8823529904745264E-2</v>
      </c>
      <c r="M224" s="49">
        <f>IF(curve_type="Simulada",_xlfn.XLOOKUP(tbl_Bonds[[#This Row],[Coupon]],Simulador!$B$5:$B$147,Simulador!$K$5:$K$147),0)</f>
        <v>0</v>
      </c>
      <c r="N224" s="5" cm="1">
        <f t="array" ref="N22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5.8823529904745264E-2</v>
      </c>
      <c r="O224" s="6">
        <f>IF(curve_type="Mercado",tbl_Bonds[[#This Row],[FC]]/(1+tbl_Bonds[[#This Row],[Real Mercado]])^(tbl_Bonds[[#This Row],[DU]]/252),tbl_Bonds[[#This Row],[FC]]/(1+tbl_Bonds[[#This Row],[Real Simulada]])^(tbl_Bonds[[#This Row],[DU]]/252))</f>
        <v>1.0667470825881421E-2</v>
      </c>
      <c r="P224" s="7">
        <f>tbl_Bonds[[#This Row],[Cotação]]*VNA</f>
        <v>42.193093229271234</v>
      </c>
      <c r="Q224" s="18">
        <f>tbl_Bonds[[#This Row],[Cotação]]%%*VNA</f>
        <v>4.2193093229271235E-3</v>
      </c>
      <c r="R22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-7.1064107915102301E-2</v>
      </c>
      <c r="S22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-6.7142591996157686E-2</v>
      </c>
      <c r="T22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7.109215629487653E-2</v>
      </c>
      <c r="U224" s="18">
        <f>IF(curve_type="Mercado",tbl_Bonds[[#This Row],[VP Cupom]]*LN(1+tbl_Bonds[[#This Row],[Real Mercado]])/252,tbl_Bonds[[#This Row],[VP Cupom]]*LN(1+tbl_Bonds[[#This Row],[Real Simulada]])/252)</f>
        <v>9.5701996175834025E-3</v>
      </c>
      <c r="V224" s="18">
        <f>SUMIF(Dashboard!$B$28:$B$42,tbl_Bonds[[#This Row],[Bond]],Dashboard!$C$28:$C$42)</f>
        <v>12247</v>
      </c>
      <c r="W224" s="18">
        <f>tbl_Bonds[[#This Row],[Quantidade]]*tbl_Bonds[[#This Row],[𝛿P/𝛿VNA]]</f>
        <v>51.673881277888484</v>
      </c>
      <c r="X224" s="18">
        <f>+tbl_Bonds[[#This Row],[Quantidade]]*tbl_Bonds[[#This Row],[𝛿P/𝛿r_real]]</f>
        <v>-870.32212963625784</v>
      </c>
      <c r="Y224" s="18">
        <f>tbl_Bonds[[#This Row],[Quantidade]]*tbl_Bonds[[#This Row],[𝛿P/𝛿r_pre]]</f>
        <v>-822.29532417694315</v>
      </c>
      <c r="Z224" s="18">
        <f>tbl_Bonds[[#This Row],[Quantidade]]*tbl_Bonds[[#This Row],[𝛿P/𝛿r_implicita]]</f>
        <v>870.66563814335291</v>
      </c>
      <c r="AA224" s="18">
        <f>tbl_Bonds[[#This Row],[Quantidade]]*tbl_Bonds[[#This Row],[𝛿P/𝛿du]]</f>
        <v>117.20623471654393</v>
      </c>
    </row>
    <row r="225" spans="1:27">
      <c r="A225" s="2" t="s">
        <v>87</v>
      </c>
      <c r="B225" s="3">
        <v>55015</v>
      </c>
      <c r="C225" s="3">
        <v>51547</v>
      </c>
      <c r="D225" s="4">
        <f>NETWORKDAYS(Dashboard!$C$10,bonds!C225,feriados)-1</f>
        <v>4620</v>
      </c>
      <c r="E225" s="2">
        <f>IF(tbl_Bonds[[#This Row],[Coupon]]&lt;tbl_Bonds[[#This Row],[Maturity]],SQRT(1.06)-1,SQRT(1.06))</f>
        <v>2.9563014098699991E-2</v>
      </c>
      <c r="F225" s="5" cm="1">
        <f t="array" ref="F225">Svensson(betas_pre,tbl_Bonds[[#This Row],[DU]])</f>
        <v>0.12071145956042587</v>
      </c>
      <c r="G225" s="49">
        <f>IF(curve_type="Simulada",_xlfn.XLOOKUP(tbl_Bonds[[#This Row],[Coupon]],Simulador!$B$5:$B$147,Simulador!$H$5:$H$147),0)</f>
        <v>0</v>
      </c>
      <c r="H225" s="5" cm="1">
        <f t="array" ref="H22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0.12071145956042587</v>
      </c>
      <c r="I225" s="5" cm="1">
        <f t="array" ref="I225">Interpola_FF(tbl_Bonds[[#This Row],[DU]],dus_svensson,svensson_implicita)</f>
        <v>5.8442186408470986E-2</v>
      </c>
      <c r="J225" s="49">
        <f>IF(curve_type="Simulada",_xlfn.XLOOKUP(tbl_Bonds[[#This Row],[Coupon]],Simulador!$B$5:$B$147,Simulador!$N$5:$N$147),0)</f>
        <v>0</v>
      </c>
      <c r="K225" s="5" cm="1">
        <f t="array" ref="K22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5.8442186408470986E-2</v>
      </c>
      <c r="L225" s="5" cm="1">
        <f t="array" ref="L225">Interpola_FF(tbl_Bonds[[#This Row],[DU]],dus_svensson,svensson_real_spot)</f>
        <v>5.8831057113176932E-2</v>
      </c>
      <c r="M225" s="49">
        <f>IF(curve_type="Simulada",_xlfn.XLOOKUP(tbl_Bonds[[#This Row],[Coupon]],Simulador!$B$5:$B$147,Simulador!$K$5:$K$147),0)</f>
        <v>0</v>
      </c>
      <c r="N225" s="5" cm="1">
        <f t="array" ref="N22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5.8831057113176932E-2</v>
      </c>
      <c r="O225" s="6">
        <f>IF(curve_type="Mercado",tbl_Bonds[[#This Row],[FC]]/(1+tbl_Bonds[[#This Row],[Real Mercado]])^(tbl_Bonds[[#This Row],[DU]]/252),tbl_Bonds[[#This Row],[FC]]/(1+tbl_Bonds[[#This Row],[Real Simulada]])^(tbl_Bonds[[#This Row],[DU]]/252))</f>
        <v>1.0365567151199743E-2</v>
      </c>
      <c r="P225" s="7">
        <f>tbl_Bonds[[#This Row],[Cotação]]*VNA</f>
        <v>40.998972326573472</v>
      </c>
      <c r="Q225" s="18">
        <f>tbl_Bonds[[#This Row],[Cotação]]%%*VNA</f>
        <v>4.0998972326573473E-3</v>
      </c>
      <c r="R22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-7.0988456651100831E-2</v>
      </c>
      <c r="S22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-6.7068808323392362E-2</v>
      </c>
      <c r="T22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7.1014537243775488E-2</v>
      </c>
      <c r="U225" s="18">
        <f>IF(curve_type="Mercado",tbl_Bonds[[#This Row],[VP Cupom]]*LN(1+tbl_Bonds[[#This Row],[Real Mercado]])/252,tbl_Bonds[[#This Row],[VP Cupom]]*LN(1+tbl_Bonds[[#This Row],[Real Simulada]])/252)</f>
        <v>9.3005067787278323E-3</v>
      </c>
      <c r="V225" s="18">
        <f>SUMIF(Dashboard!$B$28:$B$42,tbl_Bonds[[#This Row],[Bond]],Dashboard!$C$28:$C$42)</f>
        <v>12247</v>
      </c>
      <c r="W225" s="18">
        <f>tbl_Bonds[[#This Row],[Quantidade]]*tbl_Bonds[[#This Row],[𝛿P/𝛿VNA]]</f>
        <v>50.211441408354531</v>
      </c>
      <c r="X225" s="18">
        <f>+tbl_Bonds[[#This Row],[Quantidade]]*tbl_Bonds[[#This Row],[𝛿P/𝛿r_real]]</f>
        <v>-869.39562860603189</v>
      </c>
      <c r="Y225" s="18">
        <f>tbl_Bonds[[#This Row],[Quantidade]]*tbl_Bonds[[#This Row],[𝛿P/𝛿r_pre]]</f>
        <v>-821.39169553658621</v>
      </c>
      <c r="Z225" s="18">
        <f>tbl_Bonds[[#This Row],[Quantidade]]*tbl_Bonds[[#This Row],[𝛿P/𝛿r_implicita]]</f>
        <v>869.71503762451846</v>
      </c>
      <c r="AA225" s="18">
        <f>tbl_Bonds[[#This Row],[Quantidade]]*tbl_Bonds[[#This Row],[𝛿P/𝛿du]]</f>
        <v>113.90330651907976</v>
      </c>
    </row>
    <row r="226" spans="1:27">
      <c r="A226" s="2" t="s">
        <v>87</v>
      </c>
      <c r="B226" s="3">
        <v>55015</v>
      </c>
      <c r="C226" s="3">
        <v>51728</v>
      </c>
      <c r="D226" s="4">
        <f>NETWORKDAYS(Dashboard!$C$10,bonds!C226,feriados)-1</f>
        <v>4744</v>
      </c>
      <c r="E226" s="2">
        <f>IF(tbl_Bonds[[#This Row],[Coupon]]&lt;tbl_Bonds[[#This Row],[Maturity]],SQRT(1.06)-1,SQRT(1.06))</f>
        <v>2.9563014098699991E-2</v>
      </c>
      <c r="F226" s="5" cm="1">
        <f t="array" ref="F226">Svensson(betas_pre,tbl_Bonds[[#This Row],[DU]])</f>
        <v>0.12075482363669565</v>
      </c>
      <c r="G226" s="49">
        <f>IF(curve_type="Simulada",_xlfn.XLOOKUP(tbl_Bonds[[#This Row],[Coupon]],Simulador!$B$5:$B$147,Simulador!$H$5:$H$147),0)</f>
        <v>0</v>
      </c>
      <c r="H226" s="5" cm="1">
        <f t="array" ref="H22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0.12075482363669565</v>
      </c>
      <c r="I226" s="5" cm="1">
        <f t="array" ref="I226">Interpola_FF(tbl_Bonds[[#This Row],[DU]],dus_svensson,svensson_implicita)</f>
        <v>5.8478069407634115E-2</v>
      </c>
      <c r="J226" s="49">
        <f>IF(curve_type="Simulada",_xlfn.XLOOKUP(tbl_Bonds[[#This Row],[Coupon]],Simulador!$B$5:$B$147,Simulador!$N$5:$N$147),0)</f>
        <v>0</v>
      </c>
      <c r="K226" s="5" cm="1">
        <f t="array" ref="K22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5.8478069407634115E-2</v>
      </c>
      <c r="L226" s="5" cm="1">
        <f t="array" ref="L226">Interpola_FF(tbl_Bonds[[#This Row],[DU]],dus_svensson,svensson_real_spot)</f>
        <v>5.8836130507560425E-2</v>
      </c>
      <c r="M226" s="49">
        <f>IF(curve_type="Simulada",_xlfn.XLOOKUP(tbl_Bonds[[#This Row],[Coupon]],Simulador!$B$5:$B$147,Simulador!$K$5:$K$147),0)</f>
        <v>0</v>
      </c>
      <c r="N226" s="5" cm="1">
        <f t="array" ref="N22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5.8836130507560425E-2</v>
      </c>
      <c r="O226" s="6">
        <f>IF(curve_type="Mercado",tbl_Bonds[[#This Row],[FC]]/(1+tbl_Bonds[[#This Row],[Real Mercado]])^(tbl_Bonds[[#This Row],[DU]]/252),tbl_Bonds[[#This Row],[FC]]/(1+tbl_Bonds[[#This Row],[Real Simulada]])^(tbl_Bonds[[#This Row],[DU]]/252))</f>
        <v>1.007714706697211E-2</v>
      </c>
      <c r="P226" s="7">
        <f>tbl_Bonds[[#This Row],[Cotação]]*VNA</f>
        <v>39.85818312717997</v>
      </c>
      <c r="Q226" s="18">
        <f>tbl_Bonds[[#This Row],[Cotação]]%%*VNA</f>
        <v>3.9858183127179968E-3</v>
      </c>
      <c r="R22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-7.0865178519060879E-2</v>
      </c>
      <c r="S22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-6.69500673356416E-2</v>
      </c>
      <c r="T22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7.0889150260065578E-2</v>
      </c>
      <c r="U226" s="18">
        <f>IF(curve_type="Mercado",tbl_Bonds[[#This Row],[VP Cupom]]*LN(1+tbl_Bonds[[#This Row],[Real Mercado]])/252,tbl_Bonds[[#This Row],[VP Cupom]]*LN(1+tbl_Bonds[[#This Row],[Real Simulada]])/252)</f>
        <v>9.0424796702315638E-3</v>
      </c>
      <c r="V226" s="18">
        <f>SUMIF(Dashboard!$B$28:$B$42,tbl_Bonds[[#This Row],[Bond]],Dashboard!$C$28:$C$42)</f>
        <v>12247</v>
      </c>
      <c r="W226" s="18">
        <f>tbl_Bonds[[#This Row],[Quantidade]]*tbl_Bonds[[#This Row],[𝛿P/𝛿VNA]]</f>
        <v>48.814316875857308</v>
      </c>
      <c r="X226" s="18">
        <f>+tbl_Bonds[[#This Row],[Quantidade]]*tbl_Bonds[[#This Row],[𝛿P/𝛿r_real]]</f>
        <v>-867.88584132293863</v>
      </c>
      <c r="Y226" s="18">
        <f>tbl_Bonds[[#This Row],[Quantidade]]*tbl_Bonds[[#This Row],[𝛿P/𝛿r_pre]]</f>
        <v>-819.93747465960269</v>
      </c>
      <c r="Z226" s="18">
        <f>tbl_Bonds[[#This Row],[Quantidade]]*tbl_Bonds[[#This Row],[𝛿P/𝛿r_implicita]]</f>
        <v>868.17942323502314</v>
      </c>
      <c r="AA226" s="18">
        <f>tbl_Bonds[[#This Row],[Quantidade]]*tbl_Bonds[[#This Row],[𝛿P/𝛿du]]</f>
        <v>110.74324852132597</v>
      </c>
    </row>
    <row r="227" spans="1:27">
      <c r="A227" s="2" t="s">
        <v>87</v>
      </c>
      <c r="B227" s="3">
        <v>55015</v>
      </c>
      <c r="C227" s="3">
        <v>51916</v>
      </c>
      <c r="D227" s="4">
        <f>NETWORKDAYS(Dashboard!$C$10,bonds!C227,feriados)-1</f>
        <v>4873</v>
      </c>
      <c r="E227" s="2">
        <f>IF(tbl_Bonds[[#This Row],[Coupon]]&lt;tbl_Bonds[[#This Row],[Maturity]],SQRT(1.06)-1,SQRT(1.06))</f>
        <v>2.9563014098699991E-2</v>
      </c>
      <c r="F227" s="5" cm="1">
        <f t="array" ref="F227">Svensson(betas_pre,tbl_Bonds[[#This Row],[DU]])</f>
        <v>0.12079759224187531</v>
      </c>
      <c r="G227" s="49">
        <f>IF(curve_type="Simulada",_xlfn.XLOOKUP(tbl_Bonds[[#This Row],[Coupon]],Simulador!$B$5:$B$147,Simulador!$H$5:$H$147),0)</f>
        <v>0</v>
      </c>
      <c r="H227" s="5" cm="1">
        <f t="array" ref="H22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0.12079759224187531</v>
      </c>
      <c r="I227" s="5" cm="1">
        <f t="array" ref="I227">Interpola_FF(tbl_Bonds[[#This Row],[DU]],dus_svensson,svensson_implicita)</f>
        <v>5.8515239987320333E-2</v>
      </c>
      <c r="J227" s="49">
        <f>IF(curve_type="Simulada",_xlfn.XLOOKUP(tbl_Bonds[[#This Row],[Coupon]],Simulador!$B$5:$B$147,Simulador!$N$5:$N$147),0)</f>
        <v>0</v>
      </c>
      <c r="K227" s="5" cm="1">
        <f t="array" ref="K22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5.8515239987320333E-2</v>
      </c>
      <c r="L227" s="5" cm="1">
        <f t="array" ref="L227">Interpola_FF(tbl_Bonds[[#This Row],[DU]],dus_svensson,svensson_real_spot)</f>
        <v>5.8839353044422005E-2</v>
      </c>
      <c r="M227" s="49">
        <f>IF(curve_type="Simulada",_xlfn.XLOOKUP(tbl_Bonds[[#This Row],[Coupon]],Simulador!$B$5:$B$147,Simulador!$K$5:$K$147),0)</f>
        <v>0</v>
      </c>
      <c r="N227" s="5" cm="1">
        <f t="array" ref="N22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5.8839353044422005E-2</v>
      </c>
      <c r="O227" s="6">
        <f>IF(curve_type="Mercado",tbl_Bonds[[#This Row],[FC]]/(1+tbl_Bonds[[#This Row],[Real Mercado]])^(tbl_Bonds[[#This Row],[DU]]/252),tbl_Bonds[[#This Row],[FC]]/(1+tbl_Bonds[[#This Row],[Real Simulada]])^(tbl_Bonds[[#This Row],[DU]]/252))</f>
        <v>9.7859294611468053E-3</v>
      </c>
      <c r="P227" s="7">
        <f>tbl_Bonds[[#This Row],[Cotação]]*VNA</f>
        <v>38.706328878581452</v>
      </c>
      <c r="Q227" s="18">
        <f>tbl_Bonds[[#This Row],[Cotação]]%%*VNA</f>
        <v>3.8706328878581452E-3</v>
      </c>
      <c r="R22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-7.0688339332152614E-2</v>
      </c>
      <c r="S22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-6.678065295417504E-2</v>
      </c>
      <c r="T22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7.0709983391714054E-2</v>
      </c>
      <c r="U227" s="18">
        <f>IF(curve_type="Mercado",tbl_Bonds[[#This Row],[VP Cupom]]*LN(1+tbl_Bonds[[#This Row],[Real Mercado]])/252,tbl_Bonds[[#This Row],[VP Cupom]]*LN(1+tbl_Bonds[[#This Row],[Real Simulada]])/252)</f>
        <v>8.7816301916692416E-3</v>
      </c>
      <c r="V227" s="18">
        <f>SUMIF(Dashboard!$B$28:$B$42,tbl_Bonds[[#This Row],[Bond]],Dashboard!$C$28:$C$42)</f>
        <v>12247</v>
      </c>
      <c r="W227" s="18">
        <f>tbl_Bonds[[#This Row],[Quantidade]]*tbl_Bonds[[#This Row],[𝛿P/𝛿VNA]]</f>
        <v>47.403640977598705</v>
      </c>
      <c r="X227" s="18">
        <f>+tbl_Bonds[[#This Row],[Quantidade]]*tbl_Bonds[[#This Row],[𝛿P/𝛿r_real]]</f>
        <v>-865.72009180087309</v>
      </c>
      <c r="Y227" s="18">
        <f>tbl_Bonds[[#This Row],[Quantidade]]*tbl_Bonds[[#This Row],[𝛿P/𝛿r_pre]]</f>
        <v>-817.86265672978175</v>
      </c>
      <c r="Z227" s="18">
        <f>tbl_Bonds[[#This Row],[Quantidade]]*tbl_Bonds[[#This Row],[𝛿P/𝛿r_implicita]]</f>
        <v>865.98516659832205</v>
      </c>
      <c r="AA227" s="18">
        <f>tbl_Bonds[[#This Row],[Quantidade]]*tbl_Bonds[[#This Row],[𝛿P/𝛿du]]</f>
        <v>107.54862495737321</v>
      </c>
    </row>
    <row r="228" spans="1:27">
      <c r="A228" s="2" t="s">
        <v>87</v>
      </c>
      <c r="B228" s="3">
        <v>55015</v>
      </c>
      <c r="C228" s="3">
        <v>52093</v>
      </c>
      <c r="D228" s="4">
        <f>NETWORKDAYS(Dashboard!$C$10,bonds!C228,feriados)-1</f>
        <v>4996</v>
      </c>
      <c r="E228" s="2">
        <f>IF(tbl_Bonds[[#This Row],[Coupon]]&lt;tbl_Bonds[[#This Row],[Maturity]],SQRT(1.06)-1,SQRT(1.06))</f>
        <v>2.9563014098699991E-2</v>
      </c>
      <c r="F228" s="5" cm="1">
        <f t="array" ref="F228">Svensson(betas_pre,tbl_Bonds[[#This Row],[DU]])</f>
        <v>0.12083631311140945</v>
      </c>
      <c r="G228" s="49">
        <f>IF(curve_type="Simulada",_xlfn.XLOOKUP(tbl_Bonds[[#This Row],[Coupon]],Simulador!$B$5:$B$147,Simulador!$H$5:$H$147),0)</f>
        <v>0</v>
      </c>
      <c r="H228" s="5" cm="1">
        <f t="array" ref="H22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0.12083631311140945</v>
      </c>
      <c r="I228" s="5" cm="1">
        <f t="array" ref="I228">Interpola_FF(tbl_Bonds[[#This Row],[DU]],dus_svensson,svensson_implicita)</f>
        <v>5.8550394858682964E-2</v>
      </c>
      <c r="J228" s="49">
        <f>IF(curve_type="Simulada",_xlfn.XLOOKUP(tbl_Bonds[[#This Row],[Coupon]],Simulador!$B$5:$B$147,Simulador!$N$5:$N$147),0)</f>
        <v>0</v>
      </c>
      <c r="K228" s="5" cm="1">
        <f t="array" ref="K22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5.8550394858682964E-2</v>
      </c>
      <c r="L228" s="5" cm="1">
        <f t="array" ref="L228">Interpola_FF(tbl_Bonds[[#This Row],[DU]],dus_svensson,svensson_real_spot)</f>
        <v>5.8840767743566058E-2</v>
      </c>
      <c r="M228" s="49">
        <f>IF(curve_type="Simulada",_xlfn.XLOOKUP(tbl_Bonds[[#This Row],[Coupon]],Simulador!$B$5:$B$147,Simulador!$K$5:$K$147),0)</f>
        <v>0</v>
      </c>
      <c r="N228" s="5" cm="1">
        <f t="array" ref="N22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5.8840767743566058E-2</v>
      </c>
      <c r="O228" s="6">
        <f>IF(curve_type="Mercado",tbl_Bonds[[#This Row],[FC]]/(1+tbl_Bonds[[#This Row],[Real Mercado]])^(tbl_Bonds[[#This Row],[DU]]/252),tbl_Bonds[[#This Row],[FC]]/(1+tbl_Bonds[[#This Row],[Real Simulada]])^(tbl_Bonds[[#This Row],[DU]]/252))</f>
        <v>9.516365991920862E-3</v>
      </c>
      <c r="P228" s="7">
        <f>tbl_Bonds[[#This Row],[Cotação]]*VNA</f>
        <v>37.640123329590303</v>
      </c>
      <c r="Q228" s="18">
        <f>tbl_Bonds[[#This Row],[Cotação]]%%*VNA</f>
        <v>3.7640123329590299E-3</v>
      </c>
      <c r="R22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-7.0476166417000816E-2</v>
      </c>
      <c r="S22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-6.6577997925323998E-2</v>
      </c>
      <c r="T22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7.0495498458456859E-2</v>
      </c>
      <c r="U228" s="18">
        <f>IF(curve_type="Mercado",tbl_Bonds[[#This Row],[VP Cupom]]*LN(1+tbl_Bonds[[#This Row],[Real Mercado]])/252,tbl_Bonds[[#This Row],[VP Cupom]]*LN(1+tbl_Bonds[[#This Row],[Real Simulada]])/252)</f>
        <v>8.5399307413522516E-3</v>
      </c>
      <c r="V228" s="18">
        <f>SUMIF(Dashboard!$B$28:$B$42,tbl_Bonds[[#This Row],[Bond]],Dashboard!$C$28:$C$42)</f>
        <v>12247</v>
      </c>
      <c r="W228" s="18">
        <f>tbl_Bonds[[#This Row],[Quantidade]]*tbl_Bonds[[#This Row],[𝛿P/𝛿VNA]]</f>
        <v>46.097859041749238</v>
      </c>
      <c r="X228" s="18">
        <f>+tbl_Bonds[[#This Row],[Quantidade]]*tbl_Bonds[[#This Row],[𝛿P/𝛿r_real]]</f>
        <v>-863.121610109009</v>
      </c>
      <c r="Y228" s="18">
        <f>tbl_Bonds[[#This Row],[Quantidade]]*tbl_Bonds[[#This Row],[𝛿P/𝛿r_pre]]</f>
        <v>-815.38074059144299</v>
      </c>
      <c r="Z228" s="18">
        <f>tbl_Bonds[[#This Row],[Quantidade]]*tbl_Bonds[[#This Row],[𝛿P/𝛿r_implicita]]</f>
        <v>863.35836962072119</v>
      </c>
      <c r="AA228" s="18">
        <f>tbl_Bonds[[#This Row],[Quantidade]]*tbl_Bonds[[#This Row],[𝛿P/𝛿du]]</f>
        <v>104.58853178934102</v>
      </c>
    </row>
    <row r="229" spans="1:27">
      <c r="A229" s="2" t="s">
        <v>87</v>
      </c>
      <c r="B229" s="3">
        <v>55015</v>
      </c>
      <c r="C229" s="3">
        <v>52278</v>
      </c>
      <c r="D229" s="4">
        <f>NETWORKDAYS(Dashboard!$C$10,bonds!C229,feriados)-1</f>
        <v>5123</v>
      </c>
      <c r="E229" s="2">
        <f>IF(tbl_Bonds[[#This Row],[Coupon]]&lt;tbl_Bonds[[#This Row],[Maturity]],SQRT(1.06)-1,SQRT(1.06))</f>
        <v>2.9563014098699991E-2</v>
      </c>
      <c r="F229" s="5" cm="1">
        <f t="array" ref="F229">Svensson(betas_pre,tbl_Bonds[[#This Row],[DU]])</f>
        <v>0.12087434073037971</v>
      </c>
      <c r="G229" s="49">
        <f>IF(curve_type="Simulada",_xlfn.XLOOKUP(tbl_Bonds[[#This Row],[Coupon]],Simulador!$B$5:$B$147,Simulador!$H$5:$H$147),0)</f>
        <v>0</v>
      </c>
      <c r="H229" s="5" cm="1">
        <f t="array" ref="H22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0.12087434073037971</v>
      </c>
      <c r="I229" s="5" cm="1">
        <f t="array" ref="I229">Interpola_FF(tbl_Bonds[[#This Row],[DU]],dus_svensson,svensson_implicita)</f>
        <v>5.8586246244419105E-2</v>
      </c>
      <c r="J229" s="49">
        <f>IF(curve_type="Simulada",_xlfn.XLOOKUP(tbl_Bonds[[#This Row],[Coupon]],Simulador!$B$5:$B$147,Simulador!$N$5:$N$147),0)</f>
        <v>0</v>
      </c>
      <c r="K229" s="5" cm="1">
        <f t="array" ref="K22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5.8586246244419105E-2</v>
      </c>
      <c r="L229" s="5" cm="1">
        <f t="array" ref="L229">Interpola_FF(tbl_Bonds[[#This Row],[DU]],dus_svensson,svensson_real_spot)</f>
        <v>5.8840830793824406E-2</v>
      </c>
      <c r="M229" s="49">
        <f>IF(curve_type="Simulada",_xlfn.XLOOKUP(tbl_Bonds[[#This Row],[Coupon]],Simulador!$B$5:$B$147,Simulador!$K$5:$K$147),0)</f>
        <v>0</v>
      </c>
      <c r="N229" s="5" cm="1">
        <f t="array" ref="N22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5.8840830793824406E-2</v>
      </c>
      <c r="O229" s="6">
        <f>IF(curve_type="Mercado",tbl_Bonds[[#This Row],[FC]]/(1+tbl_Bonds[[#This Row],[Real Mercado]])^(tbl_Bonds[[#This Row],[DU]]/252),tbl_Bonds[[#This Row],[FC]]/(1+tbl_Bonds[[#This Row],[Real Simulada]])^(tbl_Bonds[[#This Row],[DU]]/252))</f>
        <v>9.246060888783823E-3</v>
      </c>
      <c r="P229" s="7">
        <f>tbl_Bonds[[#This Row],[Cotação]]*VNA</f>
        <v>36.570984392801456</v>
      </c>
      <c r="Q229" s="18">
        <f>tbl_Bonds[[#This Row],[Cotação]]%%*VNA</f>
        <v>3.6570984392801454E-3</v>
      </c>
      <c r="R22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-7.0214981460021669E-2</v>
      </c>
      <c r="S22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-6.6329013173575133E-2</v>
      </c>
      <c r="T22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7.0231867432615086E-2</v>
      </c>
      <c r="U229" s="18">
        <f>IF(curve_type="Mercado",tbl_Bonds[[#This Row],[VP Cupom]]*LN(1+tbl_Bonds[[#This Row],[Real Mercado]])/252,tbl_Bonds[[#This Row],[VP Cupom]]*LN(1+tbl_Bonds[[#This Row],[Real Simulada]])/252)</f>
        <v>8.2973691768321971E-3</v>
      </c>
      <c r="V229" s="18">
        <f>SUMIF(Dashboard!$B$28:$B$42,tbl_Bonds[[#This Row],[Bond]],Dashboard!$C$28:$C$42)</f>
        <v>12247</v>
      </c>
      <c r="W229" s="18">
        <f>tbl_Bonds[[#This Row],[Quantidade]]*tbl_Bonds[[#This Row],[𝛿P/𝛿VNA]]</f>
        <v>44.788484585863941</v>
      </c>
      <c r="X229" s="18">
        <f>+tbl_Bonds[[#This Row],[Quantidade]]*tbl_Bonds[[#This Row],[𝛿P/𝛿r_real]]</f>
        <v>-859.92287794088543</v>
      </c>
      <c r="Y229" s="18">
        <f>tbl_Bonds[[#This Row],[Quantidade]]*tbl_Bonds[[#This Row],[𝛿P/𝛿r_pre]]</f>
        <v>-812.3314243367746</v>
      </c>
      <c r="Z229" s="18">
        <f>tbl_Bonds[[#This Row],[Quantidade]]*tbl_Bonds[[#This Row],[𝛿P/𝛿r_implicita]]</f>
        <v>860.12968044723698</v>
      </c>
      <c r="AA229" s="18">
        <f>tbl_Bonds[[#This Row],[Quantidade]]*tbl_Bonds[[#This Row],[𝛿P/𝛿du]]</f>
        <v>101.61788030866391</v>
      </c>
    </row>
    <row r="230" spans="1:27">
      <c r="A230" s="2" t="s">
        <v>87</v>
      </c>
      <c r="B230" s="3">
        <v>55015</v>
      </c>
      <c r="C230" s="3">
        <v>52460</v>
      </c>
      <c r="D230" s="4">
        <f>NETWORKDAYS(Dashboard!$C$10,bonds!C230,feriados)-1</f>
        <v>5249</v>
      </c>
      <c r="E230" s="2">
        <f>IF(tbl_Bonds[[#This Row],[Coupon]]&lt;tbl_Bonds[[#This Row],[Maturity]],SQRT(1.06)-1,SQRT(1.06))</f>
        <v>2.9563014098699991E-2</v>
      </c>
      <c r="F230" s="5" cm="1">
        <f t="array" ref="F230">Svensson(betas_pre,tbl_Bonds[[#This Row],[DU]])</f>
        <v>0.1209102491076101</v>
      </c>
      <c r="G230" s="49">
        <f>IF(curve_type="Simulada",_xlfn.XLOOKUP(tbl_Bonds[[#This Row],[Coupon]],Simulador!$B$5:$B$147,Simulador!$H$5:$H$147),0)</f>
        <v>0</v>
      </c>
      <c r="H230" s="5" cm="1">
        <f t="array" ref="H23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0.1209102491076101</v>
      </c>
      <c r="I230" s="5" cm="1">
        <f t="array" ref="I230">Interpola_FF(tbl_Bonds[[#This Row],[DU]],dus_svensson,svensson_implicita)</f>
        <v>5.862126756361441E-2</v>
      </c>
      <c r="J230" s="49">
        <f>IF(curve_type="Simulada",_xlfn.XLOOKUP(tbl_Bonds[[#This Row],[Coupon]],Simulador!$B$5:$B$147,Simulador!$N$5:$N$147),0)</f>
        <v>0</v>
      </c>
      <c r="K230" s="5" cm="1">
        <f t="array" ref="K23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5.862126756361441E-2</v>
      </c>
      <c r="L230" s="5" cm="1">
        <f t="array" ref="L230">Interpola_FF(tbl_Bonds[[#This Row],[DU]],dus_svensson,svensson_real_spot)</f>
        <v>5.8839722183360088E-2</v>
      </c>
      <c r="M230" s="49">
        <f>IF(curve_type="Simulada",_xlfn.XLOOKUP(tbl_Bonds[[#This Row],[Coupon]],Simulador!$B$5:$B$147,Simulador!$K$5:$K$147),0)</f>
        <v>0</v>
      </c>
      <c r="N230" s="5" cm="1">
        <f t="array" ref="N23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5.8839722183360088E-2</v>
      </c>
      <c r="O230" s="6">
        <f>IF(curve_type="Mercado",tbl_Bonds[[#This Row],[FC]]/(1+tbl_Bonds[[#This Row],[Real Mercado]])^(tbl_Bonds[[#This Row],[DU]]/252),tbl_Bonds[[#This Row],[FC]]/(1+tbl_Bonds[[#This Row],[Real Simulada]])^(tbl_Bonds[[#This Row],[DU]]/252))</f>
        <v>8.9856785927266408E-3</v>
      </c>
      <c r="P230" s="7">
        <f>tbl_Bonds[[#This Row],[Cotação]]*VNA</f>
        <v>35.54109317752507</v>
      </c>
      <c r="Q230" s="18">
        <f>tbl_Bonds[[#This Row],[Cotação]]%%*VNA</f>
        <v>3.5541093177525072E-3</v>
      </c>
      <c r="R23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-6.9916002356606249E-2</v>
      </c>
      <c r="S23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-6.6044395800969158E-2</v>
      </c>
      <c r="T23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6.9930429718083623E-2</v>
      </c>
      <c r="U230" s="18">
        <f>IF(curve_type="Mercado",tbl_Bonds[[#This Row],[VP Cupom]]*LN(1+tbl_Bonds[[#This Row],[Real Mercado]])/252,tbl_Bonds[[#This Row],[VP Cupom]]*LN(1+tbl_Bonds[[#This Row],[Real Simulada]])/252)</f>
        <v>8.0635557305624404E-3</v>
      </c>
      <c r="V230" s="18">
        <f>SUMIF(Dashboard!$B$28:$B$42,tbl_Bonds[[#This Row],[Bond]],Dashboard!$C$28:$C$42)</f>
        <v>12247</v>
      </c>
      <c r="W230" s="18">
        <f>tbl_Bonds[[#This Row],[Quantidade]]*tbl_Bonds[[#This Row],[𝛿P/𝛿VNA]]</f>
        <v>43.527176814514952</v>
      </c>
      <c r="X230" s="18">
        <f>+tbl_Bonds[[#This Row],[Quantidade]]*tbl_Bonds[[#This Row],[𝛿P/𝛿r_real]]</f>
        <v>-856.26128086135668</v>
      </c>
      <c r="Y230" s="18">
        <f>tbl_Bonds[[#This Row],[Quantidade]]*tbl_Bonds[[#This Row],[𝛿P/𝛿r_pre]]</f>
        <v>-808.84571537446925</v>
      </c>
      <c r="Z230" s="18">
        <f>tbl_Bonds[[#This Row],[Quantidade]]*tbl_Bonds[[#This Row],[𝛿P/𝛿r_implicita]]</f>
        <v>856.43797275737018</v>
      </c>
      <c r="AA230" s="18">
        <f>tbl_Bonds[[#This Row],[Quantidade]]*tbl_Bonds[[#This Row],[𝛿P/𝛿du]]</f>
        <v>98.754367032198203</v>
      </c>
    </row>
    <row r="231" spans="1:27">
      <c r="A231" s="2" t="s">
        <v>87</v>
      </c>
      <c r="B231" s="3">
        <v>55015</v>
      </c>
      <c r="C231" s="3">
        <v>52642</v>
      </c>
      <c r="D231" s="4">
        <f>NETWORKDAYS(Dashboard!$C$10,bonds!C231,feriados)-1</f>
        <v>5374</v>
      </c>
      <c r="E231" s="2">
        <f>IF(tbl_Bonds[[#This Row],[Coupon]]&lt;tbl_Bonds[[#This Row],[Maturity]],SQRT(1.06)-1,SQRT(1.06))</f>
        <v>2.9563014098699991E-2</v>
      </c>
      <c r="F231" s="5" cm="1">
        <f t="array" ref="F231">Svensson(betas_pre,tbl_Bonds[[#This Row],[DU]])</f>
        <v>0.12094420747324264</v>
      </c>
      <c r="G231" s="49">
        <f>IF(curve_type="Simulada",_xlfn.XLOOKUP(tbl_Bonds[[#This Row],[Coupon]],Simulador!$B$5:$B$147,Simulador!$H$5:$H$147),0)</f>
        <v>0</v>
      </c>
      <c r="H231" s="5" cm="1">
        <f t="array" ref="H23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0.12094420747324264</v>
      </c>
      <c r="I231" s="5" cm="1">
        <f t="array" ref="I231">Interpola_FF(tbl_Bonds[[#This Row],[DU]],dus_svensson,svensson_implicita)</f>
        <v>5.8655385857119935E-2</v>
      </c>
      <c r="J231" s="49">
        <f>IF(curve_type="Simulada",_xlfn.XLOOKUP(tbl_Bonds[[#This Row],[Coupon]],Simulador!$B$5:$B$147,Simulador!$N$5:$N$147),0)</f>
        <v>0</v>
      </c>
      <c r="K231" s="5" cm="1">
        <f t="array" ref="K23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5.8655385857119935E-2</v>
      </c>
      <c r="L231" s="5" cm="1">
        <f t="array" ref="L231">Interpola_FF(tbl_Bonds[[#This Row],[DU]],dus_svensson,svensson_real_spot)</f>
        <v>5.8837674852689537E-2</v>
      </c>
      <c r="M231" s="49">
        <f>IF(curve_type="Simulada",_xlfn.XLOOKUP(tbl_Bonds[[#This Row],[Coupon]],Simulador!$B$5:$B$147,Simulador!$K$5:$K$147),0)</f>
        <v>0</v>
      </c>
      <c r="N231" s="5" cm="1">
        <f t="array" ref="N23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5.8837674852689537E-2</v>
      </c>
      <c r="O231" s="6">
        <f>IF(curve_type="Mercado",tbl_Bonds[[#This Row],[FC]]/(1+tbl_Bonds[[#This Row],[Real Mercado]])^(tbl_Bonds[[#This Row],[DU]]/252),tbl_Bonds[[#This Row],[FC]]/(1+tbl_Bonds[[#This Row],[Real Simulada]])^(tbl_Bonds[[#This Row],[DU]]/252))</f>
        <v>8.7347847651829021E-3</v>
      </c>
      <c r="P231" s="7">
        <f>tbl_Bonds[[#This Row],[Cotação]]*VNA</f>
        <v>34.548731742561692</v>
      </c>
      <c r="Q231" s="18">
        <f>tbl_Bonds[[#This Row],[Cotação]]%%*VNA</f>
        <v>3.4548731742561692E-3</v>
      </c>
      <c r="R23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-6.9582470639497601E-2</v>
      </c>
      <c r="S23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-6.5727215138823181E-2</v>
      </c>
      <c r="T23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6.9594451667159538E-2</v>
      </c>
      <c r="U231" s="18">
        <f>IF(curve_type="Mercado",tbl_Bonds[[#This Row],[VP Cupom]]*LN(1+tbl_Bonds[[#This Row],[Real Mercado]])/252,tbl_Bonds[[#This Row],[VP Cupom]]*LN(1+tbl_Bonds[[#This Row],[Real Simulada]])/252)</f>
        <v>7.8381438895087311E-3</v>
      </c>
      <c r="V231" s="18">
        <f>SUMIF(Dashboard!$B$28:$B$42,tbl_Bonds[[#This Row],[Bond]],Dashboard!$C$28:$C$42)</f>
        <v>12247</v>
      </c>
      <c r="W231" s="18">
        <f>tbl_Bonds[[#This Row],[Quantidade]]*tbl_Bonds[[#This Row],[𝛿P/𝛿VNA]]</f>
        <v>42.311831765115301</v>
      </c>
      <c r="X231" s="18">
        <f>+tbl_Bonds[[#This Row],[Quantidade]]*tbl_Bonds[[#This Row],[𝛿P/𝛿r_real]]</f>
        <v>-852.17651792192714</v>
      </c>
      <c r="Y231" s="18">
        <f>tbl_Bonds[[#This Row],[Quantidade]]*tbl_Bonds[[#This Row],[𝛿P/𝛿r_pre]]</f>
        <v>-804.96120380516754</v>
      </c>
      <c r="Z231" s="18">
        <f>tbl_Bonds[[#This Row],[Quantidade]]*tbl_Bonds[[#This Row],[𝛿P/𝛿r_implicita]]</f>
        <v>852.32324956770287</v>
      </c>
      <c r="AA231" s="18">
        <f>tbl_Bonds[[#This Row],[Quantidade]]*tbl_Bonds[[#This Row],[𝛿P/𝛿du]]</f>
        <v>95.993748214813436</v>
      </c>
    </row>
    <row r="232" spans="1:27">
      <c r="A232" s="2" t="s">
        <v>87</v>
      </c>
      <c r="B232" s="3">
        <v>55015</v>
      </c>
      <c r="C232" s="3">
        <v>52824</v>
      </c>
      <c r="D232" s="4">
        <f>NETWORKDAYS(Dashboard!$C$10,bonds!C232,feriados)-1</f>
        <v>5499</v>
      </c>
      <c r="E232" s="2">
        <f>IF(tbl_Bonds[[#This Row],[Coupon]]&lt;tbl_Bonds[[#This Row],[Maturity]],SQRT(1.06)-1,SQRT(1.06))</f>
        <v>2.9563014098699991E-2</v>
      </c>
      <c r="F232" s="5" cm="1">
        <f t="array" ref="F232">Svensson(betas_pre,tbl_Bonds[[#This Row],[DU]])</f>
        <v>0.12097662092087627</v>
      </c>
      <c r="G232" s="49">
        <f>IF(curve_type="Simulada",_xlfn.XLOOKUP(tbl_Bonds[[#This Row],[Coupon]],Simulador!$B$5:$B$147,Simulador!$H$5:$H$147),0)</f>
        <v>0</v>
      </c>
      <c r="H232" s="5" cm="1">
        <f t="array" ref="H23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0.12097662092087627</v>
      </c>
      <c r="I232" s="5" cm="1">
        <f t="array" ref="I232">Interpola_FF(tbl_Bonds[[#This Row],[DU]],dus_svensson,svensson_implicita)</f>
        <v>5.8688814240932752E-2</v>
      </c>
      <c r="J232" s="49">
        <f>IF(curve_type="Simulada",_xlfn.XLOOKUP(tbl_Bonds[[#This Row],[Coupon]],Simulador!$B$5:$B$147,Simulador!$N$5:$N$147),0)</f>
        <v>0</v>
      </c>
      <c r="K232" s="5" cm="1">
        <f t="array" ref="K23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5.8688814240932752E-2</v>
      </c>
      <c r="L232" s="5" cm="1">
        <f t="array" ref="L232">Interpola_FF(tbl_Bonds[[#This Row],[DU]],dus_svensson,svensson_real_spot)</f>
        <v>5.8834858382543764E-2</v>
      </c>
      <c r="M232" s="49">
        <f>IF(curve_type="Simulada",_xlfn.XLOOKUP(tbl_Bonds[[#This Row],[Coupon]],Simulador!$B$5:$B$147,Simulador!$K$5:$K$147),0)</f>
        <v>0</v>
      </c>
      <c r="N232" s="5" cm="1">
        <f t="array" ref="N23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5.8834858382543764E-2</v>
      </c>
      <c r="O232" s="6">
        <f>IF(curve_type="Mercado",tbl_Bonds[[#This Row],[FC]]/(1+tbl_Bonds[[#This Row],[Real Mercado]])^(tbl_Bonds[[#This Row],[DU]]/252),tbl_Bonds[[#This Row],[FC]]/(1+tbl_Bonds[[#This Row],[Real Simulada]])^(tbl_Bonds[[#This Row],[DU]]/252))</f>
        <v>8.4910471549135922E-3</v>
      </c>
      <c r="P232" s="7">
        <f>tbl_Bonds[[#This Row],[Cotação]]*VNA</f>
        <v>33.584675324556628</v>
      </c>
      <c r="Q232" s="18">
        <f>tbl_Bonds[[#This Row],[Cotação]]%%*VNA</f>
        <v>3.3584675324556629E-3</v>
      </c>
      <c r="R23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-6.9214343283800078E-2</v>
      </c>
      <c r="S23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-6.537741972776405E-2</v>
      </c>
      <c r="T23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6.9223890972627627E-2</v>
      </c>
      <c r="U232" s="18">
        <f>IF(curve_type="Mercado",tbl_Bonds[[#This Row],[VP Cupom]]*LN(1+tbl_Bonds[[#This Row],[Real Mercado]])/252,tbl_Bonds[[#This Row],[VP Cupom]]*LN(1+tbl_Bonds[[#This Row],[Real Simulada]])/252)</f>
        <v>7.619071869037054E-3</v>
      </c>
      <c r="V232" s="18">
        <f>SUMIF(Dashboard!$B$28:$B$42,tbl_Bonds[[#This Row],[Bond]],Dashboard!$C$28:$C$42)</f>
        <v>12247</v>
      </c>
      <c r="W232" s="18">
        <f>tbl_Bonds[[#This Row],[Quantidade]]*tbl_Bonds[[#This Row],[𝛿P/𝛿VNA]]</f>
        <v>41.1311518699845</v>
      </c>
      <c r="X232" s="18">
        <f>+tbl_Bonds[[#This Row],[Quantidade]]*tbl_Bonds[[#This Row],[𝛿P/𝛿r_real]]</f>
        <v>-847.66806219669957</v>
      </c>
      <c r="Y232" s="18">
        <f>tbl_Bonds[[#This Row],[Quantidade]]*tbl_Bonds[[#This Row],[𝛿P/𝛿r_pre]]</f>
        <v>-800.67725940592629</v>
      </c>
      <c r="Z232" s="18">
        <f>tbl_Bonds[[#This Row],[Quantidade]]*tbl_Bonds[[#This Row],[𝛿P/𝛿r_implicita]]</f>
        <v>847.78499274177057</v>
      </c>
      <c r="AA232" s="18">
        <f>tbl_Bonds[[#This Row],[Quantidade]]*tbl_Bonds[[#This Row],[𝛿P/𝛿du]]</f>
        <v>93.310773180096803</v>
      </c>
    </row>
    <row r="233" spans="1:27">
      <c r="A233" s="2" t="s">
        <v>87</v>
      </c>
      <c r="B233" s="3">
        <v>55015</v>
      </c>
      <c r="C233" s="3">
        <v>53008</v>
      </c>
      <c r="D233" s="4">
        <f>NETWORKDAYS(Dashboard!$C$10,bonds!C233,feriados)-1</f>
        <v>5627</v>
      </c>
      <c r="E233" s="2">
        <f>IF(tbl_Bonds[[#This Row],[Coupon]]&lt;tbl_Bonds[[#This Row],[Maturity]],SQRT(1.06)-1,SQRT(1.06))</f>
        <v>2.9563014098699991E-2</v>
      </c>
      <c r="F233" s="5" cm="1">
        <f t="array" ref="F233">Svensson(betas_pre,tbl_Bonds[[#This Row],[DU]])</f>
        <v>0.12100831893192408</v>
      </c>
      <c r="G233" s="49">
        <f>IF(curve_type="Simulada",_xlfn.XLOOKUP(tbl_Bonds[[#This Row],[Coupon]],Simulador!$B$5:$B$147,Simulador!$H$5:$H$147),0)</f>
        <v>0</v>
      </c>
      <c r="H233" s="5" cm="1">
        <f t="array" ref="H23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0.12100831893192408</v>
      </c>
      <c r="I233" s="5" cm="1">
        <f t="array" ref="I233">Interpola_FF(tbl_Bonds[[#This Row],[DU]],dus_svensson,svensson_implicita)</f>
        <v>5.8722275893555054E-2</v>
      </c>
      <c r="J233" s="49">
        <f>IF(curve_type="Simulada",_xlfn.XLOOKUP(tbl_Bonds[[#This Row],[Coupon]],Simulador!$B$5:$B$147,Simulador!$N$5:$N$147),0)</f>
        <v>0</v>
      </c>
      <c r="K233" s="5" cm="1">
        <f t="array" ref="K23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5.8722275893555054E-2</v>
      </c>
      <c r="L233" s="5" cm="1">
        <f t="array" ref="L233">Interpola_FF(tbl_Bonds[[#This Row],[DU]],dus_svensson,svensson_real_spot)</f>
        <v>5.8831333067622671E-2</v>
      </c>
      <c r="M233" s="49">
        <f>IF(curve_type="Simulada",_xlfn.XLOOKUP(tbl_Bonds[[#This Row],[Coupon]],Simulador!$B$5:$B$147,Simulador!$K$5:$K$147),0)</f>
        <v>0</v>
      </c>
      <c r="N233" s="5" cm="1">
        <f t="array" ref="N23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5.8831333067622671E-2</v>
      </c>
      <c r="O233" s="6">
        <f>IF(curve_type="Mercado",tbl_Bonds[[#This Row],[FC]]/(1+tbl_Bonds[[#This Row],[Real Mercado]])^(tbl_Bonds[[#This Row],[DU]]/252),tbl_Bonds[[#This Row],[FC]]/(1+tbl_Bonds[[#This Row],[Real Simulada]])^(tbl_Bonds[[#This Row],[DU]]/252))</f>
        <v>8.24864048327658E-3</v>
      </c>
      <c r="P233" s="7">
        <f>tbl_Bonds[[#This Row],[Cotação]]*VNA</f>
        <v>32.625883173847122</v>
      </c>
      <c r="Q233" s="18">
        <f>tbl_Bonds[[#This Row],[Cotação]]%%*VNA</f>
        <v>3.2625883173847121E-3</v>
      </c>
      <c r="R23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-6.8803711570841822E-2</v>
      </c>
      <c r="S23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-6.4987497526293042E-2</v>
      </c>
      <c r="T23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6.8810798650718943E-2</v>
      </c>
      <c r="U233" s="18">
        <f>IF(curve_type="Mercado",tbl_Bonds[[#This Row],[VP Cupom]]*LN(1+tbl_Bonds[[#This Row],[Real Mercado]])/252,tbl_Bonds[[#This Row],[VP Cupom]]*LN(1+tbl_Bonds[[#This Row],[Real Simulada]])/252)</f>
        <v>7.4011277306099106E-3</v>
      </c>
      <c r="V233" s="18">
        <f>SUMIF(Dashboard!$B$28:$B$42,tbl_Bonds[[#This Row],[Bond]],Dashboard!$C$28:$C$42)</f>
        <v>12247</v>
      </c>
      <c r="W233" s="18">
        <f>tbl_Bonds[[#This Row],[Quantidade]]*tbl_Bonds[[#This Row],[𝛿P/𝛿VNA]]</f>
        <v>39.956919123010572</v>
      </c>
      <c r="X233" s="18">
        <f>+tbl_Bonds[[#This Row],[Quantidade]]*tbl_Bonds[[#This Row],[𝛿P/𝛿r_real]]</f>
        <v>-842.63905560809974</v>
      </c>
      <c r="Y233" s="18">
        <f>tbl_Bonds[[#This Row],[Quantidade]]*tbl_Bonds[[#This Row],[𝛿P/𝛿r_pre]]</f>
        <v>-795.90188220451091</v>
      </c>
      <c r="Z233" s="18">
        <f>tbl_Bonds[[#This Row],[Quantidade]]*tbl_Bonds[[#This Row],[𝛿P/𝛿r_implicita]]</f>
        <v>842.72585107535485</v>
      </c>
      <c r="AA233" s="18">
        <f>tbl_Bonds[[#This Row],[Quantidade]]*tbl_Bonds[[#This Row],[𝛿P/𝛿du]]</f>
        <v>90.641611316779574</v>
      </c>
    </row>
    <row r="234" spans="1:27">
      <c r="A234" s="2" t="s">
        <v>87</v>
      </c>
      <c r="B234" s="3">
        <v>55015</v>
      </c>
      <c r="C234" s="3">
        <v>53189</v>
      </c>
      <c r="D234" s="4">
        <f>NETWORKDAYS(Dashboard!$C$10,bonds!C234,feriados)-1</f>
        <v>5750</v>
      </c>
      <c r="E234" s="2">
        <f>IF(tbl_Bonds[[#This Row],[Coupon]]&lt;tbl_Bonds[[#This Row],[Maturity]],SQRT(1.06)-1,SQRT(1.06))</f>
        <v>2.9563014098699991E-2</v>
      </c>
      <c r="F234" s="5" cm="1">
        <f t="array" ref="F234">Svensson(betas_pre,tbl_Bonds[[#This Row],[DU]])</f>
        <v>0.12103744821679596</v>
      </c>
      <c r="G234" s="49">
        <f>IF(curve_type="Simulada",_xlfn.XLOOKUP(tbl_Bonds[[#This Row],[Coupon]],Simulador!$B$5:$B$147,Simulador!$H$5:$H$147),0)</f>
        <v>0</v>
      </c>
      <c r="H234" s="5" cm="1">
        <f t="array" ref="H23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0.12103744821679596</v>
      </c>
      <c r="I234" s="5" cm="1">
        <f t="array" ref="I234">Interpola_FF(tbl_Bonds[[#This Row],[DU]],dus_svensson,svensson_implicita)</f>
        <v>5.8753667551804112E-2</v>
      </c>
      <c r="J234" s="49">
        <f>IF(curve_type="Simulada",_xlfn.XLOOKUP(tbl_Bonds[[#This Row],[Coupon]],Simulador!$B$5:$B$147,Simulador!$N$5:$N$147),0)</f>
        <v>0</v>
      </c>
      <c r="K234" s="5" cm="1">
        <f t="array" ref="K23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5.8753667551804112E-2</v>
      </c>
      <c r="L234" s="5" cm="1">
        <f t="array" ref="L234">Interpola_FF(tbl_Bonds[[#This Row],[DU]],dus_svensson,svensson_real_spot)</f>
        <v>5.8827451923642471E-2</v>
      </c>
      <c r="M234" s="49">
        <f>IF(curve_type="Simulada",_xlfn.XLOOKUP(tbl_Bonds[[#This Row],[Coupon]],Simulador!$B$5:$B$147,Simulador!$K$5:$K$147),0)</f>
        <v>0</v>
      </c>
      <c r="N234" s="5" cm="1">
        <f t="array" ref="N23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5.8827451923642471E-2</v>
      </c>
      <c r="O234" s="6">
        <f>IF(curve_type="Mercado",tbl_Bonds[[#This Row],[FC]]/(1+tbl_Bonds[[#This Row],[Real Mercado]])^(tbl_Bonds[[#This Row],[DU]]/252),tbl_Bonds[[#This Row],[FC]]/(1+tbl_Bonds[[#This Row],[Real Simulada]])^(tbl_Bonds[[#This Row],[DU]]/252))</f>
        <v>8.0223362900856358E-3</v>
      </c>
      <c r="P234" s="7">
        <f>tbl_Bonds[[#This Row],[Cotação]]*VNA</f>
        <v>31.730781225378323</v>
      </c>
      <c r="Q234" s="18">
        <f>tbl_Bonds[[#This Row],[Cotação]]%%*VNA</f>
        <v>3.1730781225378321E-3</v>
      </c>
      <c r="R23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-6.8379020598371976E-2</v>
      </c>
      <c r="S23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-6.4584447186104163E-2</v>
      </c>
      <c r="T23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6.8383785659434385E-2</v>
      </c>
      <c r="U234" s="18">
        <f>IF(curve_type="Mercado",tbl_Bonds[[#This Row],[VP Cupom]]*LN(1+tbl_Bonds[[#This Row],[Real Mercado]])/252,tbl_Bonds[[#This Row],[VP Cupom]]*LN(1+tbl_Bonds[[#This Row],[Real Simulada]])/252)</f>
        <v>7.1976137865339008E-3</v>
      </c>
      <c r="V234" s="18">
        <f>SUMIF(Dashboard!$B$28:$B$42,tbl_Bonds[[#This Row],[Bond]],Dashboard!$C$28:$C$42)</f>
        <v>12247</v>
      </c>
      <c r="W234" s="18">
        <f>tbl_Bonds[[#This Row],[Quantidade]]*tbl_Bonds[[#This Row],[𝛿P/𝛿VNA]]</f>
        <v>38.860687766720829</v>
      </c>
      <c r="X234" s="18">
        <f>+tbl_Bonds[[#This Row],[Quantidade]]*tbl_Bonds[[#This Row],[𝛿P/𝛿r_real]]</f>
        <v>-837.43786526826159</v>
      </c>
      <c r="Y234" s="18">
        <f>tbl_Bonds[[#This Row],[Quantidade]]*tbl_Bonds[[#This Row],[𝛿P/𝛿r_pre]]</f>
        <v>-790.96572468821773</v>
      </c>
      <c r="Z234" s="18">
        <f>tbl_Bonds[[#This Row],[Quantidade]]*tbl_Bonds[[#This Row],[𝛿P/𝛿r_implicita]]</f>
        <v>837.49622297109295</v>
      </c>
      <c r="AA234" s="18">
        <f>tbl_Bonds[[#This Row],[Quantidade]]*tbl_Bonds[[#This Row],[𝛿P/𝛿du]]</f>
        <v>88.149176043680683</v>
      </c>
    </row>
    <row r="235" spans="1:27">
      <c r="A235" s="2" t="s">
        <v>87</v>
      </c>
      <c r="B235" s="3">
        <v>55015</v>
      </c>
      <c r="C235" s="3">
        <v>53373</v>
      </c>
      <c r="D235" s="4">
        <f>NETWORKDAYS(Dashboard!$C$10,bonds!C235,feriados)-1</f>
        <v>5874</v>
      </c>
      <c r="E235" s="2">
        <f>IF(tbl_Bonds[[#This Row],[Coupon]]&lt;tbl_Bonds[[#This Row],[Maturity]],SQRT(1.06)-1,SQRT(1.06))</f>
        <v>2.9563014098699991E-2</v>
      </c>
      <c r="F235" s="5" cm="1">
        <f t="array" ref="F235">Svensson(betas_pre,tbl_Bonds[[#This Row],[DU]])</f>
        <v>0.12106557868345603</v>
      </c>
      <c r="G235" s="49">
        <f>IF(curve_type="Simulada",_xlfn.XLOOKUP(tbl_Bonds[[#This Row],[Coupon]],Simulador!$B$5:$B$147,Simulador!$H$5:$H$147),0)</f>
        <v>0</v>
      </c>
      <c r="H235" s="5" cm="1">
        <f t="array" ref="H23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0.12106557868345603</v>
      </c>
      <c r="I235" s="5" cm="1">
        <f t="array" ref="I235">Interpola_FF(tbl_Bonds[[#This Row],[DU]],dus_svensson,svensson_implicita)</f>
        <v>5.8784528716759432E-2</v>
      </c>
      <c r="J235" s="49">
        <f>IF(curve_type="Simulada",_xlfn.XLOOKUP(tbl_Bonds[[#This Row],[Coupon]],Simulador!$B$5:$B$147,Simulador!$N$5:$N$147),0)</f>
        <v>0</v>
      </c>
      <c r="K235" s="5" cm="1">
        <f t="array" ref="K23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5.8784528716759432E-2</v>
      </c>
      <c r="L235" s="5" cm="1">
        <f t="array" ref="L235">Interpola_FF(tbl_Bonds[[#This Row],[DU]],dus_svensson,svensson_real_spot)</f>
        <v>5.8823158160998368E-2</v>
      </c>
      <c r="M235" s="49">
        <f>IF(curve_type="Simulada",_xlfn.XLOOKUP(tbl_Bonds[[#This Row],[Coupon]],Simulador!$B$5:$B$147,Simulador!$K$5:$K$147),0)</f>
        <v>0</v>
      </c>
      <c r="N235" s="5" cm="1">
        <f t="array" ref="N23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5.8823158160998368E-2</v>
      </c>
      <c r="O235" s="6">
        <f>IF(curve_type="Mercado",tbl_Bonds[[#This Row],[FC]]/(1+tbl_Bonds[[#This Row],[Real Mercado]])^(tbl_Bonds[[#This Row],[DU]]/252),tbl_Bonds[[#This Row],[FC]]/(1+tbl_Bonds[[#This Row],[Real Simulada]])^(tbl_Bonds[[#This Row],[DU]]/252))</f>
        <v>7.8005701013010654E-3</v>
      </c>
      <c r="P235" s="7">
        <f>tbl_Bonds[[#This Row],[Cotação]]*VNA</f>
        <v>30.853628465252129</v>
      </c>
      <c r="Q235" s="18">
        <f>tbl_Bonds[[#This Row],[Cotação]]%%*VNA</f>
        <v>3.0853628465252127E-3</v>
      </c>
      <c r="R23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-6.7922899284720895E-2</v>
      </c>
      <c r="S23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-6.4151767601335424E-2</v>
      </c>
      <c r="T23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6.7925377183894367E-2</v>
      </c>
      <c r="U235" s="18">
        <f>IF(curve_type="Mercado",tbl_Bonds[[#This Row],[VP Cupom]]*LN(1+tbl_Bonds[[#This Row],[Real Mercado]])/252,tbl_Bonds[[#This Row],[VP Cupom]]*LN(1+tbl_Bonds[[#This Row],[Real Simulada]])/252)</f>
        <v>6.9981493896952053E-3</v>
      </c>
      <c r="V235" s="18">
        <f>SUMIF(Dashboard!$B$28:$B$42,tbl_Bonds[[#This Row],[Bond]],Dashboard!$C$28:$C$42)</f>
        <v>12247</v>
      </c>
      <c r="W235" s="18">
        <f>tbl_Bonds[[#This Row],[Quantidade]]*tbl_Bonds[[#This Row],[𝛿P/𝛿VNA]]</f>
        <v>37.786438781394281</v>
      </c>
      <c r="X235" s="18">
        <f>+tbl_Bonds[[#This Row],[Quantidade]]*tbl_Bonds[[#This Row],[𝛿P/𝛿r_real]]</f>
        <v>-831.85174753997683</v>
      </c>
      <c r="Y235" s="18">
        <f>tbl_Bonds[[#This Row],[Quantidade]]*tbl_Bonds[[#This Row],[𝛿P/𝛿r_pre]]</f>
        <v>-785.66669781355495</v>
      </c>
      <c r="Z235" s="18">
        <f>tbl_Bonds[[#This Row],[Quantidade]]*tbl_Bonds[[#This Row],[𝛿P/𝛿r_implicita]]</f>
        <v>831.88209437115427</v>
      </c>
      <c r="AA235" s="18">
        <f>tbl_Bonds[[#This Row],[Quantidade]]*tbl_Bonds[[#This Row],[𝛿P/𝛿du]]</f>
        <v>85.70633557559718</v>
      </c>
    </row>
    <row r="236" spans="1:27">
      <c r="A236" s="2" t="s">
        <v>87</v>
      </c>
      <c r="B236" s="3">
        <v>55015</v>
      </c>
      <c r="C236" s="3">
        <v>53554</v>
      </c>
      <c r="D236" s="4">
        <f>NETWORKDAYS(Dashboard!$C$10,bonds!C236,feriados)-1</f>
        <v>6000</v>
      </c>
      <c r="E236" s="2">
        <f>IF(tbl_Bonds[[#This Row],[Coupon]]&lt;tbl_Bonds[[#This Row],[Maturity]],SQRT(1.06)-1,SQRT(1.06))</f>
        <v>2.9563014098699991E-2</v>
      </c>
      <c r="F236" s="5" cm="1">
        <f t="array" ref="F236">Svensson(betas_pre,tbl_Bonds[[#This Row],[DU]])</f>
        <v>0.12109297109923711</v>
      </c>
      <c r="G236" s="49">
        <f>IF(curve_type="Simulada",_xlfn.XLOOKUP(tbl_Bonds[[#This Row],[Coupon]],Simulador!$B$5:$B$147,Simulador!$H$5:$H$147),0)</f>
        <v>0</v>
      </c>
      <c r="H236" s="5" cm="1">
        <f t="array" ref="H23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0.12109297109923711</v>
      </c>
      <c r="I236" s="5" cm="1">
        <f t="array" ref="I236">Interpola_FF(tbl_Bonds[[#This Row],[DU]],dus_svensson,svensson_implicita)</f>
        <v>5.8815064940877626E-2</v>
      </c>
      <c r="J236" s="49">
        <f>IF(curve_type="Simulada",_xlfn.XLOOKUP(tbl_Bonds[[#This Row],[Coupon]],Simulador!$B$5:$B$147,Simulador!$N$5:$N$147),0)</f>
        <v>0</v>
      </c>
      <c r="K236" s="5" cm="1">
        <f t="array" ref="K23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5.8815064940877626E-2</v>
      </c>
      <c r="L236" s="5" cm="1">
        <f t="array" ref="L236">Interpola_FF(tbl_Bonds[[#This Row],[DU]],dus_svensson,svensson_real_spot)</f>
        <v>5.8818492538714739E-2</v>
      </c>
      <c r="M236" s="49">
        <f>IF(curve_type="Simulada",_xlfn.XLOOKUP(tbl_Bonds[[#This Row],[Coupon]],Simulador!$B$5:$B$147,Simulador!$K$5:$K$147),0)</f>
        <v>0</v>
      </c>
      <c r="N236" s="5" cm="1">
        <f t="array" ref="N23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5.8818492538714739E-2</v>
      </c>
      <c r="O236" s="6">
        <f>IF(curve_type="Mercado",tbl_Bonds[[#This Row],[FC]]/(1+tbl_Bonds[[#This Row],[Real Mercado]])^(tbl_Bonds[[#This Row],[DU]]/252),tbl_Bonds[[#This Row],[FC]]/(1+tbl_Bonds[[#This Row],[Real Simulada]])^(tbl_Bonds[[#This Row],[DU]]/252))</f>
        <v>7.58158821220427E-3</v>
      </c>
      <c r="P236" s="7">
        <f>tbl_Bonds[[#This Row],[Cotação]]*VNA</f>
        <v>29.987488457653878</v>
      </c>
      <c r="Q236" s="18">
        <f>tbl_Bonds[[#This Row],[Cotação]]%%*VNA</f>
        <v>2.9987488457653877E-3</v>
      </c>
      <c r="R23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-6.7432503819272321E-2</v>
      </c>
      <c r="S23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-6.3686762505973091E-2</v>
      </c>
      <c r="T23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6.7432721880944957E-2</v>
      </c>
      <c r="U236" s="18">
        <f>IF(curve_type="Mercado",tbl_Bonds[[#This Row],[VP Cupom]]*LN(1+tbl_Bonds[[#This Row],[Real Mercado]])/252,tbl_Bonds[[#This Row],[VP Cupom]]*LN(1+tbl_Bonds[[#This Row],[Real Simulada]])/252)</f>
        <v>6.8011691391225019E-3</v>
      </c>
      <c r="V236" s="18">
        <f>SUMIF(Dashboard!$B$28:$B$42,tbl_Bonds[[#This Row],[Bond]],Dashboard!$C$28:$C$42)</f>
        <v>12247</v>
      </c>
      <c r="W236" s="18">
        <f>tbl_Bonds[[#This Row],[Quantidade]]*tbl_Bonds[[#This Row],[𝛿P/𝛿VNA]]</f>
        <v>36.725677114088704</v>
      </c>
      <c r="X236" s="18">
        <f>+tbl_Bonds[[#This Row],[Quantidade]]*tbl_Bonds[[#This Row],[𝛿P/𝛿r_real]]</f>
        <v>-825.84587427462816</v>
      </c>
      <c r="Y236" s="18">
        <f>tbl_Bonds[[#This Row],[Quantidade]]*tbl_Bonds[[#This Row],[𝛿P/𝛿r_pre]]</f>
        <v>-779.9717804106524</v>
      </c>
      <c r="Z236" s="18">
        <f>tbl_Bonds[[#This Row],[Quantidade]]*tbl_Bonds[[#This Row],[𝛿P/𝛿r_implicita]]</f>
        <v>825.84854487593293</v>
      </c>
      <c r="AA236" s="18">
        <f>tbl_Bonds[[#This Row],[Quantidade]]*tbl_Bonds[[#This Row],[𝛿P/𝛿du]]</f>
        <v>83.293918446833274</v>
      </c>
    </row>
    <row r="237" spans="1:27">
      <c r="A237" s="2" t="s">
        <v>87</v>
      </c>
      <c r="B237" s="3">
        <v>55015</v>
      </c>
      <c r="C237" s="3">
        <v>53738</v>
      </c>
      <c r="D237" s="4">
        <f>NETWORKDAYS(Dashboard!$C$10,bonds!C237,feriados)-1</f>
        <v>6126</v>
      </c>
      <c r="E237" s="2">
        <f>IF(tbl_Bonds[[#This Row],[Coupon]]&lt;tbl_Bonds[[#This Row],[Maturity]],SQRT(1.06)-1,SQRT(1.06))</f>
        <v>2.9563014098699991E-2</v>
      </c>
      <c r="F237" s="5" cm="1">
        <f t="array" ref="F237">Svensson(betas_pre,tbl_Bonds[[#This Row],[DU]])</f>
        <v>0.12111923599210093</v>
      </c>
      <c r="G237" s="49">
        <f>IF(curve_type="Simulada",_xlfn.XLOOKUP(tbl_Bonds[[#This Row],[Coupon]],Simulador!$B$5:$B$147,Simulador!$H$5:$H$147),0)</f>
        <v>0</v>
      </c>
      <c r="H237" s="5" cm="1">
        <f t="array" ref="H23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0.12111923599210093</v>
      </c>
      <c r="I237" s="5" cm="1">
        <f t="array" ref="I237">Interpola_FF(tbl_Bonds[[#This Row],[DU]],dus_svensson,svensson_implicita)</f>
        <v>5.88447660979734E-2</v>
      </c>
      <c r="J237" s="49">
        <f>IF(curve_type="Simulada",_xlfn.XLOOKUP(tbl_Bonds[[#This Row],[Coupon]],Simulador!$B$5:$B$147,Simulador!$N$5:$N$147),0)</f>
        <v>0</v>
      </c>
      <c r="K237" s="5" cm="1">
        <f t="array" ref="K23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5.88447660979734E-2</v>
      </c>
      <c r="L237" s="5" cm="1">
        <f t="array" ref="L237">Interpola_FF(tbl_Bonds[[#This Row],[DU]],dus_svensson,svensson_real_spot)</f>
        <v>5.8813597365411585E-2</v>
      </c>
      <c r="M237" s="49">
        <f>IF(curve_type="Simulada",_xlfn.XLOOKUP(tbl_Bonds[[#This Row],[Coupon]],Simulador!$B$5:$B$147,Simulador!$K$5:$K$147),0)</f>
        <v>0</v>
      </c>
      <c r="N237" s="5" cm="1">
        <f t="array" ref="N23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5.8813597365411585E-2</v>
      </c>
      <c r="O237" s="6">
        <f>IF(curve_type="Mercado",tbl_Bonds[[#This Row],[FC]]/(1+tbl_Bonds[[#This Row],[Real Mercado]])^(tbl_Bonds[[#This Row],[DU]]/252),tbl_Bonds[[#This Row],[FC]]/(1+tbl_Bonds[[#This Row],[Real Simulada]])^(tbl_Bonds[[#This Row],[DU]]/252))</f>
        <v>7.3688250123452557E-3</v>
      </c>
      <c r="P237" s="7">
        <f>tbl_Bonds[[#This Row],[Cotação]]*VNA</f>
        <v>29.145945258339086</v>
      </c>
      <c r="Q237" s="18">
        <f>tbl_Bonds[[#This Row],[Cotação]]%%*VNA</f>
        <v>2.9145945258339089E-3</v>
      </c>
      <c r="R23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-6.6916787994756907E-2</v>
      </c>
      <c r="S23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-6.319792089752975E-2</v>
      </c>
      <c r="T23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6.6914817980383678E-2</v>
      </c>
      <c r="U237" s="18">
        <f>IF(curve_type="Mercado",tbl_Bonds[[#This Row],[VP Cupom]]*LN(1+tbl_Bonds[[#This Row],[Real Mercado]])/252,tbl_Bonds[[#This Row],[VP Cupom]]*LN(1+tbl_Bonds[[#This Row],[Real Simulada]])/252)</f>
        <v>6.6097722334563843E-3</v>
      </c>
      <c r="V237" s="18">
        <f>SUMIF(Dashboard!$B$28:$B$42,tbl_Bonds[[#This Row],[Bond]],Dashboard!$C$28:$C$42)</f>
        <v>12247</v>
      </c>
      <c r="W237" s="18">
        <f>tbl_Bonds[[#This Row],[Quantidade]]*tbl_Bonds[[#This Row],[𝛿P/𝛿VNA]]</f>
        <v>35.695039157887884</v>
      </c>
      <c r="X237" s="18">
        <f>+tbl_Bonds[[#This Row],[Quantidade]]*tbl_Bonds[[#This Row],[𝛿P/𝛿r_real]]</f>
        <v>-819.52990257178783</v>
      </c>
      <c r="Y237" s="18">
        <f>tbl_Bonds[[#This Row],[Quantidade]]*tbl_Bonds[[#This Row],[𝛿P/𝛿r_pre]]</f>
        <v>-773.98493723204683</v>
      </c>
      <c r="Z237" s="18">
        <f>tbl_Bonds[[#This Row],[Quantidade]]*tbl_Bonds[[#This Row],[𝛿P/𝛿r_implicita]]</f>
        <v>819.50577580575896</v>
      </c>
      <c r="AA237" s="18">
        <f>tbl_Bonds[[#This Row],[Quantidade]]*tbl_Bonds[[#This Row],[𝛿P/𝛿du]]</f>
        <v>80.949880543140338</v>
      </c>
    </row>
    <row r="238" spans="1:27">
      <c r="A238" s="2" t="s">
        <v>87</v>
      </c>
      <c r="B238" s="3">
        <v>55015</v>
      </c>
      <c r="C238" s="3">
        <v>53919</v>
      </c>
      <c r="D238" s="4">
        <f>NETWORKDAYS(Dashboard!$C$10,bonds!C238,feriados)-1</f>
        <v>6250</v>
      </c>
      <c r="E238" s="2">
        <f>IF(tbl_Bonds[[#This Row],[Coupon]]&lt;tbl_Bonds[[#This Row],[Maturity]],SQRT(1.06)-1,SQRT(1.06))</f>
        <v>2.9563014098699991E-2</v>
      </c>
      <c r="F238" s="5" cm="1">
        <f t="array" ref="F238">Svensson(betas_pre,tbl_Bonds[[#This Row],[DU]])</f>
        <v>0.1211440494286013</v>
      </c>
      <c r="G238" s="49">
        <f>IF(curve_type="Simulada",_xlfn.XLOOKUP(tbl_Bonds[[#This Row],[Coupon]],Simulador!$B$5:$B$147,Simulador!$H$5:$H$147),0)</f>
        <v>0</v>
      </c>
      <c r="H238" s="5" cm="1">
        <f t="array" ref="H23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0.1211440494286013</v>
      </c>
      <c r="I238" s="5" cm="1">
        <f t="array" ref="I238">Interpola_FF(tbl_Bonds[[#This Row],[DU]],dus_svensson,svensson_implicita)</f>
        <v>5.8873180945232306E-2</v>
      </c>
      <c r="J238" s="49">
        <f>IF(curve_type="Simulada",_xlfn.XLOOKUP(tbl_Bonds[[#This Row],[Coupon]],Simulador!$B$5:$B$147,Simulador!$N$5:$N$147),0)</f>
        <v>0</v>
      </c>
      <c r="K238" s="5" cm="1">
        <f t="array" ref="K23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5.8873180945232306E-2</v>
      </c>
      <c r="L238" s="5" cm="1">
        <f t="array" ref="L238">Interpola_FF(tbl_Bonds[[#This Row],[DU]],dus_svensson,svensson_real_spot)</f>
        <v>5.8808617939406949E-2</v>
      </c>
      <c r="M238" s="49">
        <f>IF(curve_type="Simulada",_xlfn.XLOOKUP(tbl_Bonds[[#This Row],[Coupon]],Simulador!$B$5:$B$147,Simulador!$K$5:$K$147),0)</f>
        <v>0</v>
      </c>
      <c r="N238" s="5" cm="1">
        <f t="array" ref="N23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5.8808617939406949E-2</v>
      </c>
      <c r="O238" s="6">
        <f>IF(curve_type="Mercado",tbl_Bonds[[#This Row],[FC]]/(1+tbl_Bonds[[#This Row],[Real Mercado]])^(tbl_Bonds[[#This Row],[DU]]/252),tbl_Bonds[[#This Row],[FC]]/(1+tbl_Bonds[[#This Row],[Real Simulada]])^(tbl_Bonds[[#This Row],[DU]]/252))</f>
        <v>7.1653288008872223E-3</v>
      </c>
      <c r="P238" s="7">
        <f>tbl_Bonds[[#This Row],[Cotação]]*VNA</f>
        <v>28.341055818096081</v>
      </c>
      <c r="Q238" s="18">
        <f>tbl_Bonds[[#This Row],[Cotação]]%%*VNA</f>
        <v>2.8341055818096078E-3</v>
      </c>
      <c r="R23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-6.6386234318683457E-2</v>
      </c>
      <c r="S23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-6.2695170017667612E-2</v>
      </c>
      <c r="T23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6.6382186326105555E-2</v>
      </c>
      <c r="U238" s="18">
        <f>IF(curve_type="Mercado",tbl_Bonds[[#This Row],[VP Cupom]]*LN(1+tbl_Bonds[[#This Row],[Real Mercado]])/252,tbl_Bonds[[#This Row],[VP Cupom]]*LN(1+tbl_Bonds[[#This Row],[Real Simulada]])/252)</f>
        <v>6.4267089904379493E-3</v>
      </c>
      <c r="V238" s="18">
        <f>SUMIF(Dashboard!$B$28:$B$42,tbl_Bonds[[#This Row],[Bond]],Dashboard!$C$28:$C$42)</f>
        <v>12247</v>
      </c>
      <c r="W238" s="18">
        <f>tbl_Bonds[[#This Row],[Quantidade]]*tbl_Bonds[[#This Row],[𝛿P/𝛿VNA]]</f>
        <v>34.709291060422267</v>
      </c>
      <c r="X238" s="18">
        <f>+tbl_Bonds[[#This Row],[Quantidade]]*tbl_Bonds[[#This Row],[𝛿P/𝛿r_real]]</f>
        <v>-813.03221170091626</v>
      </c>
      <c r="Y238" s="18">
        <f>tbl_Bonds[[#This Row],[Quantidade]]*tbl_Bonds[[#This Row],[𝛿P/𝛿r_pre]]</f>
        <v>-767.82774720637519</v>
      </c>
      <c r="Z238" s="18">
        <f>tbl_Bonds[[#This Row],[Quantidade]]*tbl_Bonds[[#This Row],[𝛿P/𝛿r_implicita]]</f>
        <v>812.98263593581476</v>
      </c>
      <c r="AA238" s="18">
        <f>tbl_Bonds[[#This Row],[Quantidade]]*tbl_Bonds[[#This Row],[𝛿P/𝛿du]]</f>
        <v>78.707905005893565</v>
      </c>
    </row>
    <row r="239" spans="1:27">
      <c r="A239" s="2" t="s">
        <v>87</v>
      </c>
      <c r="B239" s="3">
        <v>55015</v>
      </c>
      <c r="C239" s="3">
        <v>54107</v>
      </c>
      <c r="D239" s="4">
        <f>NETWORKDAYS(Dashboard!$C$10,bonds!C239,feriados)-1</f>
        <v>6379</v>
      </c>
      <c r="E239" s="2">
        <f>IF(tbl_Bonds[[#This Row],[Coupon]]&lt;tbl_Bonds[[#This Row],[Maturity]],SQRT(1.06)-1,SQRT(1.06))</f>
        <v>2.9563014098699991E-2</v>
      </c>
      <c r="F239" s="5" cm="1">
        <f t="array" ref="F239">Svensson(betas_pre,tbl_Bonds[[#This Row],[DU]])</f>
        <v>0.12116883897384434</v>
      </c>
      <c r="G239" s="49">
        <f>IF(curve_type="Simulada",_xlfn.XLOOKUP(tbl_Bonds[[#This Row],[Coupon]],Simulador!$B$5:$B$147,Simulador!$H$5:$H$147),0)</f>
        <v>0</v>
      </c>
      <c r="H239" s="5" cm="1">
        <f t="array" ref="H23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0.12116883897384434</v>
      </c>
      <c r="I239" s="5" cm="1">
        <f t="array" ref="I239">Interpola_FF(tbl_Bonds[[#This Row],[DU]],dus_svensson,svensson_implicita)</f>
        <v>5.8901887570582678E-2</v>
      </c>
      <c r="J239" s="49">
        <f>IF(curve_type="Simulada",_xlfn.XLOOKUP(tbl_Bonds[[#This Row],[Coupon]],Simulador!$B$5:$B$147,Simulador!$N$5:$N$147),0)</f>
        <v>0</v>
      </c>
      <c r="K239" s="5" cm="1">
        <f t="array" ref="K23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5.8901887570582678E-2</v>
      </c>
      <c r="L239" s="5" cm="1">
        <f t="array" ref="L239">Interpola_FF(tbl_Bonds[[#This Row],[DU]],dus_svensson,svensson_real_spot)</f>
        <v>5.8803324471326635E-2</v>
      </c>
      <c r="M239" s="49">
        <f>IF(curve_type="Simulada",_xlfn.XLOOKUP(tbl_Bonds[[#This Row],[Coupon]],Simulador!$B$5:$B$147,Simulador!$K$5:$K$147),0)</f>
        <v>0</v>
      </c>
      <c r="N239" s="5" cm="1">
        <f t="array" ref="N23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5.8803324471326635E-2</v>
      </c>
      <c r="O239" s="6">
        <f>IF(curve_type="Mercado",tbl_Bonds[[#This Row],[FC]]/(1+tbl_Bonds[[#This Row],[Real Mercado]])^(tbl_Bonds[[#This Row],[DU]]/252),tbl_Bonds[[#This Row],[FC]]/(1+tbl_Bonds[[#This Row],[Real Simulada]])^(tbl_Bonds[[#This Row],[DU]]/252))</f>
        <v>6.9596420896951613E-3</v>
      </c>
      <c r="P239" s="7">
        <f>tbl_Bonds[[#This Row],[Cotação]]*VNA</f>
        <v>27.527502284835609</v>
      </c>
      <c r="Q239" s="18">
        <f>tbl_Bonds[[#This Row],[Cotação]]%%*VNA</f>
        <v>2.7527502284835611E-3</v>
      </c>
      <c r="R23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-6.5811770185258453E-2</v>
      </c>
      <c r="S23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-6.2150961070573774E-2</v>
      </c>
      <c r="T23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6.580564420795694E-2</v>
      </c>
      <c r="U239" s="18">
        <f>IF(curve_type="Mercado",tbl_Bonds[[#This Row],[VP Cupom]]*LN(1+tbl_Bonds[[#This Row],[Real Mercado]])/252,tbl_Bonds[[#This Row],[VP Cupom]]*LN(1+tbl_Bonds[[#This Row],[Real Simulada]])/252)</f>
        <v>6.241678851392562E-3</v>
      </c>
      <c r="V239" s="18">
        <f>SUMIF(Dashboard!$B$28:$B$42,tbl_Bonds[[#This Row],[Bond]],Dashboard!$C$28:$C$42)</f>
        <v>12247</v>
      </c>
      <c r="W239" s="18">
        <f>tbl_Bonds[[#This Row],[Quantidade]]*tbl_Bonds[[#This Row],[𝛿P/𝛿VNA]]</f>
        <v>33.712932048238173</v>
      </c>
      <c r="X239" s="18">
        <f>+tbl_Bonds[[#This Row],[Quantidade]]*tbl_Bonds[[#This Row],[𝛿P/𝛿r_real]]</f>
        <v>-805.99674945886022</v>
      </c>
      <c r="Y239" s="18">
        <f>tbl_Bonds[[#This Row],[Quantidade]]*tbl_Bonds[[#This Row],[𝛿P/𝛿r_pre]]</f>
        <v>-761.16282023131703</v>
      </c>
      <c r="Z239" s="18">
        <f>tbl_Bonds[[#This Row],[Quantidade]]*tbl_Bonds[[#This Row],[𝛿P/𝛿r_implicita]]</f>
        <v>805.92172461484859</v>
      </c>
      <c r="AA239" s="18">
        <f>tbl_Bonds[[#This Row],[Quantidade]]*tbl_Bonds[[#This Row],[𝛿P/𝛿du]]</f>
        <v>76.441840893004709</v>
      </c>
    </row>
    <row r="240" spans="1:27">
      <c r="A240" s="2" t="s">
        <v>87</v>
      </c>
      <c r="B240" s="3">
        <v>55015</v>
      </c>
      <c r="C240" s="3">
        <v>54287</v>
      </c>
      <c r="D240" s="4">
        <f>NETWORKDAYS(Dashboard!$C$10,bonds!C240,feriados)-1</f>
        <v>6503</v>
      </c>
      <c r="E240" s="2">
        <f>IF(tbl_Bonds[[#This Row],[Coupon]]&lt;tbl_Bonds[[#This Row],[Maturity]],SQRT(1.06)-1,SQRT(1.06))</f>
        <v>2.9563014098699991E-2</v>
      </c>
      <c r="F240" s="5" cm="1">
        <f t="array" ref="F240">Svensson(betas_pre,tbl_Bonds[[#This Row],[DU]])</f>
        <v>0.12119174007906819</v>
      </c>
      <c r="G240" s="49">
        <f>IF(curve_type="Simulada",_xlfn.XLOOKUP(tbl_Bonds[[#This Row],[Coupon]],Simulador!$B$5:$B$147,Simulador!$H$5:$H$147),0)</f>
        <v>0</v>
      </c>
      <c r="H240" s="5" cm="1">
        <f t="array" ref="H24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0.12119174007906819</v>
      </c>
      <c r="I240" s="5" cm="1">
        <f t="array" ref="I240">Interpola_FF(tbl_Bonds[[#This Row],[DU]],dus_svensson,svensson_implicita)</f>
        <v>5.8928673007986543E-2</v>
      </c>
      <c r="J240" s="49">
        <f>IF(curve_type="Simulada",_xlfn.XLOOKUP(tbl_Bonds[[#This Row],[Coupon]],Simulador!$B$5:$B$147,Simulador!$N$5:$N$147),0)</f>
        <v>0</v>
      </c>
      <c r="K240" s="5" cm="1">
        <f t="array" ref="K24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5.8928673007986543E-2</v>
      </c>
      <c r="L240" s="5" cm="1">
        <f t="array" ref="L240">Interpola_FF(tbl_Bonds[[#This Row],[DU]],dus_svensson,svensson_real_spot)</f>
        <v>5.879816888569378E-2</v>
      </c>
      <c r="M240" s="49">
        <f>IF(curve_type="Simulada",_xlfn.XLOOKUP(tbl_Bonds[[#This Row],[Coupon]],Simulador!$B$5:$B$147,Simulador!$K$5:$K$147),0)</f>
        <v>0</v>
      </c>
      <c r="N240" s="5" cm="1">
        <f t="array" ref="N24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5.879816888569378E-2</v>
      </c>
      <c r="O240" s="6">
        <f>IF(curve_type="Mercado",tbl_Bonds[[#This Row],[FC]]/(1+tbl_Bonds[[#This Row],[Real Mercado]])^(tbl_Bonds[[#This Row],[DU]]/252),tbl_Bonds[[#This Row],[FC]]/(1+tbl_Bonds[[#This Row],[Real Simulada]])^(tbl_Bonds[[#This Row],[DU]]/252))</f>
        <v>6.7675391295490047E-3</v>
      </c>
      <c r="P240" s="7">
        <f>tbl_Bonds[[#This Row],[Cotação]]*VNA</f>
        <v>26.767676620499095</v>
      </c>
      <c r="Q240" s="18">
        <f>tbl_Bonds[[#This Row],[Cotação]]%%*VNA</f>
        <v>2.6767676620499097E-3</v>
      </c>
      <c r="R24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-6.5239512725111998E-2</v>
      </c>
      <c r="S24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-6.1608977265939016E-2</v>
      </c>
      <c r="T24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6.5231472322941769E-2</v>
      </c>
      <c r="U240" s="18">
        <f>IF(curve_type="Mercado",tbl_Bonds[[#This Row],[VP Cupom]]*LN(1+tbl_Bonds[[#This Row],[Real Mercado]])/252,tbl_Bonds[[#This Row],[VP Cupom]]*LN(1+tbl_Bonds[[#This Row],[Real Simulada]])/252)</f>
        <v>6.0688761953727934E-3</v>
      </c>
      <c r="V240" s="18">
        <f>SUMIF(Dashboard!$B$28:$B$42,tbl_Bonds[[#This Row],[Bond]],Dashboard!$C$28:$C$42)</f>
        <v>12247</v>
      </c>
      <c r="W240" s="18">
        <f>tbl_Bonds[[#This Row],[Quantidade]]*tbl_Bonds[[#This Row],[𝛿P/𝛿VNA]]</f>
        <v>32.782373557125247</v>
      </c>
      <c r="X240" s="18">
        <f>+tbl_Bonds[[#This Row],[Quantidade]]*tbl_Bonds[[#This Row],[𝛿P/𝛿r_real]]</f>
        <v>-798.98831234444663</v>
      </c>
      <c r="Y240" s="18">
        <f>tbl_Bonds[[#This Row],[Quantidade]]*tbl_Bonds[[#This Row],[𝛿P/𝛿r_pre]]</f>
        <v>-754.5251445759551</v>
      </c>
      <c r="Z240" s="18">
        <f>tbl_Bonds[[#This Row],[Quantidade]]*tbl_Bonds[[#This Row],[𝛿P/𝛿r_implicita]]</f>
        <v>798.8898415390679</v>
      </c>
      <c r="AA240" s="18">
        <f>tbl_Bonds[[#This Row],[Quantidade]]*tbl_Bonds[[#This Row],[𝛿P/𝛿du]]</f>
        <v>74.325526764730597</v>
      </c>
    </row>
    <row r="241" spans="1:27">
      <c r="A241" s="2" t="s">
        <v>87</v>
      </c>
      <c r="B241" s="3">
        <v>55015</v>
      </c>
      <c r="C241" s="3">
        <v>54469</v>
      </c>
      <c r="D241" s="4">
        <f>NETWORKDAYS(Dashboard!$C$10,bonds!C241,feriados)-1</f>
        <v>6628</v>
      </c>
      <c r="E241" s="2">
        <f>IF(tbl_Bonds[[#This Row],[Coupon]]&lt;tbl_Bonds[[#This Row],[Maturity]],SQRT(1.06)-1,SQRT(1.06))</f>
        <v>2.9563014098699991E-2</v>
      </c>
      <c r="F241" s="5" cm="1">
        <f t="array" ref="F241">Svensson(betas_pre,tbl_Bonds[[#This Row],[DU]])</f>
        <v>0.12121395808482756</v>
      </c>
      <c r="G241" s="49">
        <f>IF(curve_type="Simulada",_xlfn.XLOOKUP(tbl_Bonds[[#This Row],[Coupon]],Simulador!$B$5:$B$147,Simulador!$H$5:$H$147),0)</f>
        <v>0</v>
      </c>
      <c r="H241" s="5" cm="1">
        <f t="array" ref="H24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0.12121395808482756</v>
      </c>
      <c r="I241" s="5" cm="1">
        <f t="array" ref="I241">Interpola_FF(tbl_Bonds[[#This Row],[DU]],dus_svensson,svensson_implicita)</f>
        <v>5.8954884267646168E-2</v>
      </c>
      <c r="J241" s="49">
        <f>IF(curve_type="Simulada",_xlfn.XLOOKUP(tbl_Bonds[[#This Row],[Coupon]],Simulador!$B$5:$B$147,Simulador!$N$5:$N$147),0)</f>
        <v>0</v>
      </c>
      <c r="K241" s="5" cm="1">
        <f t="array" ref="K24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5.8954884267646168E-2</v>
      </c>
      <c r="L241" s="5" cm="1">
        <f t="array" ref="L241">Interpola_FF(tbl_Bonds[[#This Row],[DU]],dus_svensson,svensson_real_spot)</f>
        <v>5.8792942581760599E-2</v>
      </c>
      <c r="M241" s="49">
        <f>IF(curve_type="Simulada",_xlfn.XLOOKUP(tbl_Bonds[[#This Row],[Coupon]],Simulador!$B$5:$B$147,Simulador!$K$5:$K$147),0)</f>
        <v>0</v>
      </c>
      <c r="N241" s="5" cm="1">
        <f t="array" ref="N24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5.8792942581760599E-2</v>
      </c>
      <c r="O241" s="6">
        <f>IF(curve_type="Mercado",tbl_Bonds[[#This Row],[FC]]/(1+tbl_Bonds[[#This Row],[Real Mercado]])^(tbl_Bonds[[#This Row],[DU]]/252),tbl_Bonds[[#This Row],[FC]]/(1+tbl_Bonds[[#This Row],[Real Simulada]])^(tbl_Bonds[[#This Row],[DU]]/252))</f>
        <v>6.5792900501344667E-3</v>
      </c>
      <c r="P241" s="7">
        <f>tbl_Bonds[[#This Row],[Cotação]]*VNA</f>
        <v>26.02309422719259</v>
      </c>
      <c r="Q241" s="18">
        <f>tbl_Bonds[[#This Row],[Cotação]]%%*VNA</f>
        <v>2.602309422719259E-3</v>
      </c>
      <c r="R24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-6.4644243189322631E-2</v>
      </c>
      <c r="S24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-6.1045323060443232E-2</v>
      </c>
      <c r="T24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6.4634357240348148E-2</v>
      </c>
      <c r="U241" s="18">
        <f>IF(curve_type="Mercado",tbl_Bonds[[#This Row],[VP Cupom]]*LN(1+tbl_Bonds[[#This Row],[Real Mercado]])/252,tbl_Bonds[[#This Row],[VP Cupom]]*LN(1+tbl_Bonds[[#This Row],[Real Simulada]])/252)</f>
        <v>5.8995517247471202E-3</v>
      </c>
      <c r="V241" s="18">
        <f>SUMIF(Dashboard!$B$28:$B$42,tbl_Bonds[[#This Row],[Bond]],Dashboard!$C$28:$C$42)</f>
        <v>12247</v>
      </c>
      <c r="W241" s="18">
        <f>tbl_Bonds[[#This Row],[Quantidade]]*tbl_Bonds[[#This Row],[𝛿P/𝛿VNA]]</f>
        <v>31.870483500042766</v>
      </c>
      <c r="X241" s="18">
        <f>+tbl_Bonds[[#This Row],[Quantidade]]*tbl_Bonds[[#This Row],[𝛿P/𝛿r_real]]</f>
        <v>-791.69804633963429</v>
      </c>
      <c r="Y241" s="18">
        <f>tbl_Bonds[[#This Row],[Quantidade]]*tbl_Bonds[[#This Row],[𝛿P/𝛿r_pre]]</f>
        <v>-747.62207152124824</v>
      </c>
      <c r="Z241" s="18">
        <f>tbl_Bonds[[#This Row],[Quantidade]]*tbl_Bonds[[#This Row],[𝛿P/𝛿r_implicita]]</f>
        <v>791.57697312254379</v>
      </c>
      <c r="AA241" s="18">
        <f>tbl_Bonds[[#This Row],[Quantidade]]*tbl_Bonds[[#This Row],[𝛿P/𝛿du]]</f>
        <v>72.251809972977981</v>
      </c>
    </row>
    <row r="242" spans="1:27">
      <c r="A242" s="2" t="s">
        <v>87</v>
      </c>
      <c r="B242" s="3">
        <v>55015</v>
      </c>
      <c r="C242" s="3">
        <v>54651</v>
      </c>
      <c r="D242" s="4">
        <f>NETWORKDAYS(Dashboard!$C$10,bonds!C242,feriados)-1</f>
        <v>6753</v>
      </c>
      <c r="E242" s="2">
        <f>IF(tbl_Bonds[[#This Row],[Coupon]]&lt;tbl_Bonds[[#This Row],[Maturity]],SQRT(1.06)-1,SQRT(1.06))</f>
        <v>2.9563014098699991E-2</v>
      </c>
      <c r="F242" s="5" cm="1">
        <f t="array" ref="F242">Svensson(betas_pre,tbl_Bonds[[#This Row],[DU]])</f>
        <v>0.12123535310049624</v>
      </c>
      <c r="G242" s="49">
        <f>IF(curve_type="Simulada",_xlfn.XLOOKUP(tbl_Bonds[[#This Row],[Coupon]],Simulador!$B$5:$B$147,Simulador!$H$5:$H$147),0)</f>
        <v>0</v>
      </c>
      <c r="H242" s="5" cm="1">
        <f t="array" ref="H24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0.12123535310049624</v>
      </c>
      <c r="I242" s="5" cm="1">
        <f t="array" ref="I242">Interpola_FF(tbl_Bonds[[#This Row],[DU]],dus_svensson,svensson_implicita)</f>
        <v>5.8980318541968391E-2</v>
      </c>
      <c r="J242" s="49">
        <f>IF(curve_type="Simulada",_xlfn.XLOOKUP(tbl_Bonds[[#This Row],[Coupon]],Simulador!$B$5:$B$147,Simulador!$N$5:$N$147),0)</f>
        <v>0</v>
      </c>
      <c r="K242" s="5" cm="1">
        <f t="array" ref="K24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5.8980318541968391E-2</v>
      </c>
      <c r="L242" s="5" cm="1">
        <f t="array" ref="L242">Interpola_FF(tbl_Bonds[[#This Row],[DU]],dus_svensson,svensson_real_spot)</f>
        <v>5.8787716226643916E-2</v>
      </c>
      <c r="M242" s="49">
        <f>IF(curve_type="Simulada",_xlfn.XLOOKUP(tbl_Bonds[[#This Row],[Coupon]],Simulador!$B$5:$B$147,Simulador!$K$5:$K$147),0)</f>
        <v>0</v>
      </c>
      <c r="N242" s="5" cm="1">
        <f t="array" ref="N24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5.8787716226643916E-2</v>
      </c>
      <c r="O242" s="6">
        <f>IF(curve_type="Mercado",tbl_Bonds[[#This Row],[FC]]/(1+tbl_Bonds[[#This Row],[Real Mercado]])^(tbl_Bonds[[#This Row],[DU]]/252),tbl_Bonds[[#This Row],[FC]]/(1+tbl_Bonds[[#This Row],[Real Simulada]])^(tbl_Bonds[[#This Row],[DU]]/252))</f>
        <v>6.3963087309577091E-3</v>
      </c>
      <c r="P242" s="7">
        <f>tbl_Bonds[[#This Row],[Cotação]]*VNA</f>
        <v>25.299347428606708</v>
      </c>
      <c r="Q242" s="18">
        <f>tbl_Bonds[[#This Row],[Cotação]]%%*VNA</f>
        <v>2.5299347428606707E-3</v>
      </c>
      <c r="R24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-6.4031936161983077E-2</v>
      </c>
      <c r="S24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-6.0465652550990547E-2</v>
      </c>
      <c r="T24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6.4020290180468523E-2</v>
      </c>
      <c r="U242" s="18">
        <f>IF(curve_type="Mercado",tbl_Bonds[[#This Row],[VP Cupom]]*LN(1+tbl_Bonds[[#This Row],[Real Mercado]])/252,tbl_Bonds[[#This Row],[VP Cupom]]*LN(1+tbl_Bonds[[#This Row],[Real Simulada]])/252)</f>
        <v>5.7349795303293987E-3</v>
      </c>
      <c r="V242" s="18">
        <f>SUMIF(Dashboard!$B$28:$B$42,tbl_Bonds[[#This Row],[Bond]],Dashboard!$C$28:$C$42)</f>
        <v>12247</v>
      </c>
      <c r="W242" s="18">
        <f>tbl_Bonds[[#This Row],[Quantidade]]*tbl_Bonds[[#This Row],[𝛿P/𝛿VNA]]</f>
        <v>30.984110795814633</v>
      </c>
      <c r="X242" s="18">
        <f>+tbl_Bonds[[#This Row],[Quantidade]]*tbl_Bonds[[#This Row],[𝛿P/𝛿r_real]]</f>
        <v>-784.19912217580679</v>
      </c>
      <c r="Y242" s="18">
        <f>tbl_Bonds[[#This Row],[Quantidade]]*tbl_Bonds[[#This Row],[𝛿P/𝛿r_pre]]</f>
        <v>-740.52284679198124</v>
      </c>
      <c r="Z242" s="18">
        <f>tbl_Bonds[[#This Row],[Quantidade]]*tbl_Bonds[[#This Row],[𝛿P/𝛿r_implicita]]</f>
        <v>784.05649384019796</v>
      </c>
      <c r="AA242" s="18">
        <f>tbl_Bonds[[#This Row],[Quantidade]]*tbl_Bonds[[#This Row],[𝛿P/𝛿du]]</f>
        <v>70.236294307944149</v>
      </c>
    </row>
    <row r="243" spans="1:27">
      <c r="A243" s="2" t="s">
        <v>87</v>
      </c>
      <c r="B243" s="3">
        <v>55015</v>
      </c>
      <c r="C243" s="3">
        <v>54834</v>
      </c>
      <c r="D243" s="4">
        <f>NETWORKDAYS(Dashboard!$C$10,bonds!C243,feriados)-1</f>
        <v>6880</v>
      </c>
      <c r="E243" s="2">
        <f>IF(tbl_Bonds[[#This Row],[Coupon]]&lt;tbl_Bonds[[#This Row],[Maturity]],SQRT(1.06)-1,SQRT(1.06))</f>
        <v>2.9563014098699991E-2</v>
      </c>
      <c r="F243" s="5" cm="1">
        <f t="array" ref="F243">Svensson(betas_pre,tbl_Bonds[[#This Row],[DU]])</f>
        <v>0.1212562938000236</v>
      </c>
      <c r="G243" s="49">
        <f>IF(curve_type="Simulada",_xlfn.XLOOKUP(tbl_Bonds[[#This Row],[Coupon]],Simulador!$B$5:$B$147,Simulador!$H$5:$H$147),0)</f>
        <v>0</v>
      </c>
      <c r="H243" s="5" cm="1">
        <f t="array" ref="H24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0.1212562938000236</v>
      </c>
      <c r="I243" s="5" cm="1">
        <f t="array" ref="I243">Interpola_FF(tbl_Bonds[[#This Row],[DU]],dus_svensson,svensson_implicita)</f>
        <v>5.9005382648950055E-2</v>
      </c>
      <c r="J243" s="49">
        <f>IF(curve_type="Simulada",_xlfn.XLOOKUP(tbl_Bonds[[#This Row],[Coupon]],Simulador!$B$5:$B$147,Simulador!$N$5:$N$147),0)</f>
        <v>0</v>
      </c>
      <c r="K243" s="5" cm="1">
        <f t="array" ref="K24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5.9005382648950055E-2</v>
      </c>
      <c r="L243" s="5" cm="1">
        <f t="array" ref="L243">Interpola_FF(tbl_Bonds[[#This Row],[DU]],dus_svensson,svensson_real_spot)</f>
        <v>5.8782431209977171E-2</v>
      </c>
      <c r="M243" s="49">
        <f>IF(curve_type="Simulada",_xlfn.XLOOKUP(tbl_Bonds[[#This Row],[Coupon]],Simulador!$B$5:$B$147,Simulador!$K$5:$K$147),0)</f>
        <v>0</v>
      </c>
      <c r="N243" s="5" cm="1">
        <f t="array" ref="N24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5.8782431209977171E-2</v>
      </c>
      <c r="O243" s="6">
        <f>IF(curve_type="Mercado",tbl_Bonds[[#This Row],[FC]]/(1+tbl_Bonds[[#This Row],[Real Mercado]])^(tbl_Bonds[[#This Row],[DU]]/252),tbl_Bonds[[#This Row],[FC]]/(1+tbl_Bonds[[#This Row],[Real Simulada]])^(tbl_Bonds[[#This Row],[DU]]/252))</f>
        <v>6.2156379198985007E-3</v>
      </c>
      <c r="P243" s="7">
        <f>tbl_Bonds[[#This Row],[Cotação]]*VNA</f>
        <v>24.584739392713686</v>
      </c>
      <c r="Q243" s="18">
        <f>tbl_Bonds[[#This Row],[Cotação]]%%*VNA</f>
        <v>2.4584739392713687E-3</v>
      </c>
      <c r="R24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-6.3393799238800605E-2</v>
      </c>
      <c r="S24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-5.9861640107052957E-2</v>
      </c>
      <c r="T24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6.3380452854104846E-2</v>
      </c>
      <c r="U243" s="18">
        <f>IF(curve_type="Mercado",tbl_Bonds[[#This Row],[VP Cupom]]*LN(1+tbl_Bonds[[#This Row],[Real Mercado]])/252,tbl_Bonds[[#This Row],[VP Cupom]]*LN(1+tbl_Bonds[[#This Row],[Real Simulada]])/252)</f>
        <v>5.5725017220408304E-3</v>
      </c>
      <c r="V243" s="18">
        <f>SUMIF(Dashboard!$B$28:$B$42,tbl_Bonds[[#This Row],[Bond]],Dashboard!$C$28:$C$42)</f>
        <v>12247</v>
      </c>
      <c r="W243" s="18">
        <f>tbl_Bonds[[#This Row],[Quantidade]]*tbl_Bonds[[#This Row],[𝛿P/𝛿VNA]]</f>
        <v>30.108930334256453</v>
      </c>
      <c r="X243" s="18">
        <f>+tbl_Bonds[[#This Row],[Quantidade]]*tbl_Bonds[[#This Row],[𝛿P/𝛿r_real]]</f>
        <v>-776.383859277591</v>
      </c>
      <c r="Y243" s="18">
        <f>tbl_Bonds[[#This Row],[Quantidade]]*tbl_Bonds[[#This Row],[𝛿P/𝛿r_pre]]</f>
        <v>-733.12550639107758</v>
      </c>
      <c r="Z243" s="18">
        <f>tbl_Bonds[[#This Row],[Quantidade]]*tbl_Bonds[[#This Row],[𝛿P/𝛿r_implicita]]</f>
        <v>776.22040610422209</v>
      </c>
      <c r="AA243" s="18">
        <f>tbl_Bonds[[#This Row],[Quantidade]]*tbl_Bonds[[#This Row],[𝛿P/𝛿du]]</f>
        <v>68.246428589834053</v>
      </c>
    </row>
    <row r="244" spans="1:27">
      <c r="A244" s="2" t="s">
        <v>87</v>
      </c>
      <c r="B244" s="3">
        <v>55015</v>
      </c>
      <c r="C244" s="3">
        <v>55015</v>
      </c>
      <c r="D244" s="4">
        <f>NETWORKDAYS(Dashboard!$C$10,bonds!C244,feriados)-1</f>
        <v>7004</v>
      </c>
      <c r="E244" s="2">
        <f>IF(tbl_Bonds[[#This Row],[Coupon]]&lt;tbl_Bonds[[#This Row],[Maturity]],SQRT(1.06)-1,SQRT(1.06))</f>
        <v>1.0295630140987</v>
      </c>
      <c r="F244" s="5" cm="1">
        <f t="array" ref="F244">Svensson(betas_pre,tbl_Bonds[[#This Row],[DU]])</f>
        <v>0.12127600671886751</v>
      </c>
      <c r="G244" s="49">
        <f>IF(curve_type="Simulada",_xlfn.XLOOKUP(tbl_Bonds[[#This Row],[Coupon]],Simulador!$B$5:$B$147,Simulador!$H$5:$H$147),0)</f>
        <v>0</v>
      </c>
      <c r="H244" s="5" cm="1">
        <f t="array" ref="H24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0.12127600671886751</v>
      </c>
      <c r="I244" s="5" cm="1">
        <f t="array" ref="I244">Interpola_FF(tbl_Bonds[[#This Row],[DU]],dus_svensson,svensson_implicita)</f>
        <v>5.9029119259779605E-2</v>
      </c>
      <c r="J244" s="49">
        <f>IF(curve_type="Simulada",_xlfn.XLOOKUP(tbl_Bonds[[#This Row],[Coupon]],Simulador!$B$5:$B$147,Simulador!$N$5:$N$147),0)</f>
        <v>0</v>
      </c>
      <c r="K244" s="5" cm="1">
        <f t="array" ref="K24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5.9029119259779605E-2</v>
      </c>
      <c r="L244" s="5" cm="1">
        <f t="array" ref="L244">Interpola_FF(tbl_Bonds[[#This Row],[DU]],dus_svensson,svensson_real_spot)</f>
        <v>5.8777314275879178E-2</v>
      </c>
      <c r="M244" s="49">
        <f>IF(curve_type="Simulada",_xlfn.XLOOKUP(tbl_Bonds[[#This Row],[Coupon]],Simulador!$B$5:$B$147,Simulador!$K$5:$K$147),0)</f>
        <v>0</v>
      </c>
      <c r="N244" s="5" cm="1">
        <f t="array" ref="N24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5.8777314275879178E-2</v>
      </c>
      <c r="O244" s="6">
        <f>IF(curve_type="Mercado",tbl_Bonds[[#This Row],[FC]]/(1+tbl_Bonds[[#This Row],[Real Mercado]])^(tbl_Bonds[[#This Row],[DU]]/252),tbl_Bonds[[#This Row],[FC]]/(1+tbl_Bonds[[#This Row],[Real Simulada]])^(tbl_Bonds[[#This Row],[DU]]/252))</f>
        <v>0.21049499840069824</v>
      </c>
      <c r="P244" s="7">
        <f>tbl_Bonds[[#This Row],[Cotação]]*VNA</f>
        <v>832.57177233312143</v>
      </c>
      <c r="Q244" s="18">
        <f>tbl_Bonds[[#This Row],[Cotação]]%%*VNA</f>
        <v>8.3257177233312135E-2</v>
      </c>
      <c r="R24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-2.1855595873532487</v>
      </c>
      <c r="S24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-2.0637388931129066</v>
      </c>
      <c r="T24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2.1850399227902888</v>
      </c>
      <c r="U244" s="18">
        <f>IF(curve_type="Mercado",tbl_Bonds[[#This Row],[VP Cupom]]*LN(1+tbl_Bonds[[#This Row],[Real Mercado]])/252,tbl_Bonds[[#This Row],[VP Cupom]]*LN(1+tbl_Bonds[[#This Row],[Real Simulada]])/252)</f>
        <v>0.1886989735638816</v>
      </c>
      <c r="V244" s="18">
        <f>SUMIF(Dashboard!$B$28:$B$42,tbl_Bonds[[#This Row],[Bond]],Dashboard!$C$28:$C$42)</f>
        <v>12247</v>
      </c>
      <c r="W244" s="18">
        <f>tbl_Bonds[[#This Row],[Quantidade]]*tbl_Bonds[[#This Row],[𝛿P/𝛿VNA]]</f>
        <v>1019.6506495763737</v>
      </c>
      <c r="X244" s="18">
        <f>+tbl_Bonds[[#This Row],[Quantidade]]*tbl_Bonds[[#This Row],[𝛿P/𝛿r_real]]</f>
        <v>-26766.548266315236</v>
      </c>
      <c r="Y244" s="18">
        <f>tbl_Bonds[[#This Row],[Quantidade]]*tbl_Bonds[[#This Row],[𝛿P/𝛿r_pre]]</f>
        <v>-25274.610223953769</v>
      </c>
      <c r="Z244" s="18">
        <f>tbl_Bonds[[#This Row],[Quantidade]]*tbl_Bonds[[#This Row],[𝛿P/𝛿r_implicita]]</f>
        <v>26760.183934412667</v>
      </c>
      <c r="AA244" s="18">
        <f>tbl_Bonds[[#This Row],[Quantidade]]*tbl_Bonds[[#This Row],[𝛿P/𝛿du]]</f>
        <v>2310.9963292368579</v>
      </c>
    </row>
    <row r="245" spans="1:27">
      <c r="A245" s="2" t="s">
        <v>88</v>
      </c>
      <c r="B245" s="3">
        <v>56751</v>
      </c>
      <c r="C245" s="3">
        <v>44881</v>
      </c>
      <c r="D245" s="4">
        <f>NETWORKDAYS(Dashboard!$C$10,bonds!C245,feriados)-1</f>
        <v>34</v>
      </c>
      <c r="E245" s="2">
        <f>IF(tbl_Bonds[[#This Row],[Coupon]]&lt;tbl_Bonds[[#This Row],[Maturity]],SQRT(1.06)-1,SQRT(1.06))</f>
        <v>2.9563014098699991E-2</v>
      </c>
      <c r="F245" s="5" cm="1">
        <f t="array" ref="F245">Svensson(betas_pre,tbl_Bonds[[#This Row],[DU]])</f>
        <v>0.13709542415198134</v>
      </c>
      <c r="G245" s="49">
        <f>IF(curve_type="Simulada",_xlfn.XLOOKUP(tbl_Bonds[[#This Row],[Coupon]],Simulador!$B$5:$B$147,Simulador!$H$5:$H$147),0)</f>
        <v>0</v>
      </c>
      <c r="H245" s="5" cm="1">
        <f t="array" ref="H24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0.13709542415198134</v>
      </c>
      <c r="I245" s="5" cm="1">
        <f t="array" ref="I245">Interpola_FF(tbl_Bonds[[#This Row],[DU]],dus_svensson,svensson_implicita)</f>
        <v>3.9260043860060989E-2</v>
      </c>
      <c r="J245" s="49">
        <f>IF(curve_type="Simulada",_xlfn.XLOOKUP(tbl_Bonds[[#This Row],[Coupon]],Simulador!$B$5:$B$147,Simulador!$N$5:$N$147),0)</f>
        <v>0</v>
      </c>
      <c r="K245" s="5" cm="1">
        <f t="array" ref="K24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3.9260043860060989E-2</v>
      </c>
      <c r="L245" s="5" cm="1">
        <f t="array" ref="L245">Interpola_FF(tbl_Bonds[[#This Row],[DU]],dus_svensson,svensson_real_spot)</f>
        <v>9.4238501847281109E-2</v>
      </c>
      <c r="M245" s="49">
        <f>IF(curve_type="Simulada",_xlfn.XLOOKUP(tbl_Bonds[[#This Row],[Coupon]],Simulador!$B$5:$B$147,Simulador!$K$5:$K$147),0)</f>
        <v>0</v>
      </c>
      <c r="N245" s="5" cm="1">
        <f t="array" ref="N24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9.4238501847281109E-2</v>
      </c>
      <c r="O245" s="6">
        <f>IF(curve_type="Mercado",tbl_Bonds[[#This Row],[FC]]/(1+tbl_Bonds[[#This Row],[Real Mercado]])^(tbl_Bonds[[#This Row],[DU]]/252),tbl_Bonds[[#This Row],[FC]]/(1+tbl_Bonds[[#This Row],[Real Simulada]])^(tbl_Bonds[[#This Row],[DU]]/252))</f>
        <v>2.9205974099578352E-2</v>
      </c>
      <c r="P245" s="7">
        <f>tbl_Bonds[[#This Row],[Cotação]]*VNA</f>
        <v>115.51851494596143</v>
      </c>
      <c r="Q245" s="18">
        <f>tbl_Bonds[[#This Row],[Cotação]]%%*VNA</f>
        <v>1.1551851494596142E-2</v>
      </c>
      <c r="R24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-1.4243541380865455E-3</v>
      </c>
      <c r="S24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-1.3706872257140204E-3</v>
      </c>
      <c r="T24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1.4997229822422155E-3</v>
      </c>
      <c r="U245" s="18">
        <f>IF(curve_type="Mercado",tbl_Bonds[[#This Row],[VP Cupom]]*LN(1+tbl_Bonds[[#This Row],[Real Mercado]])/252,tbl_Bonds[[#This Row],[VP Cupom]]*LN(1+tbl_Bonds[[#This Row],[Real Simulada]])/252)</f>
        <v>4.1283516027923767E-2</v>
      </c>
      <c r="V245" s="18">
        <f>SUMIF(Dashboard!$B$28:$B$42,tbl_Bonds[[#This Row],[Bond]],Dashboard!$C$28:$C$42)</f>
        <v>6381</v>
      </c>
      <c r="W245" s="18">
        <f>tbl_Bonds[[#This Row],[Quantidade]]*tbl_Bonds[[#This Row],[𝛿P/𝛿VNA]]</f>
        <v>73.712364387017985</v>
      </c>
      <c r="X245" s="18">
        <f>+tbl_Bonds[[#This Row],[Quantidade]]*tbl_Bonds[[#This Row],[𝛿P/𝛿r_real]]</f>
        <v>-9.0888037551302467</v>
      </c>
      <c r="Y245" s="18">
        <f>tbl_Bonds[[#This Row],[Quantidade]]*tbl_Bonds[[#This Row],[𝛿P/𝛿r_pre]]</f>
        <v>-8.7463551872811642</v>
      </c>
      <c r="Z245" s="18">
        <f>tbl_Bonds[[#This Row],[Quantidade]]*tbl_Bonds[[#This Row],[𝛿P/𝛿r_implicita]]</f>
        <v>9.5697323496875768</v>
      </c>
      <c r="AA245" s="18">
        <f>tbl_Bonds[[#This Row],[Quantidade]]*tbl_Bonds[[#This Row],[𝛿P/𝛿du]]</f>
        <v>263.43011577418156</v>
      </c>
    </row>
    <row r="246" spans="1:27">
      <c r="A246" s="2" t="s">
        <v>88</v>
      </c>
      <c r="B246" s="3">
        <v>56751</v>
      </c>
      <c r="C246" s="3">
        <v>45061</v>
      </c>
      <c r="D246" s="4">
        <f>NETWORKDAYS(Dashboard!$C$10,bonds!C246,feriados)-1</f>
        <v>157</v>
      </c>
      <c r="E246" s="2">
        <f>IF(tbl_Bonds[[#This Row],[Coupon]]&lt;tbl_Bonds[[#This Row],[Maturity]],SQRT(1.06)-1,SQRT(1.06))</f>
        <v>2.9563014098699991E-2</v>
      </c>
      <c r="F246" s="5" cm="1">
        <f t="array" ref="F246">Svensson(betas_pre,tbl_Bonds[[#This Row],[DU]])</f>
        <v>0.1367085106174083</v>
      </c>
      <c r="G246" s="49">
        <f>IF(curve_type="Simulada",_xlfn.XLOOKUP(tbl_Bonds[[#This Row],[Coupon]],Simulador!$B$5:$B$147,Simulador!$H$5:$H$147),0)</f>
        <v>0</v>
      </c>
      <c r="H246" s="5" cm="1">
        <f t="array" ref="H24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0.1367085106174083</v>
      </c>
      <c r="I246" s="5" cm="1">
        <f t="array" ref="I246">Interpola_FF(tbl_Bonds[[#This Row],[DU]],dus_svensson,svensson_implicita)</f>
        <v>4.8774403248048603E-2</v>
      </c>
      <c r="J246" s="49">
        <f>IF(curve_type="Simulada",_xlfn.XLOOKUP(tbl_Bonds[[#This Row],[Coupon]],Simulador!$B$5:$B$147,Simulador!$N$5:$N$147),0)</f>
        <v>0</v>
      </c>
      <c r="K246" s="5" cm="1">
        <f t="array" ref="K24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4.8774403248048603E-2</v>
      </c>
      <c r="L246" s="5" cm="1">
        <f t="array" ref="L246">Interpola_FF(tbl_Bonds[[#This Row],[DU]],dus_svensson,svensson_real_spot)</f>
        <v>8.3802406981866362E-2</v>
      </c>
      <c r="M246" s="49">
        <f>IF(curve_type="Simulada",_xlfn.XLOOKUP(tbl_Bonds[[#This Row],[Coupon]],Simulador!$B$5:$B$147,Simulador!$K$5:$K$147),0)</f>
        <v>0</v>
      </c>
      <c r="N246" s="5" cm="1">
        <f t="array" ref="N24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8.3802406981866362E-2</v>
      </c>
      <c r="O246" s="6">
        <f>IF(curve_type="Mercado",tbl_Bonds[[#This Row],[FC]]/(1+tbl_Bonds[[#This Row],[Real Mercado]])^(tbl_Bonds[[#This Row],[DU]]/252),tbl_Bonds[[#This Row],[FC]]/(1+tbl_Bonds[[#This Row],[Real Simulada]])^(tbl_Bonds[[#This Row],[DU]]/252))</f>
        <v>2.811734025699774E-2</v>
      </c>
      <c r="P246" s="7">
        <f>tbl_Bonds[[#This Row],[Cotação]]*VNA</f>
        <v>111.21263682711987</v>
      </c>
      <c r="Q246" s="18">
        <f>tbl_Bonds[[#This Row],[Cotação]]%%*VNA</f>
        <v>1.1121263682711989E-2</v>
      </c>
      <c r="R24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-6.3929769464337967E-3</v>
      </c>
      <c r="S24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-6.0952790892216937E-3</v>
      </c>
      <c r="T24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6.6063355416083073E-3</v>
      </c>
      <c r="U246" s="18">
        <f>IF(curve_type="Mercado",tbl_Bonds[[#This Row],[VP Cupom]]*LN(1+tbl_Bonds[[#This Row],[Real Mercado]])/252,tbl_Bonds[[#This Row],[VP Cupom]]*LN(1+tbl_Bonds[[#This Row],[Real Simulada]])/252)</f>
        <v>3.5515492994237334E-2</v>
      </c>
      <c r="V246" s="18">
        <f>SUMIF(Dashboard!$B$28:$B$42,tbl_Bonds[[#This Row],[Bond]],Dashboard!$C$28:$C$42)</f>
        <v>6381</v>
      </c>
      <c r="W246" s="18">
        <f>tbl_Bonds[[#This Row],[Quantidade]]*tbl_Bonds[[#This Row],[𝛿P/𝛿VNA]]</f>
        <v>70.964783559385197</v>
      </c>
      <c r="X246" s="18">
        <f>+tbl_Bonds[[#This Row],[Quantidade]]*tbl_Bonds[[#This Row],[𝛿P/𝛿r_real]]</f>
        <v>-40.793585895194056</v>
      </c>
      <c r="Y246" s="18">
        <f>tbl_Bonds[[#This Row],[Quantidade]]*tbl_Bonds[[#This Row],[𝛿P/𝛿r_pre]]</f>
        <v>-38.893975868323629</v>
      </c>
      <c r="Z246" s="18">
        <f>tbl_Bonds[[#This Row],[Quantidade]]*tbl_Bonds[[#This Row],[𝛿P/𝛿r_implicita]]</f>
        <v>42.155027091002609</v>
      </c>
      <c r="AA246" s="18">
        <f>tbl_Bonds[[#This Row],[Quantidade]]*tbl_Bonds[[#This Row],[𝛿P/𝛿du]]</f>
        <v>226.62436079622842</v>
      </c>
    </row>
    <row r="247" spans="1:27">
      <c r="A247" s="2" t="s">
        <v>88</v>
      </c>
      <c r="B247" s="3">
        <v>56751</v>
      </c>
      <c r="C247" s="3">
        <v>45246</v>
      </c>
      <c r="D247" s="4">
        <f>NETWORKDAYS(Dashboard!$C$10,bonds!C247,feriados)-1</f>
        <v>285</v>
      </c>
      <c r="E247" s="2">
        <f>IF(tbl_Bonds[[#This Row],[Coupon]]&lt;tbl_Bonds[[#This Row],[Maturity]],SQRT(1.06)-1,SQRT(1.06))</f>
        <v>2.9563014098699991E-2</v>
      </c>
      <c r="F247" s="5" cm="1">
        <f t="array" ref="F247">Svensson(betas_pre,tbl_Bonds[[#This Row],[DU]])</f>
        <v>0.13048300825828854</v>
      </c>
      <c r="G247" s="49">
        <f>IF(curve_type="Simulada",_xlfn.XLOOKUP(tbl_Bonds[[#This Row],[Coupon]],Simulador!$B$5:$B$147,Simulador!$H$5:$H$147),0)</f>
        <v>0</v>
      </c>
      <c r="H247" s="5" cm="1">
        <f t="array" ref="H24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0.13048300825828854</v>
      </c>
      <c r="I247" s="5" cm="1">
        <f t="array" ref="I247">Interpola_FF(tbl_Bonds[[#This Row],[DU]],dus_svensson,svensson_implicita)</f>
        <v>5.1052336771006734E-2</v>
      </c>
      <c r="J247" s="49">
        <f>IF(curve_type="Simulada",_xlfn.XLOOKUP(tbl_Bonds[[#This Row],[Coupon]],Simulador!$B$5:$B$147,Simulador!$N$5:$N$147),0)</f>
        <v>0</v>
      </c>
      <c r="K247" s="5" cm="1">
        <f t="array" ref="K24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5.1052336771006734E-2</v>
      </c>
      <c r="L247" s="5" cm="1">
        <f t="array" ref="L247">Interpola_FF(tbl_Bonds[[#This Row],[DU]],dus_svensson,svensson_real_spot)</f>
        <v>7.5555946570935895E-2</v>
      </c>
      <c r="M247" s="49">
        <f>IF(curve_type="Simulada",_xlfn.XLOOKUP(tbl_Bonds[[#This Row],[Coupon]],Simulador!$B$5:$B$147,Simulador!$K$5:$K$147),0)</f>
        <v>0</v>
      </c>
      <c r="N247" s="5" cm="1">
        <f t="array" ref="N24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7.5555946570935895E-2</v>
      </c>
      <c r="O247" s="6">
        <f>IF(curve_type="Mercado",tbl_Bonds[[#This Row],[FC]]/(1+tbl_Bonds[[#This Row],[Real Mercado]])^(tbl_Bonds[[#This Row],[DU]]/252),tbl_Bonds[[#This Row],[FC]]/(1+tbl_Bonds[[#This Row],[Real Simulada]])^(tbl_Bonds[[#This Row],[DU]]/252))</f>
        <v>2.7225338447297978E-2</v>
      </c>
      <c r="P247" s="7">
        <f>tbl_Bonds[[#This Row],[Cotação]]*VNA</f>
        <v>107.68449823347802</v>
      </c>
      <c r="Q247" s="18">
        <f>tbl_Bonds[[#This Row],[Cotação]]%%*VNA</f>
        <v>1.0768449823347803E-2</v>
      </c>
      <c r="R24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-1.1323078084137794E-2</v>
      </c>
      <c r="S24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-1.0772733134262443E-2</v>
      </c>
      <c r="T24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1.1586855701399822E-2</v>
      </c>
      <c r="U247" s="18">
        <f>IF(curve_type="Mercado",tbl_Bonds[[#This Row],[VP Cupom]]*LN(1+tbl_Bonds[[#This Row],[Real Mercado]])/252,tbl_Bonds[[#This Row],[VP Cupom]]*LN(1+tbl_Bonds[[#This Row],[Real Simulada]])/252)</f>
        <v>3.1124959646336391E-2</v>
      </c>
      <c r="V247" s="18">
        <f>SUMIF(Dashboard!$B$28:$B$42,tbl_Bonds[[#This Row],[Bond]],Dashboard!$C$28:$C$42)</f>
        <v>6381</v>
      </c>
      <c r="W247" s="18">
        <f>tbl_Bonds[[#This Row],[Quantidade]]*tbl_Bonds[[#This Row],[𝛿P/𝛿VNA]]</f>
        <v>68.713478322782322</v>
      </c>
      <c r="X247" s="18">
        <f>+tbl_Bonds[[#This Row],[Quantidade]]*tbl_Bonds[[#This Row],[𝛿P/𝛿r_real]]</f>
        <v>-72.252561254883261</v>
      </c>
      <c r="Y247" s="18">
        <f>tbl_Bonds[[#This Row],[Quantidade]]*tbl_Bonds[[#This Row],[𝛿P/𝛿r_pre]]</f>
        <v>-68.740810129728644</v>
      </c>
      <c r="Z247" s="18">
        <f>tbl_Bonds[[#This Row],[Quantidade]]*tbl_Bonds[[#This Row],[𝛿P/𝛿r_implicita]]</f>
        <v>73.93572623063227</v>
      </c>
      <c r="AA247" s="18">
        <f>tbl_Bonds[[#This Row],[Quantidade]]*tbl_Bonds[[#This Row],[𝛿P/𝛿du]]</f>
        <v>198.60836750327252</v>
      </c>
    </row>
    <row r="248" spans="1:27">
      <c r="A248" s="2" t="s">
        <v>88</v>
      </c>
      <c r="B248" s="3">
        <v>56751</v>
      </c>
      <c r="C248" s="3">
        <v>45427</v>
      </c>
      <c r="D248" s="4">
        <f>NETWORKDAYS(Dashboard!$C$10,bonds!C248,feriados)-1</f>
        <v>408</v>
      </c>
      <c r="E248" s="2">
        <f>IF(tbl_Bonds[[#This Row],[Coupon]]&lt;tbl_Bonds[[#This Row],[Maturity]],SQRT(1.06)-1,SQRT(1.06))</f>
        <v>2.9563014098699991E-2</v>
      </c>
      <c r="F248" s="5" cm="1">
        <f t="array" ref="F248">Svensson(betas_pre,tbl_Bonds[[#This Row],[DU]])</f>
        <v>0.12477200252598092</v>
      </c>
      <c r="G248" s="49">
        <f>IF(curve_type="Simulada",_xlfn.XLOOKUP(tbl_Bonds[[#This Row],[Coupon]],Simulador!$B$5:$B$147,Simulador!$H$5:$H$147),0)</f>
        <v>0</v>
      </c>
      <c r="H248" s="5" cm="1">
        <f t="array" ref="H24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0.12477200252598092</v>
      </c>
      <c r="I248" s="5" cm="1">
        <f t="array" ref="I248">Interpola_FF(tbl_Bonds[[#This Row],[DU]],dus_svensson,svensson_implicita)</f>
        <v>5.145750573058927E-2</v>
      </c>
      <c r="J248" s="49">
        <f>IF(curve_type="Simulada",_xlfn.XLOOKUP(tbl_Bonds[[#This Row],[Coupon]],Simulador!$B$5:$B$147,Simulador!$N$5:$N$147),0)</f>
        <v>0</v>
      </c>
      <c r="K248" s="5" cm="1">
        <f t="array" ref="K24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5.145750573058927E-2</v>
      </c>
      <c r="L248" s="5" cm="1">
        <f t="array" ref="L248">Interpola_FF(tbl_Bonds[[#This Row],[DU]],dus_svensson,svensson_real_spot)</f>
        <v>6.9722414488002649E-2</v>
      </c>
      <c r="M248" s="49">
        <f>IF(curve_type="Simulada",_xlfn.XLOOKUP(tbl_Bonds[[#This Row],[Coupon]],Simulador!$B$5:$B$147,Simulador!$K$5:$K$147),0)</f>
        <v>0</v>
      </c>
      <c r="N248" s="5" cm="1">
        <f t="array" ref="N24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6.9722414488002649E-2</v>
      </c>
      <c r="O248" s="6">
        <f>IF(curve_type="Mercado",tbl_Bonds[[#This Row],[FC]]/(1+tbl_Bonds[[#This Row],[Real Mercado]])^(tbl_Bonds[[#This Row],[DU]]/252),tbl_Bonds[[#This Row],[FC]]/(1+tbl_Bonds[[#This Row],[Real Simulada]])^(tbl_Bonds[[#This Row],[DU]]/252))</f>
        <v>2.6506806781420551E-2</v>
      </c>
      <c r="P248" s="7">
        <f>tbl_Bonds[[#This Row],[Cotação]]*VNA</f>
        <v>104.84248684564328</v>
      </c>
      <c r="Q248" s="18">
        <f>tbl_Bonds[[#This Row],[Cotação]]%%*VNA</f>
        <v>1.0484248684564327E-2</v>
      </c>
      <c r="R24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-1.5868133302947989E-2</v>
      </c>
      <c r="S24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-1.5091406765664775E-2</v>
      </c>
      <c r="T24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1.6143678385705663E-2</v>
      </c>
      <c r="U248" s="18">
        <f>IF(curve_type="Mercado",tbl_Bonds[[#This Row],[VP Cupom]]*LN(1+tbl_Bonds[[#This Row],[Real Mercado]])/252,tbl_Bonds[[#This Row],[VP Cupom]]*LN(1+tbl_Bonds[[#This Row],[Real Simulada]])/252)</f>
        <v>2.804086744899854E-2</v>
      </c>
      <c r="V248" s="18">
        <f>SUMIF(Dashboard!$B$28:$B$42,tbl_Bonds[[#This Row],[Bond]],Dashboard!$C$28:$C$42)</f>
        <v>6381</v>
      </c>
      <c r="W248" s="18">
        <f>tbl_Bonds[[#This Row],[Quantidade]]*tbl_Bonds[[#This Row],[𝛿P/𝛿VNA]]</f>
        <v>66.899990856204965</v>
      </c>
      <c r="X248" s="18">
        <f>+tbl_Bonds[[#This Row],[Quantidade]]*tbl_Bonds[[#This Row],[𝛿P/𝛿r_real]]</f>
        <v>-101.25455860611112</v>
      </c>
      <c r="Y248" s="18">
        <f>tbl_Bonds[[#This Row],[Quantidade]]*tbl_Bonds[[#This Row],[𝛿P/𝛿r_pre]]</f>
        <v>-96.298266571706932</v>
      </c>
      <c r="Z248" s="18">
        <f>tbl_Bonds[[#This Row],[Quantidade]]*tbl_Bonds[[#This Row],[𝛿P/𝛿r_implicita]]</f>
        <v>103.01281177918784</v>
      </c>
      <c r="AA248" s="18">
        <f>tbl_Bonds[[#This Row],[Quantidade]]*tbl_Bonds[[#This Row],[𝛿P/𝛿du]]</f>
        <v>178.92877519205967</v>
      </c>
    </row>
    <row r="249" spans="1:27">
      <c r="A249" s="2" t="s">
        <v>88</v>
      </c>
      <c r="B249" s="3">
        <v>56751</v>
      </c>
      <c r="C249" s="3">
        <v>45614</v>
      </c>
      <c r="D249" s="4">
        <f>NETWORKDAYS(Dashboard!$C$10,bonds!C249,feriados)-1</f>
        <v>539</v>
      </c>
      <c r="E249" s="2">
        <f>IF(tbl_Bonds[[#This Row],[Coupon]]&lt;tbl_Bonds[[#This Row],[Maturity]],SQRT(1.06)-1,SQRT(1.06))</f>
        <v>2.9563014098699991E-2</v>
      </c>
      <c r="F249" s="5" cm="1">
        <f t="array" ref="F249">Svensson(betas_pre,tbl_Bonds[[#This Row],[DU]])</f>
        <v>0.1205205679154658</v>
      </c>
      <c r="G249" s="49">
        <f>IF(curve_type="Simulada",_xlfn.XLOOKUP(tbl_Bonds[[#This Row],[Coupon]],Simulador!$B$5:$B$147,Simulador!$H$5:$H$147),0)</f>
        <v>0</v>
      </c>
      <c r="H249" s="5" cm="1">
        <f t="array" ref="H24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0.1205205679154658</v>
      </c>
      <c r="I249" s="5" cm="1">
        <f t="array" ref="I249">Interpola_FF(tbl_Bonds[[#This Row],[DU]],dus_svensson,svensson_implicita)</f>
        <v>5.1902571978476253E-2</v>
      </c>
      <c r="J249" s="49">
        <f>IF(curve_type="Simulada",_xlfn.XLOOKUP(tbl_Bonds[[#This Row],[Coupon]],Simulador!$B$5:$B$147,Simulador!$N$5:$N$147),0)</f>
        <v>0</v>
      </c>
      <c r="K249" s="5" cm="1">
        <f t="array" ref="K24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5.1902571978476253E-2</v>
      </c>
      <c r="L249" s="5" cm="1">
        <f t="array" ref="L249">Interpola_FF(tbl_Bonds[[#This Row],[DU]],dus_svensson,svensson_real_spot)</f>
        <v>6.5232770467420487E-2</v>
      </c>
      <c r="M249" s="49">
        <f>IF(curve_type="Simulada",_xlfn.XLOOKUP(tbl_Bonds[[#This Row],[Coupon]],Simulador!$B$5:$B$147,Simulador!$K$5:$K$147),0)</f>
        <v>0</v>
      </c>
      <c r="N249" s="5" cm="1">
        <f t="array" ref="N24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6.5232770467420487E-2</v>
      </c>
      <c r="O249" s="6">
        <f>IF(curve_type="Mercado",tbl_Bonds[[#This Row],[FC]]/(1+tbl_Bonds[[#This Row],[Real Mercado]])^(tbl_Bonds[[#This Row],[DU]]/252),tbl_Bonds[[#This Row],[FC]]/(1+tbl_Bonds[[#This Row],[Real Simulada]])^(tbl_Bonds[[#This Row],[DU]]/252))</f>
        <v>2.582545221198981E-2</v>
      </c>
      <c r="P249" s="7">
        <f>tbl_Bonds[[#This Row],[Cotação]]*VNA</f>
        <v>102.147522187251</v>
      </c>
      <c r="Q249" s="18">
        <f>tbl_Bonds[[#This Row],[Cotação]]%%*VNA</f>
        <v>1.0214752218725099E-2</v>
      </c>
      <c r="R24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-2.0510277780693243E-2</v>
      </c>
      <c r="S24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-1.9498296117425307E-2</v>
      </c>
      <c r="T24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2.0770214296356313E-2</v>
      </c>
      <c r="U249" s="18">
        <f>IF(curve_type="Mercado",tbl_Bonds[[#This Row],[VP Cupom]]*LN(1+tbl_Bonds[[#This Row],[Real Mercado]])/252,tbl_Bonds[[#This Row],[VP Cupom]]*LN(1+tbl_Bonds[[#This Row],[Real Simulada]])/252)</f>
        <v>2.5615250030549975E-2</v>
      </c>
      <c r="V249" s="18">
        <f>SUMIF(Dashboard!$B$28:$B$42,tbl_Bonds[[#This Row],[Bond]],Dashboard!$C$28:$C$42)</f>
        <v>6381</v>
      </c>
      <c r="W249" s="18">
        <f>tbl_Bonds[[#This Row],[Quantidade]]*tbl_Bonds[[#This Row],[𝛿P/𝛿VNA]]</f>
        <v>65.180333907684854</v>
      </c>
      <c r="X249" s="18">
        <f>+tbl_Bonds[[#This Row],[Quantidade]]*tbl_Bonds[[#This Row],[𝛿P/𝛿r_real]]</f>
        <v>-130.8760825186036</v>
      </c>
      <c r="Y249" s="18">
        <f>tbl_Bonds[[#This Row],[Quantidade]]*tbl_Bonds[[#This Row],[𝛿P/𝛿r_pre]]</f>
        <v>-124.41862752529089</v>
      </c>
      <c r="Z249" s="18">
        <f>tbl_Bonds[[#This Row],[Quantidade]]*tbl_Bonds[[#This Row],[𝛿P/𝛿r_implicita]]</f>
        <v>132.53473742504963</v>
      </c>
      <c r="AA249" s="18">
        <f>tbl_Bonds[[#This Row],[Quantidade]]*tbl_Bonds[[#This Row],[𝛿P/𝛿du]]</f>
        <v>163.45091044493938</v>
      </c>
    </row>
    <row r="250" spans="1:27">
      <c r="A250" s="2" t="s">
        <v>88</v>
      </c>
      <c r="B250" s="3">
        <v>56751</v>
      </c>
      <c r="C250" s="3">
        <v>45792</v>
      </c>
      <c r="D250" s="4">
        <f>NETWORKDAYS(Dashboard!$C$10,bonds!C250,feriados)-1</f>
        <v>660</v>
      </c>
      <c r="E250" s="2">
        <f>IF(tbl_Bonds[[#This Row],[Coupon]]&lt;tbl_Bonds[[#This Row],[Maturity]],SQRT(1.06)-1,SQRT(1.06))</f>
        <v>2.9563014098699991E-2</v>
      </c>
      <c r="F250" s="5" cm="1">
        <f t="array" ref="F250">Svensson(betas_pre,tbl_Bonds[[#This Row],[DU]])</f>
        <v>0.11818582291207119</v>
      </c>
      <c r="G250" s="49">
        <f>IF(curve_type="Simulada",_xlfn.XLOOKUP(tbl_Bonds[[#This Row],[Coupon]],Simulador!$B$5:$B$147,Simulador!$H$5:$H$147),0)</f>
        <v>0</v>
      </c>
      <c r="H250" s="5" cm="1">
        <f t="array" ref="H25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0.11818582291207119</v>
      </c>
      <c r="I250" s="5" cm="1">
        <f t="array" ref="I250">Interpola_FF(tbl_Bonds[[#This Row],[DU]],dus_svensson,svensson_implicita)</f>
        <v>5.2626601395276529E-2</v>
      </c>
      <c r="J250" s="49">
        <f>IF(curve_type="Simulada",_xlfn.XLOOKUP(tbl_Bonds[[#This Row],[Coupon]],Simulador!$B$5:$B$147,Simulador!$N$5:$N$147),0)</f>
        <v>0</v>
      </c>
      <c r="K250" s="5" cm="1">
        <f t="array" ref="K25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5.2626601395276529E-2</v>
      </c>
      <c r="L250" s="5" cm="1">
        <f t="array" ref="L250">Interpola_FF(tbl_Bonds[[#This Row],[DU]],dus_svensson,svensson_real_spot)</f>
        <v>6.2283233879442124E-2</v>
      </c>
      <c r="M250" s="49">
        <f>IF(curve_type="Simulada",_xlfn.XLOOKUP(tbl_Bonds[[#This Row],[Coupon]],Simulador!$B$5:$B$147,Simulador!$K$5:$K$147),0)</f>
        <v>0</v>
      </c>
      <c r="N250" s="5" cm="1">
        <f t="array" ref="N25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6.2283233879442124E-2</v>
      </c>
      <c r="O250" s="6">
        <f>IF(curve_type="Mercado",tbl_Bonds[[#This Row],[FC]]/(1+tbl_Bonds[[#This Row],[Real Mercado]])^(tbl_Bonds[[#This Row],[DU]]/252),tbl_Bonds[[#This Row],[FC]]/(1+tbl_Bonds[[#This Row],[Real Simulada]])^(tbl_Bonds[[#This Row],[DU]]/252))</f>
        <v>2.5236204875844076E-2</v>
      </c>
      <c r="P250" s="7">
        <f>tbl_Bonds[[#This Row],[Cotação]]*VNA</f>
        <v>99.816869664745283</v>
      </c>
      <c r="Q250" s="18">
        <f>tbl_Bonds[[#This Row],[Cotação]]%%*VNA</f>
        <v>9.9816869664745272E-3</v>
      </c>
      <c r="R25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-2.4609739333032402E-2</v>
      </c>
      <c r="S25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-2.3379496647249337E-2</v>
      </c>
      <c r="T25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2.4835608052391964E-2</v>
      </c>
      <c r="U250" s="18">
        <f>IF(curve_type="Mercado",tbl_Bonds[[#This Row],[VP Cupom]]*LN(1+tbl_Bonds[[#This Row],[Real Mercado]])/252,tbl_Bonds[[#This Row],[VP Cupom]]*LN(1+tbl_Bonds[[#This Row],[Real Simulada]])/252)</f>
        <v>2.3932514844771872E-2</v>
      </c>
      <c r="V250" s="18">
        <f>SUMIF(Dashboard!$B$28:$B$42,tbl_Bonds[[#This Row],[Bond]],Dashboard!$C$28:$C$42)</f>
        <v>6381</v>
      </c>
      <c r="W250" s="18">
        <f>tbl_Bonds[[#This Row],[Quantidade]]*tbl_Bonds[[#This Row],[𝛿P/𝛿VNA]]</f>
        <v>63.693144533073955</v>
      </c>
      <c r="X250" s="18">
        <f>+tbl_Bonds[[#This Row],[Quantidade]]*tbl_Bonds[[#This Row],[𝛿P/𝛿r_real]]</f>
        <v>-157.03474668407975</v>
      </c>
      <c r="Y250" s="18">
        <f>tbl_Bonds[[#This Row],[Quantidade]]*tbl_Bonds[[#This Row],[𝛿P/𝛿r_pre]]</f>
        <v>-149.18456810609803</v>
      </c>
      <c r="Z250" s="18">
        <f>tbl_Bonds[[#This Row],[Quantidade]]*tbl_Bonds[[#This Row],[𝛿P/𝛿r_implicita]]</f>
        <v>158.47601498231313</v>
      </c>
      <c r="AA250" s="18">
        <f>tbl_Bonds[[#This Row],[Quantidade]]*tbl_Bonds[[#This Row],[𝛿P/𝛿du]]</f>
        <v>152.71337722448931</v>
      </c>
    </row>
    <row r="251" spans="1:27">
      <c r="A251" s="2" t="s">
        <v>88</v>
      </c>
      <c r="B251" s="3">
        <v>56751</v>
      </c>
      <c r="C251" s="3">
        <v>45978</v>
      </c>
      <c r="D251" s="4">
        <f>NETWORKDAYS(Dashboard!$C$10,bonds!C251,feriados)-1</f>
        <v>791</v>
      </c>
      <c r="E251" s="2">
        <f>IF(tbl_Bonds[[#This Row],[Coupon]]&lt;tbl_Bonds[[#This Row],[Maturity]],SQRT(1.06)-1,SQRT(1.06))</f>
        <v>2.9563014098699991E-2</v>
      </c>
      <c r="F251" s="5" cm="1">
        <f t="array" ref="F251">Svensson(betas_pre,tbl_Bonds[[#This Row],[DU]])</f>
        <v>0.11689729255746713</v>
      </c>
      <c r="G251" s="49">
        <f>IF(curve_type="Simulada",_xlfn.XLOOKUP(tbl_Bonds[[#This Row],[Coupon]],Simulador!$B$5:$B$147,Simulador!$H$5:$H$147),0)</f>
        <v>0</v>
      </c>
      <c r="H251" s="5" cm="1">
        <f t="array" ref="H25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0.11689729255746713</v>
      </c>
      <c r="I251" s="5" cm="1">
        <f t="array" ref="I251">Interpola_FF(tbl_Bonds[[#This Row],[DU]],dus_svensson,svensson_implicita)</f>
        <v>5.3651431773697356E-2</v>
      </c>
      <c r="J251" s="49">
        <f>IF(curve_type="Simulada",_xlfn.XLOOKUP(tbl_Bonds[[#This Row],[Coupon]],Simulador!$B$5:$B$147,Simulador!$N$5:$N$147),0)</f>
        <v>0</v>
      </c>
      <c r="K251" s="5" cm="1">
        <f t="array" ref="K25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5.3651431773697356E-2</v>
      </c>
      <c r="L251" s="5" cm="1">
        <f t="array" ref="L251">Interpola_FF(tbl_Bonds[[#This Row],[DU]],dus_svensson,svensson_real_spot)</f>
        <v>6.0071388550429816E-2</v>
      </c>
      <c r="M251" s="49">
        <f>IF(curve_type="Simulada",_xlfn.XLOOKUP(tbl_Bonds[[#This Row],[Coupon]],Simulador!$B$5:$B$147,Simulador!$K$5:$K$147),0)</f>
        <v>0</v>
      </c>
      <c r="N251" s="5" cm="1">
        <f t="array" ref="N25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6.0071388550429816E-2</v>
      </c>
      <c r="O251" s="6">
        <f>IF(curve_type="Mercado",tbl_Bonds[[#This Row],[FC]]/(1+tbl_Bonds[[#This Row],[Real Mercado]])^(tbl_Bonds[[#This Row],[DU]]/252),tbl_Bonds[[#This Row],[FC]]/(1+tbl_Bonds[[#This Row],[Real Simulada]])^(tbl_Bonds[[#This Row],[DU]]/252))</f>
        <v>2.4616403711601106E-2</v>
      </c>
      <c r="P251" s="7">
        <f>tbl_Bonds[[#This Row],[Cotação]]*VNA</f>
        <v>97.365367454580706</v>
      </c>
      <c r="Q251" s="18">
        <f>tbl_Bonds[[#This Row],[Cotação]]%%*VNA</f>
        <v>9.7365367454580708E-3</v>
      </c>
      <c r="R25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-2.883004610507213E-2</v>
      </c>
      <c r="S25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-2.7366946131968849E-2</v>
      </c>
      <c r="T25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2.9009658335401964E-2</v>
      </c>
      <c r="U251" s="18">
        <f>IF(curve_type="Mercado",tbl_Bonds[[#This Row],[VP Cupom]]*LN(1+tbl_Bonds[[#This Row],[Real Mercado]])/252,tbl_Bonds[[#This Row],[VP Cupom]]*LN(1+tbl_Bonds[[#This Row],[Real Simulada]])/252)</f>
        <v>2.2539407787152282E-2</v>
      </c>
      <c r="V251" s="18">
        <f>SUMIF(Dashboard!$B$28:$B$42,tbl_Bonds[[#This Row],[Bond]],Dashboard!$C$28:$C$42)</f>
        <v>6381</v>
      </c>
      <c r="W251" s="18">
        <f>tbl_Bonds[[#This Row],[Quantidade]]*tbl_Bonds[[#This Row],[𝛿P/𝛿VNA]]</f>
        <v>62.128840972767946</v>
      </c>
      <c r="X251" s="18">
        <f>+tbl_Bonds[[#This Row],[Quantidade]]*tbl_Bonds[[#This Row],[𝛿P/𝛿r_real]]</f>
        <v>-183.96452419646525</v>
      </c>
      <c r="Y251" s="18">
        <f>tbl_Bonds[[#This Row],[Quantidade]]*tbl_Bonds[[#This Row],[𝛿P/𝛿r_pre]]</f>
        <v>-174.62848326809322</v>
      </c>
      <c r="Z251" s="18">
        <f>tbl_Bonds[[#This Row],[Quantidade]]*tbl_Bonds[[#This Row],[𝛿P/𝛿r_implicita]]</f>
        <v>185.11062983819994</v>
      </c>
      <c r="AA251" s="18">
        <f>tbl_Bonds[[#This Row],[Quantidade]]*tbl_Bonds[[#This Row],[𝛿P/𝛿du]]</f>
        <v>143.82396108981871</v>
      </c>
    </row>
    <row r="252" spans="1:27">
      <c r="A252" s="2" t="s">
        <v>88</v>
      </c>
      <c r="B252" s="3">
        <v>56751</v>
      </c>
      <c r="C252" s="3">
        <v>46157</v>
      </c>
      <c r="D252" s="4">
        <f>NETWORKDAYS(Dashboard!$C$10,bonds!C252,feriados)-1</f>
        <v>913</v>
      </c>
      <c r="E252" s="2">
        <f>IF(tbl_Bonds[[#This Row],[Coupon]]&lt;tbl_Bonds[[#This Row],[Maturity]],SQRT(1.06)-1,SQRT(1.06))</f>
        <v>2.9563014098699991E-2</v>
      </c>
      <c r="F252" s="5" cm="1">
        <f t="array" ref="F252">Svensson(betas_pre,tbl_Bonds[[#This Row],[DU]])</f>
        <v>0.11643527123250733</v>
      </c>
      <c r="G252" s="49">
        <f>IF(curve_type="Simulada",_xlfn.XLOOKUP(tbl_Bonds[[#This Row],[Coupon]],Simulador!$B$5:$B$147,Simulador!$H$5:$H$147),0)</f>
        <v>0</v>
      </c>
      <c r="H252" s="5" cm="1">
        <f t="array" ref="H25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0.11643527123250733</v>
      </c>
      <c r="I252" s="5" cm="1">
        <f t="array" ref="I252">Interpola_FF(tbl_Bonds[[#This Row],[DU]],dus_svensson,svensson_implicita)</f>
        <v>5.4589692520684352E-2</v>
      </c>
      <c r="J252" s="49">
        <f>IF(curve_type="Simulada",_xlfn.XLOOKUP(tbl_Bonds[[#This Row],[Coupon]],Simulador!$B$5:$B$147,Simulador!$N$5:$N$147),0)</f>
        <v>0</v>
      </c>
      <c r="K252" s="5" cm="1">
        <f t="array" ref="K25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5.4589692520684352E-2</v>
      </c>
      <c r="L252" s="5" cm="1">
        <f t="array" ref="L252">Interpola_FF(tbl_Bonds[[#This Row],[DU]],dus_svensson,svensson_real_spot)</f>
        <v>5.8675502773394728E-2</v>
      </c>
      <c r="M252" s="49">
        <f>IF(curve_type="Simulada",_xlfn.XLOOKUP(tbl_Bonds[[#This Row],[Coupon]],Simulador!$B$5:$B$147,Simulador!$K$5:$K$147),0)</f>
        <v>0</v>
      </c>
      <c r="N252" s="5" cm="1">
        <f t="array" ref="N25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5.8675502773394728E-2</v>
      </c>
      <c r="O252" s="6">
        <f>IF(curve_type="Mercado",tbl_Bonds[[#This Row],[FC]]/(1+tbl_Bonds[[#This Row],[Real Mercado]])^(tbl_Bonds[[#This Row],[DU]]/252),tbl_Bonds[[#This Row],[FC]]/(1+tbl_Bonds[[#This Row],[Real Simulada]])^(tbl_Bonds[[#This Row],[DU]]/252))</f>
        <v>2.4045425231161977E-2</v>
      </c>
      <c r="P252" s="7">
        <f>tbl_Bonds[[#This Row],[Cotação]]*VNA</f>
        <v>95.106973815610033</v>
      </c>
      <c r="Q252" s="18">
        <f>tbl_Bonds[[#This Row],[Cotação]]%%*VNA</f>
        <v>9.5106973815610035E-3</v>
      </c>
      <c r="R25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-3.2547657413984278E-2</v>
      </c>
      <c r="S25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-3.0867081019489678E-2</v>
      </c>
      <c r="T25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3.2677256580974812E-2</v>
      </c>
      <c r="U252" s="18">
        <f>IF(curve_type="Mercado",tbl_Bonds[[#This Row],[VP Cupom]]*LN(1+tbl_Bonds[[#This Row],[Real Mercado]])/252,tbl_Bonds[[#This Row],[VP Cupom]]*LN(1+tbl_Bonds[[#This Row],[Real Simulada]])/252)</f>
        <v>2.1519311923447255E-2</v>
      </c>
      <c r="V252" s="18">
        <f>SUMIF(Dashboard!$B$28:$B$42,tbl_Bonds[[#This Row],[Bond]],Dashboard!$C$28:$C$42)</f>
        <v>6381</v>
      </c>
      <c r="W252" s="18">
        <f>tbl_Bonds[[#This Row],[Quantidade]]*tbl_Bonds[[#This Row],[𝛿P/𝛿VNA]]</f>
        <v>60.687759991740762</v>
      </c>
      <c r="X252" s="18">
        <f>+tbl_Bonds[[#This Row],[Quantidade]]*tbl_Bonds[[#This Row],[𝛿P/𝛿r_real]]</f>
        <v>-207.68660195863367</v>
      </c>
      <c r="Y252" s="18">
        <f>tbl_Bonds[[#This Row],[Quantidade]]*tbl_Bonds[[#This Row],[𝛿P/𝛿r_pre]]</f>
        <v>-196.96284398536363</v>
      </c>
      <c r="Z252" s="18">
        <f>tbl_Bonds[[#This Row],[Quantidade]]*tbl_Bonds[[#This Row],[𝛿P/𝛿r_implicita]]</f>
        <v>208.51357424320028</v>
      </c>
      <c r="AA252" s="18">
        <f>tbl_Bonds[[#This Row],[Quantidade]]*tbl_Bonds[[#This Row],[𝛿P/𝛿du]]</f>
        <v>137.31472938351695</v>
      </c>
    </row>
    <row r="253" spans="1:27">
      <c r="A253" s="2" t="s">
        <v>88</v>
      </c>
      <c r="B253" s="3">
        <v>56751</v>
      </c>
      <c r="C253" s="3">
        <v>46342</v>
      </c>
      <c r="D253" s="4">
        <f>NETWORKDAYS(Dashboard!$C$10,bonds!C253,feriados)-1</f>
        <v>1040</v>
      </c>
      <c r="E253" s="2">
        <f>IF(tbl_Bonds[[#This Row],[Coupon]]&lt;tbl_Bonds[[#This Row],[Maturity]],SQRT(1.06)-1,SQRT(1.06))</f>
        <v>2.9563014098699991E-2</v>
      </c>
      <c r="F253" s="5" cm="1">
        <f t="array" ref="F253">Svensson(betas_pre,tbl_Bonds[[#This Row],[DU]])</f>
        <v>0.11639008955215797</v>
      </c>
      <c r="G253" s="49">
        <f>IF(curve_type="Simulada",_xlfn.XLOOKUP(tbl_Bonds[[#This Row],[Coupon]],Simulador!$B$5:$B$147,Simulador!$H$5:$H$147),0)</f>
        <v>0</v>
      </c>
      <c r="H253" s="5" cm="1">
        <f t="array" ref="H25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0.11639008955215797</v>
      </c>
      <c r="I253" s="5" cm="1">
        <f t="array" ref="I253">Interpola_FF(tbl_Bonds[[#This Row],[DU]],dus_svensson,svensson_implicita)</f>
        <v>5.5484848781022444E-2</v>
      </c>
      <c r="J253" s="49">
        <f>IF(curve_type="Simulada",_xlfn.XLOOKUP(tbl_Bonds[[#This Row],[Coupon]],Simulador!$B$5:$B$147,Simulador!$N$5:$N$147),0)</f>
        <v>0</v>
      </c>
      <c r="K253" s="5" cm="1">
        <f t="array" ref="K25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5.5484848781022444E-2</v>
      </c>
      <c r="L253" s="5" cm="1">
        <f t="array" ref="L253">Interpola_FF(tbl_Bonds[[#This Row],[DU]],dus_svensson,svensson_real_spot)</f>
        <v>5.7724810900317891E-2</v>
      </c>
      <c r="M253" s="49">
        <f>IF(curve_type="Simulada",_xlfn.XLOOKUP(tbl_Bonds[[#This Row],[Coupon]],Simulador!$B$5:$B$147,Simulador!$K$5:$K$147),0)</f>
        <v>0</v>
      </c>
      <c r="N253" s="5" cm="1">
        <f t="array" ref="N25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5.7724810900317891E-2</v>
      </c>
      <c r="O253" s="6">
        <f>IF(curve_type="Mercado",tbl_Bonds[[#This Row],[FC]]/(1+tbl_Bonds[[#This Row],[Real Mercado]])^(tbl_Bonds[[#This Row],[DU]]/252),tbl_Bonds[[#This Row],[FC]]/(1+tbl_Bonds[[#This Row],[Real Simulada]])^(tbl_Bonds[[#This Row],[DU]]/252))</f>
        <v>2.3451088136767103E-2</v>
      </c>
      <c r="P253" s="7">
        <f>tbl_Bonds[[#This Row],[Cotação]]*VNA</f>
        <v>92.756189750414791</v>
      </c>
      <c r="Q253" s="18">
        <f>tbl_Bonds[[#This Row],[Cotação]]%%*VNA</f>
        <v>9.2756189750414809E-3</v>
      </c>
      <c r="R25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-3.6191201986994492E-2</v>
      </c>
      <c r="S25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-3.429222973932803E-2</v>
      </c>
      <c r="T25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3.6271013718335375E-2</v>
      </c>
      <c r="U253" s="18">
        <f>IF(curve_type="Mercado",tbl_Bonds[[#This Row],[VP Cupom]]*LN(1+tbl_Bonds[[#This Row],[Real Mercado]])/252,tbl_Bonds[[#This Row],[VP Cupom]]*LN(1+tbl_Bonds[[#This Row],[Real Simulada]])/252)</f>
        <v>2.0656728547456874E-2</v>
      </c>
      <c r="V253" s="18">
        <f>SUMIF(Dashboard!$B$28:$B$42,tbl_Bonds[[#This Row],[Bond]],Dashboard!$C$28:$C$42)</f>
        <v>6381</v>
      </c>
      <c r="W253" s="18">
        <f>tbl_Bonds[[#This Row],[Quantidade]]*tbl_Bonds[[#This Row],[𝛿P/𝛿VNA]]</f>
        <v>59.187724679739688</v>
      </c>
      <c r="X253" s="18">
        <f>+tbl_Bonds[[#This Row],[Quantidade]]*tbl_Bonds[[#This Row],[𝛿P/𝛿r_real]]</f>
        <v>-230.93605987901185</v>
      </c>
      <c r="Y253" s="18">
        <f>tbl_Bonds[[#This Row],[Quantidade]]*tbl_Bonds[[#This Row],[𝛿P/𝛿r_pre]]</f>
        <v>-218.81871796665214</v>
      </c>
      <c r="Z253" s="18">
        <f>tbl_Bonds[[#This Row],[Quantidade]]*tbl_Bonds[[#This Row],[𝛿P/𝛿r_implicita]]</f>
        <v>231.44533853669802</v>
      </c>
      <c r="AA253" s="18">
        <f>tbl_Bonds[[#This Row],[Quantidade]]*tbl_Bonds[[#This Row],[𝛿P/𝛿du]]</f>
        <v>131.81058486132233</v>
      </c>
    </row>
    <row r="254" spans="1:27">
      <c r="A254" s="2" t="s">
        <v>88</v>
      </c>
      <c r="B254" s="3">
        <v>56751</v>
      </c>
      <c r="C254" s="3">
        <v>46524</v>
      </c>
      <c r="D254" s="4">
        <f>NETWORKDAYS(Dashboard!$C$10,bonds!C254,feriados)-1</f>
        <v>1164</v>
      </c>
      <c r="E254" s="2">
        <f>IF(tbl_Bonds[[#This Row],[Coupon]]&lt;tbl_Bonds[[#This Row],[Maturity]],SQRT(1.06)-1,SQRT(1.06))</f>
        <v>2.9563014098699991E-2</v>
      </c>
      <c r="F254" s="5" cm="1">
        <f t="array" ref="F254">Svensson(betas_pre,tbl_Bonds[[#This Row],[DU]])</f>
        <v>0.11657438368857059</v>
      </c>
      <c r="G254" s="49">
        <f>IF(curve_type="Simulada",_xlfn.XLOOKUP(tbl_Bonds[[#This Row],[Coupon]],Simulador!$B$5:$B$147,Simulador!$H$5:$H$147),0)</f>
        <v>0</v>
      </c>
      <c r="H254" s="5" cm="1">
        <f t="array" ref="H25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0.11657438368857059</v>
      </c>
      <c r="I254" s="5" cm="1">
        <f t="array" ref="I254">Interpola_FF(tbl_Bonds[[#This Row],[DU]],dus_svensson,svensson_implicita)</f>
        <v>5.6218908932760714E-2</v>
      </c>
      <c r="J254" s="49">
        <f>IF(curve_type="Simulada",_xlfn.XLOOKUP(tbl_Bonds[[#This Row],[Coupon]],Simulador!$B$5:$B$147,Simulador!$N$5:$N$147),0)</f>
        <v>0</v>
      </c>
      <c r="K254" s="5" cm="1">
        <f t="array" ref="K25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5.6218908932760714E-2</v>
      </c>
      <c r="L254" s="5" cm="1">
        <f t="array" ref="L254">Interpola_FF(tbl_Bonds[[#This Row],[DU]],dus_svensson,svensson_real_spot)</f>
        <v>5.715583461245699E-2</v>
      </c>
      <c r="M254" s="49">
        <f>IF(curve_type="Simulada",_xlfn.XLOOKUP(tbl_Bonds[[#This Row],[Coupon]],Simulador!$B$5:$B$147,Simulador!$K$5:$K$147),0)</f>
        <v>0</v>
      </c>
      <c r="N254" s="5" cm="1">
        <f t="array" ref="N25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5.715583461245699E-2</v>
      </c>
      <c r="O254" s="6">
        <f>IF(curve_type="Mercado",tbl_Bonds[[#This Row],[FC]]/(1+tbl_Bonds[[#This Row],[Real Mercado]])^(tbl_Bonds[[#This Row],[DU]]/252),tbl_Bonds[[#This Row],[FC]]/(1+tbl_Bonds[[#This Row],[Real Simulada]])^(tbl_Bonds[[#This Row],[DU]]/252))</f>
        <v>2.2869120816788407E-2</v>
      </c>
      <c r="P254" s="7">
        <f>tbl_Bonds[[#This Row],[Cotação]]*VNA</f>
        <v>90.454331907159684</v>
      </c>
      <c r="Q254" s="18">
        <f>tbl_Bonds[[#This Row],[Cotação]]%%*VNA</f>
        <v>9.0454331907159676E-3</v>
      </c>
      <c r="R25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-3.9522353540381784E-2</v>
      </c>
      <c r="S25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-3.7421275004550628E-2</v>
      </c>
      <c r="T25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3.9559637421437782E-2</v>
      </c>
      <c r="U254" s="18">
        <f>IF(curve_type="Mercado",tbl_Bonds[[#This Row],[VP Cupom]]*LN(1+tbl_Bonds[[#This Row],[Real Mercado]])/252,tbl_Bonds[[#This Row],[VP Cupom]]*LN(1+tbl_Bonds[[#This Row],[Real Simulada]])/252)</f>
        <v>1.9950968926875819E-2</v>
      </c>
      <c r="V254" s="18">
        <f>SUMIF(Dashboard!$B$28:$B$42,tbl_Bonds[[#This Row],[Bond]],Dashboard!$C$28:$C$42)</f>
        <v>6381</v>
      </c>
      <c r="W254" s="18">
        <f>tbl_Bonds[[#This Row],[Quantidade]]*tbl_Bonds[[#This Row],[𝛿P/𝛿VNA]]</f>
        <v>57.718909189958588</v>
      </c>
      <c r="X254" s="18">
        <f>+tbl_Bonds[[#This Row],[Quantidade]]*tbl_Bonds[[#This Row],[𝛿P/𝛿r_real]]</f>
        <v>-252.19213794117616</v>
      </c>
      <c r="Y254" s="18">
        <f>tbl_Bonds[[#This Row],[Quantidade]]*tbl_Bonds[[#This Row],[𝛿P/𝛿r_pre]]</f>
        <v>-238.78515580403754</v>
      </c>
      <c r="Z254" s="18">
        <f>tbl_Bonds[[#This Row],[Quantidade]]*tbl_Bonds[[#This Row],[𝛿P/𝛿r_implicita]]</f>
        <v>252.43004638619448</v>
      </c>
      <c r="AA254" s="18">
        <f>tbl_Bonds[[#This Row],[Quantidade]]*tbl_Bonds[[#This Row],[𝛿P/𝛿du]]</f>
        <v>127.3071327223946</v>
      </c>
    </row>
    <row r="255" spans="1:27">
      <c r="A255" s="2" t="s">
        <v>88</v>
      </c>
      <c r="B255" s="3">
        <v>56751</v>
      </c>
      <c r="C255" s="3">
        <v>46707</v>
      </c>
      <c r="D255" s="4">
        <f>NETWORKDAYS(Dashboard!$C$10,bonds!C255,feriados)-1</f>
        <v>1290</v>
      </c>
      <c r="E255" s="2">
        <f>IF(tbl_Bonds[[#This Row],[Coupon]]&lt;tbl_Bonds[[#This Row],[Maturity]],SQRT(1.06)-1,SQRT(1.06))</f>
        <v>2.9563014098699991E-2</v>
      </c>
      <c r="F255" s="5" cm="1">
        <f t="array" ref="F255">Svensson(betas_pre,tbl_Bonds[[#This Row],[DU]])</f>
        <v>0.11686894003503029</v>
      </c>
      <c r="G255" s="49">
        <f>IF(curve_type="Simulada",_xlfn.XLOOKUP(tbl_Bonds[[#This Row],[Coupon]],Simulador!$B$5:$B$147,Simulador!$H$5:$H$147),0)</f>
        <v>0</v>
      </c>
      <c r="H255" s="5" cm="1">
        <f t="array" ref="H25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0.11686894003503029</v>
      </c>
      <c r="I255" s="5" cm="1">
        <f t="array" ref="I255">Interpola_FF(tbl_Bonds[[#This Row],[DU]],dus_svensson,svensson_implicita)</f>
        <v>5.6808529739978075E-2</v>
      </c>
      <c r="J255" s="49">
        <f>IF(curve_type="Simulada",_xlfn.XLOOKUP(tbl_Bonds[[#This Row],[Coupon]],Simulador!$B$5:$B$147,Simulador!$N$5:$N$147),0)</f>
        <v>0</v>
      </c>
      <c r="K255" s="5" cm="1">
        <f t="array" ref="K25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5.6808529739978075E-2</v>
      </c>
      <c r="L255" s="5" cm="1">
        <f t="array" ref="L255">Interpola_FF(tbl_Bonds[[#This Row],[DU]],dus_svensson,svensson_real_spot)</f>
        <v>5.6839715309690009E-2</v>
      </c>
      <c r="M255" s="49">
        <f>IF(curve_type="Simulada",_xlfn.XLOOKUP(tbl_Bonds[[#This Row],[Coupon]],Simulador!$B$5:$B$147,Simulador!$K$5:$K$147),0)</f>
        <v>0</v>
      </c>
      <c r="N255" s="5" cm="1">
        <f t="array" ref="N25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5.6839715309690009E-2</v>
      </c>
      <c r="O255" s="6">
        <f>IF(curve_type="Mercado",tbl_Bonds[[#This Row],[FC]]/(1+tbl_Bonds[[#This Row],[Real Mercado]])^(tbl_Bonds[[#This Row],[DU]]/252),tbl_Bonds[[#This Row],[FC]]/(1+tbl_Bonds[[#This Row],[Real Simulada]])^(tbl_Bonds[[#This Row],[DU]]/252))</f>
        <v>2.2276392136812775E-2</v>
      </c>
      <c r="P255" s="7">
        <f>tbl_Bonds[[#This Row],[Cotação]]*VNA</f>
        <v>88.109909610433292</v>
      </c>
      <c r="Q255" s="18">
        <f>tbl_Bonds[[#This Row],[Cotação]]%%*VNA</f>
        <v>8.8109909610433277E-3</v>
      </c>
      <c r="R25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-4.2678072793055445E-2</v>
      </c>
      <c r="S25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-4.0385754851421457E-2</v>
      </c>
      <c r="T25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4.2680953024214943E-2</v>
      </c>
      <c r="U255" s="18">
        <f>IF(curve_type="Mercado",tbl_Bonds[[#This Row],[VP Cupom]]*LN(1+tbl_Bonds[[#This Row],[Real Mercado]])/252,tbl_Bonds[[#This Row],[VP Cupom]]*LN(1+tbl_Bonds[[#This Row],[Real Simulada]])/252)</f>
        <v>1.9329305208177574E-2</v>
      </c>
      <c r="V255" s="18">
        <f>SUMIF(Dashboard!$B$28:$B$42,tbl_Bonds[[#This Row],[Bond]],Dashboard!$C$28:$C$42)</f>
        <v>6381</v>
      </c>
      <c r="W255" s="18">
        <f>tbl_Bonds[[#This Row],[Quantidade]]*tbl_Bonds[[#This Row],[𝛿P/𝛿VNA]]</f>
        <v>56.222933322417475</v>
      </c>
      <c r="X255" s="18">
        <f>+tbl_Bonds[[#This Row],[Quantidade]]*tbl_Bonds[[#This Row],[𝛿P/𝛿r_real]]</f>
        <v>-272.32878249248682</v>
      </c>
      <c r="Y255" s="18">
        <f>tbl_Bonds[[#This Row],[Quantidade]]*tbl_Bonds[[#This Row],[𝛿P/𝛿r_pre]]</f>
        <v>-257.70150170692034</v>
      </c>
      <c r="Z255" s="18">
        <f>tbl_Bonds[[#This Row],[Quantidade]]*tbl_Bonds[[#This Row],[𝛿P/𝛿r_implicita]]</f>
        <v>272.34716124751554</v>
      </c>
      <c r="AA255" s="18">
        <f>tbl_Bonds[[#This Row],[Quantidade]]*tbl_Bonds[[#This Row],[𝛿P/𝛿du]]</f>
        <v>123.34029653338109</v>
      </c>
    </row>
    <row r="256" spans="1:27">
      <c r="A256" s="2" t="s">
        <v>88</v>
      </c>
      <c r="B256" s="3">
        <v>56751</v>
      </c>
      <c r="C256" s="3">
        <v>46888</v>
      </c>
      <c r="D256" s="4">
        <f>NETWORKDAYS(Dashboard!$C$10,bonds!C256,feriados)-1</f>
        <v>1414</v>
      </c>
      <c r="E256" s="2">
        <f>IF(tbl_Bonds[[#This Row],[Coupon]]&lt;tbl_Bonds[[#This Row],[Maturity]],SQRT(1.06)-1,SQRT(1.06))</f>
        <v>2.9563014098699991E-2</v>
      </c>
      <c r="F256" s="5" cm="1">
        <f t="array" ref="F256">Svensson(betas_pre,tbl_Bonds[[#This Row],[DU]])</f>
        <v>0.11719588464999479</v>
      </c>
      <c r="G256" s="49">
        <f>IF(curve_type="Simulada",_xlfn.XLOOKUP(tbl_Bonds[[#This Row],[Coupon]],Simulador!$B$5:$B$147,Simulador!$H$5:$H$147),0)</f>
        <v>0</v>
      </c>
      <c r="H256" s="5" cm="1">
        <f t="array" ref="H25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0.11719588464999479</v>
      </c>
      <c r="I256" s="5" cm="1">
        <f t="array" ref="I256">Interpola_FF(tbl_Bonds[[#This Row],[DU]],dus_svensson,svensson_implicita)</f>
        <v>5.724503337137854E-2</v>
      </c>
      <c r="J256" s="49">
        <f>IF(curve_type="Simulada",_xlfn.XLOOKUP(tbl_Bonds[[#This Row],[Coupon]],Simulador!$B$5:$B$147,Simulador!$N$5:$N$147),0)</f>
        <v>0</v>
      </c>
      <c r="K256" s="5" cm="1">
        <f t="array" ref="K25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5.724503337137854E-2</v>
      </c>
      <c r="L256" s="5" cm="1">
        <f t="array" ref="L256">Interpola_FF(tbl_Bonds[[#This Row],[DU]],dus_svensson,svensson_real_spot)</f>
        <v>5.6709240208270062E-2</v>
      </c>
      <c r="M256" s="49">
        <f>IF(curve_type="Simulada",_xlfn.XLOOKUP(tbl_Bonds[[#This Row],[Coupon]],Simulador!$B$5:$B$147,Simulador!$K$5:$K$147),0)</f>
        <v>0</v>
      </c>
      <c r="N256" s="5" cm="1">
        <f t="array" ref="N25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5.6709240208270062E-2</v>
      </c>
      <c r="O256" s="6">
        <f>IF(curve_type="Mercado",tbl_Bonds[[#This Row],[FC]]/(1+tbl_Bonds[[#This Row],[Real Mercado]])^(tbl_Bonds[[#This Row],[DU]]/252),tbl_Bonds[[#This Row],[FC]]/(1+tbl_Bonds[[#This Row],[Real Simulada]])^(tbl_Bonds[[#This Row],[DU]]/252))</f>
        <v>2.1693604087250247E-2</v>
      </c>
      <c r="P256" s="7">
        <f>tbl_Bonds[[#This Row],[Cotação]]*VNA</f>
        <v>85.804805531925993</v>
      </c>
      <c r="Q256" s="18">
        <f>tbl_Bonds[[#This Row],[Cotação]]%%*VNA</f>
        <v>8.5804805531925973E-3</v>
      </c>
      <c r="R25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-4.5562230307745345E-2</v>
      </c>
      <c r="S25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-4.3096443240183024E-2</v>
      </c>
      <c r="T25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4.5540217746354646E-2</v>
      </c>
      <c r="U256" s="18">
        <f>IF(curve_type="Mercado",tbl_Bonds[[#This Row],[VP Cupom]]*LN(1+tbl_Bonds[[#This Row],[Real Mercado]])/252,tbl_Bonds[[#This Row],[VP Cupom]]*LN(1+tbl_Bonds[[#This Row],[Real Simulada]])/252)</f>
        <v>1.8781578541876735E-2</v>
      </c>
      <c r="V256" s="18">
        <f>SUMIF(Dashboard!$B$28:$B$42,tbl_Bonds[[#This Row],[Bond]],Dashboard!$C$28:$C$42)</f>
        <v>6381</v>
      </c>
      <c r="W256" s="18">
        <f>tbl_Bonds[[#This Row],[Quantidade]]*tbl_Bonds[[#This Row],[𝛿P/𝛿VNA]]</f>
        <v>54.752046409921967</v>
      </c>
      <c r="X256" s="18">
        <f>+tbl_Bonds[[#This Row],[Quantidade]]*tbl_Bonds[[#This Row],[𝛿P/𝛿r_real]]</f>
        <v>-290.73259159372304</v>
      </c>
      <c r="Y256" s="18">
        <f>tbl_Bonds[[#This Row],[Quantidade]]*tbl_Bonds[[#This Row],[𝛿P/𝛿r_pre]]</f>
        <v>-274.9984043156079</v>
      </c>
      <c r="Z256" s="18">
        <f>tbl_Bonds[[#This Row],[Quantidade]]*tbl_Bonds[[#This Row],[𝛿P/𝛿r_implicita]]</f>
        <v>290.59212943948899</v>
      </c>
      <c r="AA256" s="18">
        <f>tbl_Bonds[[#This Row],[Quantidade]]*tbl_Bonds[[#This Row],[𝛿P/𝛿du]]</f>
        <v>119.84525267571544</v>
      </c>
    </row>
    <row r="257" spans="1:27">
      <c r="A257" s="2" t="s">
        <v>88</v>
      </c>
      <c r="B257" s="3">
        <v>56751</v>
      </c>
      <c r="C257" s="3">
        <v>47073</v>
      </c>
      <c r="D257" s="4">
        <f>NETWORKDAYS(Dashboard!$C$10,bonds!C257,feriados)-1</f>
        <v>1542</v>
      </c>
      <c r="E257" s="2">
        <f>IF(tbl_Bonds[[#This Row],[Coupon]]&lt;tbl_Bonds[[#This Row],[Maturity]],SQRT(1.06)-1,SQRT(1.06))</f>
        <v>2.9563014098699991E-2</v>
      </c>
      <c r="F257" s="5" cm="1">
        <f t="array" ref="F257">Svensson(betas_pre,tbl_Bonds[[#This Row],[DU]])</f>
        <v>0.11753368327278076</v>
      </c>
      <c r="G257" s="49">
        <f>IF(curve_type="Simulada",_xlfn.XLOOKUP(tbl_Bonds[[#This Row],[Coupon]],Simulador!$B$5:$B$147,Simulador!$H$5:$H$147),0)</f>
        <v>0</v>
      </c>
      <c r="H257" s="5" cm="1">
        <f t="array" ref="H25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0.11753368327278076</v>
      </c>
      <c r="I257" s="5" cm="1">
        <f t="array" ref="I257">Interpola_FF(tbl_Bonds[[#This Row],[DU]],dus_svensson,svensson_implicita)</f>
        <v>5.7567744841153123E-2</v>
      </c>
      <c r="J257" s="49">
        <f>IF(curve_type="Simulada",_xlfn.XLOOKUP(tbl_Bonds[[#This Row],[Coupon]],Simulador!$B$5:$B$147,Simulador!$N$5:$N$147),0)</f>
        <v>0</v>
      </c>
      <c r="K257" s="5" cm="1">
        <f t="array" ref="K25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5.7567744841153123E-2</v>
      </c>
      <c r="L257" s="5" cm="1">
        <f t="array" ref="L257">Interpola_FF(tbl_Bonds[[#This Row],[DU]],dus_svensson,svensson_real_spot)</f>
        <v>5.6704466377620388E-2</v>
      </c>
      <c r="M257" s="49">
        <f>IF(curve_type="Simulada",_xlfn.XLOOKUP(tbl_Bonds[[#This Row],[Coupon]],Simulador!$B$5:$B$147,Simulador!$K$5:$K$147),0)</f>
        <v>0</v>
      </c>
      <c r="N257" s="5" cm="1">
        <f t="array" ref="N25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5.6704466377620388E-2</v>
      </c>
      <c r="O257" s="6">
        <f>IF(curve_type="Mercado",tbl_Bonds[[#This Row],[FC]]/(1+tbl_Bonds[[#This Row],[Real Mercado]])^(tbl_Bonds[[#This Row],[DU]]/252),tbl_Bonds[[#This Row],[FC]]/(1+tbl_Bonds[[#This Row],[Real Simulada]])^(tbl_Bonds[[#This Row],[DU]]/252))</f>
        <v>2.1094820773065563E-2</v>
      </c>
      <c r="P257" s="7">
        <f>tbl_Bonds[[#This Row],[Cotação]]*VNA</f>
        <v>83.436435314476739</v>
      </c>
      <c r="Q257" s="18">
        <f>tbl_Bonds[[#This Row],[Cotação]]%%*VNA</f>
        <v>8.3436435314476719E-3</v>
      </c>
      <c r="R25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-4.831545026047241E-2</v>
      </c>
      <c r="S25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-4.5686279440131455E-2</v>
      </c>
      <c r="T25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4.8276771286579125E-2</v>
      </c>
      <c r="U257" s="18">
        <f>IF(curve_type="Mercado",tbl_Bonds[[#This Row],[VP Cupom]]*LN(1+tbl_Bonds[[#This Row],[Real Mercado]])/252,tbl_Bonds[[#This Row],[VP Cupom]]*LN(1+tbl_Bonds[[#This Row],[Real Simulada]])/252)</f>
        <v>1.8261676700950958E-2</v>
      </c>
      <c r="V257" s="18">
        <f>SUMIF(Dashboard!$B$28:$B$42,tbl_Bonds[[#This Row],[Bond]],Dashboard!$C$28:$C$42)</f>
        <v>6381</v>
      </c>
      <c r="W257" s="18">
        <f>tbl_Bonds[[#This Row],[Quantidade]]*tbl_Bonds[[#This Row],[𝛿P/𝛿VNA]]</f>
        <v>53.240789374167598</v>
      </c>
      <c r="X257" s="18">
        <f>+tbl_Bonds[[#This Row],[Quantidade]]*tbl_Bonds[[#This Row],[𝛿P/𝛿r_real]]</f>
        <v>-308.30088811207446</v>
      </c>
      <c r="Y257" s="18">
        <f>tbl_Bonds[[#This Row],[Quantidade]]*tbl_Bonds[[#This Row],[𝛿P/𝛿r_pre]]</f>
        <v>-291.52414910747882</v>
      </c>
      <c r="Z257" s="18">
        <f>tbl_Bonds[[#This Row],[Quantidade]]*tbl_Bonds[[#This Row],[𝛿P/𝛿r_implicita]]</f>
        <v>308.0540775796614</v>
      </c>
      <c r="AA257" s="18">
        <f>tbl_Bonds[[#This Row],[Quantidade]]*tbl_Bonds[[#This Row],[𝛿P/𝛿du]]</f>
        <v>116.52775902876806</v>
      </c>
    </row>
    <row r="258" spans="1:27">
      <c r="A258" s="2" t="s">
        <v>88</v>
      </c>
      <c r="B258" s="3">
        <v>56751</v>
      </c>
      <c r="C258" s="3">
        <v>47253</v>
      </c>
      <c r="D258" s="4">
        <f>NETWORKDAYS(Dashboard!$C$10,bonds!C258,feriados)-1</f>
        <v>1664</v>
      </c>
      <c r="E258" s="2">
        <f>IF(tbl_Bonds[[#This Row],[Coupon]]&lt;tbl_Bonds[[#This Row],[Maturity]],SQRT(1.06)-1,SQRT(1.06))</f>
        <v>2.9563014098699991E-2</v>
      </c>
      <c r="F258" s="5" cm="1">
        <f t="array" ref="F258">Svensson(betas_pre,tbl_Bonds[[#This Row],[DU]])</f>
        <v>0.1178385328920409</v>
      </c>
      <c r="G258" s="49">
        <f>IF(curve_type="Simulada",_xlfn.XLOOKUP(tbl_Bonds[[#This Row],[Coupon]],Simulador!$B$5:$B$147,Simulador!$H$5:$H$147),0)</f>
        <v>0</v>
      </c>
      <c r="H258" s="5" cm="1">
        <f t="array" ref="H25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0.1178385328920409</v>
      </c>
      <c r="I258" s="5" cm="1">
        <f t="array" ref="I258">Interpola_FF(tbl_Bonds[[#This Row],[DU]],dus_svensson,svensson_implicita)</f>
        <v>5.7779762342214047E-2</v>
      </c>
      <c r="J258" s="49">
        <f>IF(curve_type="Simulada",_xlfn.XLOOKUP(tbl_Bonds[[#This Row],[Coupon]],Simulador!$B$5:$B$147,Simulador!$N$5:$N$147),0)</f>
        <v>0</v>
      </c>
      <c r="K258" s="5" cm="1">
        <f t="array" ref="K25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5.7779762342214047E-2</v>
      </c>
      <c r="L258" s="5" cm="1">
        <f t="array" ref="L258">Interpola_FF(tbl_Bonds[[#This Row],[DU]],dus_svensson,svensson_real_spot)</f>
        <v>5.6779566995880826E-2</v>
      </c>
      <c r="M258" s="49">
        <f>IF(curve_type="Simulada",_xlfn.XLOOKUP(tbl_Bonds[[#This Row],[Coupon]],Simulador!$B$5:$B$147,Simulador!$K$5:$K$147),0)</f>
        <v>0</v>
      </c>
      <c r="N258" s="5" cm="1">
        <f t="array" ref="N25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5.6779566995880826E-2</v>
      </c>
      <c r="O258" s="6">
        <f>IF(curve_type="Mercado",tbl_Bonds[[#This Row],[FC]]/(1+tbl_Bonds[[#This Row],[Real Mercado]])^(tbl_Bonds[[#This Row],[DU]]/252),tbl_Bonds[[#This Row],[FC]]/(1+tbl_Bonds[[#This Row],[Real Simulada]])^(tbl_Bonds[[#This Row],[DU]]/252))</f>
        <v>2.0529363275372938E-2</v>
      </c>
      <c r="P258" s="7">
        <f>tbl_Bonds[[#This Row],[Cotação]]*VNA</f>
        <v>81.199878842304329</v>
      </c>
      <c r="Q258" s="18">
        <f>tbl_Bonds[[#This Row],[Cotação]]%%*VNA</f>
        <v>8.1199878842304323E-3</v>
      </c>
      <c r="R25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-5.0736879714333896E-2</v>
      </c>
      <c r="S25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-4.7965938990404196E-2</v>
      </c>
      <c r="T25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5.068935593085773E-2</v>
      </c>
      <c r="U258" s="18">
        <f>IF(curve_type="Mercado",tbl_Bonds[[#This Row],[VP Cupom]]*LN(1+tbl_Bonds[[#This Row],[Real Mercado]])/252,tbl_Bonds[[#This Row],[VP Cupom]]*LN(1+tbl_Bonds[[#This Row],[Real Simulada]])/252)</f>
        <v>1.7795062762309015E-2</v>
      </c>
      <c r="V258" s="18">
        <f>SUMIF(Dashboard!$B$28:$B$42,tbl_Bonds[[#This Row],[Bond]],Dashboard!$C$28:$C$42)</f>
        <v>6381</v>
      </c>
      <c r="W258" s="18">
        <f>tbl_Bonds[[#This Row],[Quantidade]]*tbl_Bonds[[#This Row],[𝛿P/𝛿VNA]]</f>
        <v>51.813642689274388</v>
      </c>
      <c r="X258" s="18">
        <f>+tbl_Bonds[[#This Row],[Quantidade]]*tbl_Bonds[[#This Row],[𝛿P/𝛿r_real]]</f>
        <v>-323.75202945716461</v>
      </c>
      <c r="Y258" s="18">
        <f>tbl_Bonds[[#This Row],[Quantidade]]*tbl_Bonds[[#This Row],[𝛿P/𝛿r_pre]]</f>
        <v>-306.07065669776915</v>
      </c>
      <c r="Z258" s="18">
        <f>tbl_Bonds[[#This Row],[Quantidade]]*tbl_Bonds[[#This Row],[𝛿P/𝛿r_implicita]]</f>
        <v>323.44878019480319</v>
      </c>
      <c r="AA258" s="18">
        <f>tbl_Bonds[[#This Row],[Quantidade]]*tbl_Bonds[[#This Row],[𝛿P/𝛿du]]</f>
        <v>113.55029548629382</v>
      </c>
    </row>
    <row r="259" spans="1:27">
      <c r="A259" s="2" t="s">
        <v>88</v>
      </c>
      <c r="B259" s="3">
        <v>56751</v>
      </c>
      <c r="C259" s="3">
        <v>47438</v>
      </c>
      <c r="D259" s="4">
        <f>NETWORKDAYS(Dashboard!$C$10,bonds!C259,feriados)-1</f>
        <v>1792</v>
      </c>
      <c r="E259" s="2">
        <f>IF(tbl_Bonds[[#This Row],[Coupon]]&lt;tbl_Bonds[[#This Row],[Maturity]],SQRT(1.06)-1,SQRT(1.06))</f>
        <v>2.9563014098699991E-2</v>
      </c>
      <c r="F259" s="5" cm="1">
        <f t="array" ref="F259">Svensson(betas_pre,tbl_Bonds[[#This Row],[DU]])</f>
        <v>0.1181328379826086</v>
      </c>
      <c r="G259" s="49">
        <f>IF(curve_type="Simulada",_xlfn.XLOOKUP(tbl_Bonds[[#This Row],[Coupon]],Simulador!$B$5:$B$147,Simulador!$H$5:$H$147),0)</f>
        <v>0</v>
      </c>
      <c r="H259" s="5" cm="1">
        <f t="array" ref="H25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0.1181328379826086</v>
      </c>
      <c r="I259" s="5" cm="1">
        <f t="array" ref="I259">Interpola_FF(tbl_Bonds[[#This Row],[DU]],dus_svensson,svensson_implicita)</f>
        <v>5.7924849221559604E-2</v>
      </c>
      <c r="J259" s="49">
        <f>IF(curve_type="Simulada",_xlfn.XLOOKUP(tbl_Bonds[[#This Row],[Coupon]],Simulador!$B$5:$B$147,Simulador!$N$5:$N$147),0)</f>
        <v>0</v>
      </c>
      <c r="K259" s="5" cm="1">
        <f t="array" ref="K25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5.7924849221559604E-2</v>
      </c>
      <c r="L259" s="5" cm="1">
        <f t="array" ref="L259">Interpola_FF(tbl_Bonds[[#This Row],[DU]],dus_svensson,svensson_real_spot)</f>
        <v>5.6912256341070222E-2</v>
      </c>
      <c r="M259" s="49">
        <f>IF(curve_type="Simulada",_xlfn.XLOOKUP(tbl_Bonds[[#This Row],[Coupon]],Simulador!$B$5:$B$147,Simulador!$K$5:$K$147),0)</f>
        <v>0</v>
      </c>
      <c r="N259" s="5" cm="1">
        <f t="array" ref="N25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5.6912256341070222E-2</v>
      </c>
      <c r="O259" s="6">
        <f>IF(curve_type="Mercado",tbl_Bonds[[#This Row],[FC]]/(1+tbl_Bonds[[#This Row],[Real Mercado]])^(tbl_Bonds[[#This Row],[DU]]/252),tbl_Bonds[[#This Row],[FC]]/(1+tbl_Bonds[[#This Row],[Real Simulada]])^(tbl_Bonds[[#This Row],[DU]]/252))</f>
        <v>1.9943674554607205E-2</v>
      </c>
      <c r="P259" s="7">
        <f>tbl_Bonds[[#This Row],[Cotação]]*VNA</f>
        <v>78.883301726513693</v>
      </c>
      <c r="Q259" s="18">
        <f>tbl_Bonds[[#This Row],[Cotação]]%%*VNA</f>
        <v>7.8883301726513678E-3</v>
      </c>
      <c r="R25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-5.307421879376157E-2</v>
      </c>
      <c r="S25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-5.016855960886802E-2</v>
      </c>
      <c r="T25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5.3023722785450263E-2</v>
      </c>
      <c r="U259" s="18">
        <f>IF(curve_type="Mercado",tbl_Bonds[[#This Row],[VP Cupom]]*LN(1+tbl_Bonds[[#This Row],[Real Mercado]])/252,tbl_Bonds[[#This Row],[VP Cupom]]*LN(1+tbl_Bonds[[#This Row],[Real Simulada]])/252)</f>
        <v>1.7326683249983914E-2</v>
      </c>
      <c r="V259" s="18">
        <f>SUMIF(Dashboard!$B$28:$B$42,tbl_Bonds[[#This Row],[Bond]],Dashboard!$C$28:$C$42)</f>
        <v>6381</v>
      </c>
      <c r="W259" s="18">
        <f>tbl_Bonds[[#This Row],[Quantidade]]*tbl_Bonds[[#This Row],[𝛿P/𝛿VNA]]</f>
        <v>50.335434831688382</v>
      </c>
      <c r="X259" s="18">
        <f>+tbl_Bonds[[#This Row],[Quantidade]]*tbl_Bonds[[#This Row],[𝛿P/𝛿r_real]]</f>
        <v>-338.6665901229926</v>
      </c>
      <c r="Y259" s="18">
        <f>tbl_Bonds[[#This Row],[Quantidade]]*tbl_Bonds[[#This Row],[𝛿P/𝛿r_pre]]</f>
        <v>-320.12557886418682</v>
      </c>
      <c r="Z259" s="18">
        <f>tbl_Bonds[[#This Row],[Quantidade]]*tbl_Bonds[[#This Row],[𝛿P/𝛿r_implicita]]</f>
        <v>338.34437509395815</v>
      </c>
      <c r="AA259" s="18">
        <f>tbl_Bonds[[#This Row],[Quantidade]]*tbl_Bonds[[#This Row],[𝛿P/𝛿du]]</f>
        <v>110.56156581814736</v>
      </c>
    </row>
    <row r="260" spans="1:27">
      <c r="A260" s="2" t="s">
        <v>88</v>
      </c>
      <c r="B260" s="3">
        <v>56751</v>
      </c>
      <c r="C260" s="3">
        <v>47618</v>
      </c>
      <c r="D260" s="4">
        <f>NETWORKDAYS(Dashboard!$C$10,bonds!C260,feriados)-1</f>
        <v>1914</v>
      </c>
      <c r="E260" s="2">
        <f>IF(tbl_Bonds[[#This Row],[Coupon]]&lt;tbl_Bonds[[#This Row],[Maturity]],SQRT(1.06)-1,SQRT(1.06))</f>
        <v>2.9563014098699991E-2</v>
      </c>
      <c r="F260" s="5" cm="1">
        <f t="array" ref="F260">Svensson(betas_pre,tbl_Bonds[[#This Row],[DU]])</f>
        <v>0.11838727903530923</v>
      </c>
      <c r="G260" s="49">
        <f>IF(curve_type="Simulada",_xlfn.XLOOKUP(tbl_Bonds[[#This Row],[Coupon]],Simulador!$B$5:$B$147,Simulador!$H$5:$H$147),0)</f>
        <v>0</v>
      </c>
      <c r="H260" s="5" cm="1">
        <f t="array" ref="H26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0.11838727903530923</v>
      </c>
      <c r="I260" s="5" cm="1">
        <f t="array" ref="I260">Interpola_FF(tbl_Bonds[[#This Row],[DU]],dus_svensson,svensson_implicita)</f>
        <v>5.8010297393168875E-2</v>
      </c>
      <c r="J260" s="49">
        <f>IF(curve_type="Simulada",_xlfn.XLOOKUP(tbl_Bonds[[#This Row],[Coupon]],Simulador!$B$5:$B$147,Simulador!$N$5:$N$147),0)</f>
        <v>0</v>
      </c>
      <c r="K260" s="5" cm="1">
        <f t="array" ref="K26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5.8010297393168875E-2</v>
      </c>
      <c r="L260" s="5" cm="1">
        <f t="array" ref="L260">Interpola_FF(tbl_Bonds[[#This Row],[DU]],dus_svensson,svensson_real_spot)</f>
        <v>5.7066966659098606E-2</v>
      </c>
      <c r="M260" s="49">
        <f>IF(curve_type="Simulada",_xlfn.XLOOKUP(tbl_Bonds[[#This Row],[Coupon]],Simulador!$B$5:$B$147,Simulador!$K$5:$K$147),0)</f>
        <v>0</v>
      </c>
      <c r="N260" s="5" cm="1">
        <f t="array" ref="N26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5.7066966659098606E-2</v>
      </c>
      <c r="O260" s="6">
        <f>IF(curve_type="Mercado",tbl_Bonds[[#This Row],[FC]]/(1+tbl_Bonds[[#This Row],[Real Mercado]])^(tbl_Bonds[[#This Row],[DU]]/252),tbl_Bonds[[#This Row],[FC]]/(1+tbl_Bonds[[#This Row],[Real Simulada]])^(tbl_Bonds[[#This Row],[DU]]/252))</f>
        <v>1.9394762873732607E-2</v>
      </c>
      <c r="P260" s="7">
        <f>tbl_Bonds[[#This Row],[Cotação]]*VNA</f>
        <v>76.712188994751031</v>
      </c>
      <c r="Q260" s="18">
        <f>tbl_Bonds[[#This Row],[Cotação]]%%*VNA</f>
        <v>7.6712188994751025E-3</v>
      </c>
      <c r="R26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-5.5119245856628855E-2</v>
      </c>
      <c r="S26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-5.2097261687239438E-2</v>
      </c>
      <c r="T26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5.5070271893516619E-2</v>
      </c>
      <c r="U260" s="18">
        <f>IF(curve_type="Mercado",tbl_Bonds[[#This Row],[VP Cupom]]*LN(1+tbl_Bonds[[#This Row],[Real Mercado]])/252,tbl_Bonds[[#This Row],[VP Cupom]]*LN(1+tbl_Bonds[[#This Row],[Real Simulada]])/252)</f>
        <v>1.6894355909643631E-2</v>
      </c>
      <c r="V260" s="18">
        <f>SUMIF(Dashboard!$B$28:$B$42,tbl_Bonds[[#This Row],[Bond]],Dashboard!$C$28:$C$42)</f>
        <v>6381</v>
      </c>
      <c r="W260" s="18">
        <f>tbl_Bonds[[#This Row],[Quantidade]]*tbl_Bonds[[#This Row],[𝛿P/𝛿VNA]]</f>
        <v>48.950047797550631</v>
      </c>
      <c r="X260" s="18">
        <f>+tbl_Bonds[[#This Row],[Quantidade]]*tbl_Bonds[[#This Row],[𝛿P/𝛿r_real]]</f>
        <v>-351.71590781114872</v>
      </c>
      <c r="Y260" s="18">
        <f>tbl_Bonds[[#This Row],[Quantidade]]*tbl_Bonds[[#This Row],[𝛿P/𝛿r_pre]]</f>
        <v>-332.43262682627483</v>
      </c>
      <c r="Z260" s="18">
        <f>tbl_Bonds[[#This Row],[Quantidade]]*tbl_Bonds[[#This Row],[𝛿P/𝛿r_implicita]]</f>
        <v>351.40340495252957</v>
      </c>
      <c r="AA260" s="18">
        <f>tbl_Bonds[[#This Row],[Quantidade]]*tbl_Bonds[[#This Row],[𝛿P/𝛿du]]</f>
        <v>107.80288505943601</v>
      </c>
    </row>
    <row r="261" spans="1:27">
      <c r="A261" s="2" t="s">
        <v>88</v>
      </c>
      <c r="B261" s="3">
        <v>56751</v>
      </c>
      <c r="C261" s="3">
        <v>47805</v>
      </c>
      <c r="D261" s="4">
        <f>NETWORKDAYS(Dashboard!$C$10,bonds!C261,feriados)-1</f>
        <v>2045</v>
      </c>
      <c r="E261" s="2">
        <f>IF(tbl_Bonds[[#This Row],[Coupon]]&lt;tbl_Bonds[[#This Row],[Maturity]],SQRT(1.06)-1,SQRT(1.06))</f>
        <v>2.9563014098699991E-2</v>
      </c>
      <c r="F261" s="5" cm="1">
        <f t="array" ref="F261">Svensson(betas_pre,tbl_Bonds[[#This Row],[DU]])</f>
        <v>0.11863319273641666</v>
      </c>
      <c r="G261" s="49">
        <f>IF(curve_type="Simulada",_xlfn.XLOOKUP(tbl_Bonds[[#This Row],[Coupon]],Simulador!$B$5:$B$147,Simulador!$H$5:$H$147),0)</f>
        <v>0</v>
      </c>
      <c r="H261" s="5" cm="1">
        <f t="array" ref="H26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0.11863319273641666</v>
      </c>
      <c r="I261" s="5" cm="1">
        <f t="array" ref="I261">Interpola_FF(tbl_Bonds[[#This Row],[DU]],dus_svensson,svensson_implicita)</f>
        <v>5.8061291362325296E-2</v>
      </c>
      <c r="J261" s="49">
        <f>IF(curve_type="Simulada",_xlfn.XLOOKUP(tbl_Bonds[[#This Row],[Coupon]],Simulador!$B$5:$B$147,Simulador!$N$5:$N$147),0)</f>
        <v>0</v>
      </c>
      <c r="K261" s="5" cm="1">
        <f t="array" ref="K26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5.8061291362325296E-2</v>
      </c>
      <c r="L261" s="5" cm="1">
        <f t="array" ref="L261">Interpola_FF(tbl_Bonds[[#This Row],[DU]],dus_svensson,svensson_real_spot)</f>
        <v>5.7248282474742007E-2</v>
      </c>
      <c r="M261" s="49">
        <f>IF(curve_type="Simulada",_xlfn.XLOOKUP(tbl_Bonds[[#This Row],[Coupon]],Simulador!$B$5:$B$147,Simulador!$K$5:$K$147),0)</f>
        <v>0</v>
      </c>
      <c r="N261" s="5" cm="1">
        <f t="array" ref="N26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5.7248282474742007E-2</v>
      </c>
      <c r="O261" s="6">
        <f>IF(curve_type="Mercado",tbl_Bonds[[#This Row],[FC]]/(1+tbl_Bonds[[#This Row],[Real Mercado]])^(tbl_Bonds[[#This Row],[DU]]/252),tbl_Bonds[[#This Row],[FC]]/(1+tbl_Bonds[[#This Row],[Real Simulada]])^(tbl_Bonds[[#This Row],[DU]]/252))</f>
        <v>1.8817006358074834E-2</v>
      </c>
      <c r="P261" s="7">
        <f>tbl_Bonds[[#This Row],[Cotação]]*VNA</f>
        <v>74.426986163933535</v>
      </c>
      <c r="Q261" s="18">
        <f>tbl_Bonds[[#This Row],[Cotação]]%%*VNA</f>
        <v>7.4426986163933532E-3</v>
      </c>
      <c r="R26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-5.7127631194654006E-2</v>
      </c>
      <c r="S26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-5.3992870545379858E-2</v>
      </c>
      <c r="T26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5.7083854835494018E-2</v>
      </c>
      <c r="U261" s="18">
        <f>IF(curve_type="Mercado",tbl_Bonds[[#This Row],[VP Cupom]]*LN(1+tbl_Bonds[[#This Row],[Real Mercado]])/252,tbl_Bonds[[#This Row],[VP Cupom]]*LN(1+tbl_Bonds[[#This Row],[Real Simulada]])/252)</f>
        <v>1.6441740190834858E-2</v>
      </c>
      <c r="V261" s="18">
        <f>SUMIF(Dashboard!$B$28:$B$42,tbl_Bonds[[#This Row],[Bond]],Dashboard!$C$28:$C$42)</f>
        <v>6381</v>
      </c>
      <c r="W261" s="18">
        <f>tbl_Bonds[[#This Row],[Quantidade]]*tbl_Bonds[[#This Row],[𝛿P/𝛿VNA]]</f>
        <v>47.491859871205989</v>
      </c>
      <c r="X261" s="18">
        <f>+tbl_Bonds[[#This Row],[Quantidade]]*tbl_Bonds[[#This Row],[𝛿P/𝛿r_real]]</f>
        <v>-364.53141465308721</v>
      </c>
      <c r="Y261" s="18">
        <f>tbl_Bonds[[#This Row],[Quantidade]]*tbl_Bonds[[#This Row],[𝛿P/𝛿r_pre]]</f>
        <v>-344.52850695006885</v>
      </c>
      <c r="Z261" s="18">
        <f>tbl_Bonds[[#This Row],[Quantidade]]*tbl_Bonds[[#This Row],[𝛿P/𝛿r_implicita]]</f>
        <v>364.25207770528732</v>
      </c>
      <c r="AA261" s="18">
        <f>tbl_Bonds[[#This Row],[Quantidade]]*tbl_Bonds[[#This Row],[𝛿P/𝛿du]]</f>
        <v>104.91474415771722</v>
      </c>
    </row>
    <row r="262" spans="1:27">
      <c r="A262" s="2" t="s">
        <v>88</v>
      </c>
      <c r="B262" s="3">
        <v>56751</v>
      </c>
      <c r="C262" s="3">
        <v>47983</v>
      </c>
      <c r="D262" s="4">
        <f>NETWORKDAYS(Dashboard!$C$10,bonds!C262,feriados)-1</f>
        <v>2166</v>
      </c>
      <c r="E262" s="2">
        <f>IF(tbl_Bonds[[#This Row],[Coupon]]&lt;tbl_Bonds[[#This Row],[Maturity]],SQRT(1.06)-1,SQRT(1.06))</f>
        <v>2.9563014098699991E-2</v>
      </c>
      <c r="F262" s="5" cm="1">
        <f t="array" ref="F262">Svensson(betas_pre,tbl_Bonds[[#This Row],[DU]])</f>
        <v>0.11883731211931328</v>
      </c>
      <c r="G262" s="49">
        <f>IF(curve_type="Simulada",_xlfn.XLOOKUP(tbl_Bonds[[#This Row],[Coupon]],Simulador!$B$5:$B$147,Simulador!$H$5:$H$147),0)</f>
        <v>0</v>
      </c>
      <c r="H262" s="5" cm="1">
        <f t="array" ref="H26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0.11883731211931328</v>
      </c>
      <c r="I262" s="5" cm="1">
        <f t="array" ref="I262">Interpola_FF(tbl_Bonds[[#This Row],[DU]],dus_svensson,svensson_implicita)</f>
        <v>5.8084434014569641E-2</v>
      </c>
      <c r="J262" s="49">
        <f>IF(curve_type="Simulada",_xlfn.XLOOKUP(tbl_Bonds[[#This Row],[Coupon]],Simulador!$B$5:$B$147,Simulador!$N$5:$N$147),0)</f>
        <v>0</v>
      </c>
      <c r="K262" s="5" cm="1">
        <f t="array" ref="K26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5.8084434014569641E-2</v>
      </c>
      <c r="L262" s="5" cm="1">
        <f t="array" ref="L262">Interpola_FF(tbl_Bonds[[#This Row],[DU]],dus_svensson,svensson_real_spot)</f>
        <v>5.7417931184525317E-2</v>
      </c>
      <c r="M262" s="49">
        <f>IF(curve_type="Simulada",_xlfn.XLOOKUP(tbl_Bonds[[#This Row],[Coupon]],Simulador!$B$5:$B$147,Simulador!$K$5:$K$147),0)</f>
        <v>0</v>
      </c>
      <c r="N262" s="5" cm="1">
        <f t="array" ref="N26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5.7417931184525317E-2</v>
      </c>
      <c r="O262" s="6">
        <f>IF(curve_type="Mercado",tbl_Bonds[[#This Row],[FC]]/(1+tbl_Bonds[[#This Row],[Real Mercado]])^(tbl_Bonds[[#This Row],[DU]]/252),tbl_Bonds[[#This Row],[FC]]/(1+tbl_Bonds[[#This Row],[Real Simulada]])^(tbl_Bonds[[#This Row],[DU]]/252))</f>
        <v>1.829543765395282E-2</v>
      </c>
      <c r="P262" s="7">
        <f>tbl_Bonds[[#This Row],[Cotação]]*VNA</f>
        <v>72.364023225699114</v>
      </c>
      <c r="Q262" s="18">
        <f>tbl_Bonds[[#This Row],[Cotação]]%%*VNA</f>
        <v>7.2364023225699103E-3</v>
      </c>
      <c r="R26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-5.8821208796551346E-2</v>
      </c>
      <c r="S26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-5.5592236396100274E-2</v>
      </c>
      <c r="T26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5.8784220185643346E-2</v>
      </c>
      <c r="U262" s="18">
        <f>IF(curve_type="Mercado",tbl_Bonds[[#This Row],[VP Cupom]]*LN(1+tbl_Bonds[[#This Row],[Real Mercado]])/252,tbl_Bonds[[#This Row],[VP Cupom]]*LN(1+tbl_Bonds[[#This Row],[Real Simulada]])/252)</f>
        <v>1.6032083506226615E-2</v>
      </c>
      <c r="V262" s="18">
        <f>SUMIF(Dashboard!$B$28:$B$42,tbl_Bonds[[#This Row],[Bond]],Dashboard!$C$28:$C$42)</f>
        <v>6381</v>
      </c>
      <c r="W262" s="18">
        <f>tbl_Bonds[[#This Row],[Quantidade]]*tbl_Bonds[[#This Row],[𝛿P/𝛿VNA]]</f>
        <v>46.175483220318597</v>
      </c>
      <c r="X262" s="18">
        <f>+tbl_Bonds[[#This Row],[Quantidade]]*tbl_Bonds[[#This Row],[𝛿P/𝛿r_real]]</f>
        <v>-375.33813333079411</v>
      </c>
      <c r="Y262" s="18">
        <f>tbl_Bonds[[#This Row],[Quantidade]]*tbl_Bonds[[#This Row],[𝛿P/𝛿r_pre]]</f>
        <v>-354.73406044351583</v>
      </c>
      <c r="Z262" s="18">
        <f>tbl_Bonds[[#This Row],[Quantidade]]*tbl_Bonds[[#This Row],[𝛿P/𝛿r_implicita]]</f>
        <v>375.1021090045902</v>
      </c>
      <c r="AA262" s="18">
        <f>tbl_Bonds[[#This Row],[Quantidade]]*tbl_Bonds[[#This Row],[𝛿P/𝛿du]]</f>
        <v>102.30072485323203</v>
      </c>
    </row>
    <row r="263" spans="1:27">
      <c r="A263" s="2" t="s">
        <v>88</v>
      </c>
      <c r="B263" s="3">
        <v>56751</v>
      </c>
      <c r="C263" s="3">
        <v>48169</v>
      </c>
      <c r="D263" s="4">
        <f>NETWORKDAYS(Dashboard!$C$10,bonds!C263,feriados)-1</f>
        <v>2297</v>
      </c>
      <c r="E263" s="2">
        <f>IF(tbl_Bonds[[#This Row],[Coupon]]&lt;tbl_Bonds[[#This Row],[Maturity]],SQRT(1.06)-1,SQRT(1.06))</f>
        <v>2.9563014098699991E-2</v>
      </c>
      <c r="F263" s="5" cm="1">
        <f t="array" ref="F263">Svensson(betas_pre,tbl_Bonds[[#This Row],[DU]])</f>
        <v>0.11903610157038018</v>
      </c>
      <c r="G263" s="49">
        <f>IF(curve_type="Simulada",_xlfn.XLOOKUP(tbl_Bonds[[#This Row],[Coupon]],Simulador!$B$5:$B$147,Simulador!$H$5:$H$147),0)</f>
        <v>0</v>
      </c>
      <c r="H263" s="5" cm="1">
        <f t="array" ref="H26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0.11903610157038018</v>
      </c>
      <c r="I263" s="5" cm="1">
        <f t="array" ref="I263">Interpola_FF(tbl_Bonds[[#This Row],[DU]],dus_svensson,svensson_implicita)</f>
        <v>5.8093103419797343E-2</v>
      </c>
      <c r="J263" s="49">
        <f>IF(curve_type="Simulada",_xlfn.XLOOKUP(tbl_Bonds[[#This Row],[Coupon]],Simulador!$B$5:$B$147,Simulador!$N$5:$N$147),0)</f>
        <v>0</v>
      </c>
      <c r="K263" s="5" cm="1">
        <f t="array" ref="K26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5.8093103419797343E-2</v>
      </c>
      <c r="L263" s="5" cm="1">
        <f t="array" ref="L263">Interpola_FF(tbl_Bonds[[#This Row],[DU]],dus_svensson,svensson_real_spot)</f>
        <v>5.7597092218049317E-2</v>
      </c>
      <c r="M263" s="49">
        <f>IF(curve_type="Simulada",_xlfn.XLOOKUP(tbl_Bonds[[#This Row],[Coupon]],Simulador!$B$5:$B$147,Simulador!$K$5:$K$147),0)</f>
        <v>0</v>
      </c>
      <c r="N263" s="5" cm="1">
        <f t="array" ref="N26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5.7597092218049317E-2</v>
      </c>
      <c r="O263" s="6">
        <f>IF(curve_type="Mercado",tbl_Bonds[[#This Row],[FC]]/(1+tbl_Bonds[[#This Row],[Real Mercado]])^(tbl_Bonds[[#This Row],[DU]]/252),tbl_Bonds[[#This Row],[FC]]/(1+tbl_Bonds[[#This Row],[Real Simulada]])^(tbl_Bonds[[#This Row],[DU]]/252))</f>
        <v>1.7744661497660689E-2</v>
      </c>
      <c r="P263" s="7">
        <f>tbl_Bonds[[#This Row],[Cotação]]*VNA</f>
        <v>70.185535926299963</v>
      </c>
      <c r="Q263" s="18">
        <f>tbl_Bonds[[#This Row],[Cotação]]%%*VNA</f>
        <v>7.0185535926299957E-3</v>
      </c>
      <c r="R26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-6.0490590883447118E-2</v>
      </c>
      <c r="S26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-5.7169486079493674E-2</v>
      </c>
      <c r="T26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6.0462277491848293E-2</v>
      </c>
      <c r="U263" s="18">
        <f>IF(curve_type="Mercado",tbl_Bonds[[#This Row],[VP Cupom]]*LN(1+tbl_Bonds[[#This Row],[Real Mercado]])/252,tbl_Bonds[[#This Row],[VP Cupom]]*LN(1+tbl_Bonds[[#This Row],[Real Simulada]])/252)</f>
        <v>1.5596629987358531E-2</v>
      </c>
      <c r="V263" s="18">
        <f>SUMIF(Dashboard!$B$28:$B$42,tbl_Bonds[[#This Row],[Bond]],Dashboard!$C$28:$C$42)</f>
        <v>6381</v>
      </c>
      <c r="W263" s="18">
        <f>tbl_Bonds[[#This Row],[Quantidade]]*tbl_Bonds[[#This Row],[𝛿P/𝛿VNA]]</f>
        <v>44.785390474572004</v>
      </c>
      <c r="X263" s="18">
        <f>+tbl_Bonds[[#This Row],[Quantidade]]*tbl_Bonds[[#This Row],[𝛿P/𝛿r_real]]</f>
        <v>-385.99046042727605</v>
      </c>
      <c r="Y263" s="18">
        <f>tbl_Bonds[[#This Row],[Quantidade]]*tbl_Bonds[[#This Row],[𝛿P/𝛿r_pre]]</f>
        <v>-364.79849067324915</v>
      </c>
      <c r="Z263" s="18">
        <f>tbl_Bonds[[#This Row],[Quantidade]]*tbl_Bonds[[#This Row],[𝛿P/𝛿r_implicita]]</f>
        <v>385.80979267548395</v>
      </c>
      <c r="AA263" s="18">
        <f>tbl_Bonds[[#This Row],[Quantidade]]*tbl_Bonds[[#This Row],[𝛿P/𝛿du]]</f>
        <v>99.522095949334783</v>
      </c>
    </row>
    <row r="264" spans="1:27">
      <c r="A264" s="2" t="s">
        <v>88</v>
      </c>
      <c r="B264" s="3">
        <v>56751</v>
      </c>
      <c r="C264" s="3">
        <v>48351</v>
      </c>
      <c r="D264" s="4">
        <f>NETWORKDAYS(Dashboard!$C$10,bonds!C264,feriados)-1</f>
        <v>2421</v>
      </c>
      <c r="E264" s="2">
        <f>IF(tbl_Bonds[[#This Row],[Coupon]]&lt;tbl_Bonds[[#This Row],[Maturity]],SQRT(1.06)-1,SQRT(1.06))</f>
        <v>2.9563014098699991E-2</v>
      </c>
      <c r="F264" s="5" cm="1">
        <f t="array" ref="F264">Svensson(betas_pre,tbl_Bonds[[#This Row],[DU]])</f>
        <v>0.11920554230632582</v>
      </c>
      <c r="G264" s="49">
        <f>IF(curve_type="Simulada",_xlfn.XLOOKUP(tbl_Bonds[[#This Row],[Coupon]],Simulador!$B$5:$B$147,Simulador!$H$5:$H$147),0)</f>
        <v>0</v>
      </c>
      <c r="H264" s="5" cm="1">
        <f t="array" ref="H26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0.11920554230632582</v>
      </c>
      <c r="I264" s="5" cm="1">
        <f t="array" ref="I264">Interpola_FF(tbl_Bonds[[#This Row],[DU]],dus_svensson,svensson_implicita)</f>
        <v>5.8093166894075399E-2</v>
      </c>
      <c r="J264" s="49">
        <f>IF(curve_type="Simulada",_xlfn.XLOOKUP(tbl_Bonds[[#This Row],[Coupon]],Simulador!$B$5:$B$147,Simulador!$N$5:$N$147),0)</f>
        <v>0</v>
      </c>
      <c r="K264" s="5" cm="1">
        <f t="array" ref="K26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5.8093166894075399E-2</v>
      </c>
      <c r="L264" s="5" cm="1">
        <f t="array" ref="L264">Interpola_FF(tbl_Bonds[[#This Row],[DU]],dus_svensson,svensson_real_spot)</f>
        <v>5.7757126301591022E-2</v>
      </c>
      <c r="M264" s="49">
        <f>IF(curve_type="Simulada",_xlfn.XLOOKUP(tbl_Bonds[[#This Row],[Coupon]],Simulador!$B$5:$B$147,Simulador!$K$5:$K$147),0)</f>
        <v>0</v>
      </c>
      <c r="N264" s="5" cm="1">
        <f t="array" ref="N26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5.7757126301591022E-2</v>
      </c>
      <c r="O264" s="6">
        <f>IF(curve_type="Mercado",tbl_Bonds[[#This Row],[FC]]/(1+tbl_Bonds[[#This Row],[Real Mercado]])^(tbl_Bonds[[#This Row],[DU]]/252),tbl_Bonds[[#This Row],[FC]]/(1+tbl_Bonds[[#This Row],[Real Simulada]])^(tbl_Bonds[[#This Row],[DU]]/252))</f>
        <v>1.7237302758451804E-2</v>
      </c>
      <c r="P264" s="7">
        <f>tbl_Bonds[[#This Row],[Cotação]]*VNA</f>
        <v>68.178777723391335</v>
      </c>
      <c r="Q264" s="18">
        <f>tbl_Bonds[[#This Row],[Cotação]]%%*VNA</f>
        <v>6.8178777723391345E-3</v>
      </c>
      <c r="R26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-6.1923785822573893E-2</v>
      </c>
      <c r="S26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-5.85239696523044E-2</v>
      </c>
      <c r="T26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6.1904143455434942E-2</v>
      </c>
      <c r="U264" s="18">
        <f>IF(curve_type="Mercado",tbl_Bonds[[#This Row],[VP Cupom]]*LN(1+tbl_Bonds[[#This Row],[Real Mercado]])/252,tbl_Bonds[[#This Row],[VP Cupom]]*LN(1+tbl_Bonds[[#This Row],[Real Simulada]])/252)</f>
        <v>1.5191624423668875E-2</v>
      </c>
      <c r="V264" s="18">
        <f>SUMIF(Dashboard!$B$28:$B$42,tbl_Bonds[[#This Row],[Bond]],Dashboard!$C$28:$C$42)</f>
        <v>6381</v>
      </c>
      <c r="W264" s="18">
        <f>tbl_Bonds[[#This Row],[Quantidade]]*tbl_Bonds[[#This Row],[𝛿P/𝛿VNA]]</f>
        <v>43.504878065296019</v>
      </c>
      <c r="X264" s="18">
        <f>+tbl_Bonds[[#This Row],[Quantidade]]*tbl_Bonds[[#This Row],[𝛿P/𝛿r_real]]</f>
        <v>-395.135677333844</v>
      </c>
      <c r="Y264" s="18">
        <f>tbl_Bonds[[#This Row],[Quantidade]]*tbl_Bonds[[#This Row],[𝛿P/𝛿r_pre]]</f>
        <v>-373.44145035135438</v>
      </c>
      <c r="Z264" s="18">
        <f>tbl_Bonds[[#This Row],[Quantidade]]*tbl_Bonds[[#This Row],[𝛿P/𝛿r_implicita]]</f>
        <v>395.01033938913037</v>
      </c>
      <c r="AA264" s="18">
        <f>tbl_Bonds[[#This Row],[Quantidade]]*tbl_Bonds[[#This Row],[𝛿P/𝛿du]]</f>
        <v>96.937755447431087</v>
      </c>
    </row>
    <row r="265" spans="1:27">
      <c r="A265" s="2" t="s">
        <v>88</v>
      </c>
      <c r="B265" s="3">
        <v>56751</v>
      </c>
      <c r="C265" s="3">
        <v>48534</v>
      </c>
      <c r="D265" s="4">
        <f>NETWORKDAYS(Dashboard!$C$10,bonds!C265,feriados)-1</f>
        <v>2547</v>
      </c>
      <c r="E265" s="2">
        <f>IF(tbl_Bonds[[#This Row],[Coupon]]&lt;tbl_Bonds[[#This Row],[Maturity]],SQRT(1.06)-1,SQRT(1.06))</f>
        <v>2.9563014098699991E-2</v>
      </c>
      <c r="F265" s="5" cm="1">
        <f t="array" ref="F265">Svensson(betas_pre,tbl_Bonds[[#This Row],[DU]])</f>
        <v>0.11936141271582239</v>
      </c>
      <c r="G265" s="49">
        <f>IF(curve_type="Simulada",_xlfn.XLOOKUP(tbl_Bonds[[#This Row],[Coupon]],Simulador!$B$5:$B$147,Simulador!$H$5:$H$147),0)</f>
        <v>0</v>
      </c>
      <c r="H265" s="5" cm="1">
        <f t="array" ref="H26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0.11936141271582239</v>
      </c>
      <c r="I265" s="5" cm="1">
        <f t="array" ref="I265">Interpola_FF(tbl_Bonds[[#This Row],[DU]],dus_svensson,svensson_implicita)</f>
        <v>5.8089951278503804E-2</v>
      </c>
      <c r="J265" s="49">
        <f>IF(curve_type="Simulada",_xlfn.XLOOKUP(tbl_Bonds[[#This Row],[Coupon]],Simulador!$B$5:$B$147,Simulador!$N$5:$N$147),0)</f>
        <v>0</v>
      </c>
      <c r="K265" s="5" cm="1">
        <f t="array" ref="K26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5.8089951278503804E-2</v>
      </c>
      <c r="L265" s="5" cm="1">
        <f t="array" ref="L265">Interpola_FF(tbl_Bonds[[#This Row],[DU]],dus_svensson,svensson_real_spot)</f>
        <v>5.7907633774759049E-2</v>
      </c>
      <c r="M265" s="49">
        <f>IF(curve_type="Simulada",_xlfn.XLOOKUP(tbl_Bonds[[#This Row],[Coupon]],Simulador!$B$5:$B$147,Simulador!$K$5:$K$147),0)</f>
        <v>0</v>
      </c>
      <c r="N265" s="5" cm="1">
        <f t="array" ref="N26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5.7907633774759049E-2</v>
      </c>
      <c r="O265" s="6">
        <f>IF(curve_type="Mercado",tbl_Bonds[[#This Row],[FC]]/(1+tbl_Bonds[[#This Row],[Real Mercado]])^(tbl_Bonds[[#This Row],[DU]]/252),tbl_Bonds[[#This Row],[FC]]/(1+tbl_Bonds[[#This Row],[Real Simulada]])^(tbl_Bonds[[#This Row],[DU]]/252))</f>
        <v>1.6736005073647711E-2</v>
      </c>
      <c r="P265" s="7">
        <f>tbl_Bonds[[#This Row],[Cotação]]*VNA</f>
        <v>66.195992835033394</v>
      </c>
      <c r="Q265" s="18">
        <f>tbl_Bonds[[#This Row],[Cotação]]%%*VNA</f>
        <v>6.6195992835033392E-3</v>
      </c>
      <c r="R26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-6.324298405587804E-2</v>
      </c>
      <c r="S26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-5.9770909851966911E-2</v>
      </c>
      <c r="T26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6.3232100456454832E-2</v>
      </c>
      <c r="U265" s="18">
        <f>IF(curve_type="Mercado",tbl_Bonds[[#This Row],[VP Cupom]]*LN(1+tbl_Bonds[[#This Row],[Real Mercado]])/252,tbl_Bonds[[#This Row],[VP Cupom]]*LN(1+tbl_Bonds[[#This Row],[Real Simulada]])/252)</f>
        <v>1.4787193686318237E-2</v>
      </c>
      <c r="V265" s="18">
        <f>SUMIF(Dashboard!$B$28:$B$42,tbl_Bonds[[#This Row],[Bond]],Dashboard!$C$28:$C$42)</f>
        <v>6381</v>
      </c>
      <c r="W265" s="18">
        <f>tbl_Bonds[[#This Row],[Quantidade]]*tbl_Bonds[[#This Row],[𝛿P/𝛿VNA]]</f>
        <v>42.239663028034805</v>
      </c>
      <c r="X265" s="18">
        <f>+tbl_Bonds[[#This Row],[Quantidade]]*tbl_Bonds[[#This Row],[𝛿P/𝛿r_real]]</f>
        <v>-403.55348126055776</v>
      </c>
      <c r="Y265" s="18">
        <f>tbl_Bonds[[#This Row],[Quantidade]]*tbl_Bonds[[#This Row],[𝛿P/𝛿r_pre]]</f>
        <v>-381.39817576540088</v>
      </c>
      <c r="Z265" s="18">
        <f>tbl_Bonds[[#This Row],[Quantidade]]*tbl_Bonds[[#This Row],[𝛿P/𝛿r_implicita]]</f>
        <v>403.48403301263829</v>
      </c>
      <c r="AA265" s="18">
        <f>tbl_Bonds[[#This Row],[Quantidade]]*tbl_Bonds[[#This Row],[𝛿P/𝛿du]]</f>
        <v>94.357082912396677</v>
      </c>
    </row>
    <row r="266" spans="1:27">
      <c r="A266" s="2" t="s">
        <v>88</v>
      </c>
      <c r="B266" s="3">
        <v>56751</v>
      </c>
      <c r="C266" s="3">
        <v>48715</v>
      </c>
      <c r="D266" s="4">
        <f>NETWORKDAYS(Dashboard!$C$10,bonds!C266,feriados)-1</f>
        <v>2672</v>
      </c>
      <c r="E266" s="2">
        <f>IF(tbl_Bonds[[#This Row],[Coupon]]&lt;tbl_Bonds[[#This Row],[Maturity]],SQRT(1.06)-1,SQRT(1.06))</f>
        <v>2.9563014098699991E-2</v>
      </c>
      <c r="F266" s="5" cm="1">
        <f t="array" ref="F266">Svensson(betas_pre,tbl_Bonds[[#This Row],[DU]])</f>
        <v>0.11950184550850161</v>
      </c>
      <c r="G266" s="49">
        <f>IF(curve_type="Simulada",_xlfn.XLOOKUP(tbl_Bonds[[#This Row],[Coupon]],Simulador!$B$5:$B$147,Simulador!$H$5:$H$147),0)</f>
        <v>0</v>
      </c>
      <c r="H266" s="5" cm="1">
        <f t="array" ref="H26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0.11950184550850161</v>
      </c>
      <c r="I266" s="5" cm="1">
        <f t="array" ref="I266">Interpola_FF(tbl_Bonds[[#This Row],[DU]],dus_svensson,svensson_implicita)</f>
        <v>5.8086840033223508E-2</v>
      </c>
      <c r="J266" s="49">
        <f>IF(curve_type="Simulada",_xlfn.XLOOKUP(tbl_Bonds[[#This Row],[Coupon]],Simulador!$B$5:$B$147,Simulador!$N$5:$N$147),0)</f>
        <v>0</v>
      </c>
      <c r="K266" s="5" cm="1">
        <f t="array" ref="K26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5.8086840033223508E-2</v>
      </c>
      <c r="L266" s="5" cm="1">
        <f t="array" ref="L266">Interpola_FF(tbl_Bonds[[#This Row],[DU]],dus_svensson,svensson_real_spot)</f>
        <v>5.8043456490650902E-2</v>
      </c>
      <c r="M266" s="49">
        <f>IF(curve_type="Simulada",_xlfn.XLOOKUP(tbl_Bonds[[#This Row],[Coupon]],Simulador!$B$5:$B$147,Simulador!$K$5:$K$147),0)</f>
        <v>0</v>
      </c>
      <c r="N266" s="5" cm="1">
        <f t="array" ref="N26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5.8043456490650902E-2</v>
      </c>
      <c r="O266" s="6">
        <f>IF(curve_type="Mercado",tbl_Bonds[[#This Row],[FC]]/(1+tbl_Bonds[[#This Row],[Real Mercado]])^(tbl_Bonds[[#This Row],[DU]]/252),tbl_Bonds[[#This Row],[FC]]/(1+tbl_Bonds[[#This Row],[Real Simulada]])^(tbl_Bonds[[#This Row],[DU]]/252))</f>
        <v>1.6253008480200188E-2</v>
      </c>
      <c r="P266" s="7">
        <f>tbl_Bonds[[#This Row],[Cotação]]*VNA</f>
        <v>64.285594332015421</v>
      </c>
      <c r="Q266" s="18">
        <f>tbl_Bonds[[#This Row],[Cotação]]%%*VNA</f>
        <v>6.4285594332015427E-3</v>
      </c>
      <c r="R26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-6.4423760384291373E-2</v>
      </c>
      <c r="S26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-6.0887033040354657E-2</v>
      </c>
      <c r="T26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6.4421126203661944E-2</v>
      </c>
      <c r="U266" s="18">
        <f>IF(curve_type="Mercado",tbl_Bonds[[#This Row],[VP Cupom]]*LN(1+tbl_Bonds[[#This Row],[Real Mercado]])/252,tbl_Bonds[[#This Row],[VP Cupom]]*LN(1+tbl_Bonds[[#This Row],[Real Simulada]])/252)</f>
        <v>1.4393189158424666E-2</v>
      </c>
      <c r="V266" s="18">
        <f>SUMIF(Dashboard!$B$28:$B$42,tbl_Bonds[[#This Row],[Bond]],Dashboard!$C$28:$C$42)</f>
        <v>6381</v>
      </c>
      <c r="W266" s="18">
        <f>tbl_Bonds[[#This Row],[Quantidade]]*tbl_Bonds[[#This Row],[𝛿P/𝛿VNA]]</f>
        <v>41.020637743259044</v>
      </c>
      <c r="X266" s="18">
        <f>+tbl_Bonds[[#This Row],[Quantidade]]*tbl_Bonds[[#This Row],[𝛿P/𝛿r_real]]</f>
        <v>-411.08801501216323</v>
      </c>
      <c r="Y266" s="18">
        <f>tbl_Bonds[[#This Row],[Quantidade]]*tbl_Bonds[[#This Row],[𝛿P/𝛿r_pre]]</f>
        <v>-388.52015783050308</v>
      </c>
      <c r="Z266" s="18">
        <f>tbl_Bonds[[#This Row],[Quantidade]]*tbl_Bonds[[#This Row],[𝛿P/𝛿r_implicita]]</f>
        <v>411.07120630556688</v>
      </c>
      <c r="AA266" s="18">
        <f>tbl_Bonds[[#This Row],[Quantidade]]*tbl_Bonds[[#This Row],[𝛿P/𝛿du]]</f>
        <v>91.8429400199078</v>
      </c>
    </row>
    <row r="267" spans="1:27">
      <c r="A267" s="2" t="s">
        <v>88</v>
      </c>
      <c r="B267" s="3">
        <v>56751</v>
      </c>
      <c r="C267" s="3">
        <v>48899</v>
      </c>
      <c r="D267" s="4">
        <f>NETWORKDAYS(Dashboard!$C$10,bonds!C267,feriados)-1</f>
        <v>2799</v>
      </c>
      <c r="E267" s="2">
        <f>IF(tbl_Bonds[[#This Row],[Coupon]]&lt;tbl_Bonds[[#This Row],[Maturity]],SQRT(1.06)-1,SQRT(1.06))</f>
        <v>2.9563014098699991E-2</v>
      </c>
      <c r="F267" s="5" cm="1">
        <f t="array" ref="F267">Svensson(betas_pre,tbl_Bonds[[#This Row],[DU]])</f>
        <v>0.11963185756408813</v>
      </c>
      <c r="G267" s="49">
        <f>IF(curve_type="Simulada",_xlfn.XLOOKUP(tbl_Bonds[[#This Row],[Coupon]],Simulador!$B$5:$B$147,Simulador!$H$5:$H$147),0)</f>
        <v>0</v>
      </c>
      <c r="H267" s="5" cm="1">
        <f t="array" ref="H26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0.11963185756408813</v>
      </c>
      <c r="I267" s="5" cm="1">
        <f t="array" ref="I267">Interpola_FF(tbl_Bonds[[#This Row],[DU]],dus_svensson,svensson_implicita)</f>
        <v>5.8085960589666641E-2</v>
      </c>
      <c r="J267" s="49">
        <f>IF(curve_type="Simulada",_xlfn.XLOOKUP(tbl_Bonds[[#This Row],[Coupon]],Simulador!$B$5:$B$147,Simulador!$N$5:$N$147),0)</f>
        <v>0</v>
      </c>
      <c r="K267" s="5" cm="1">
        <f t="array" ref="K26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5.8085960589666641E-2</v>
      </c>
      <c r="L267" s="5" cm="1">
        <f t="array" ref="L267">Interpola_FF(tbl_Bonds[[#This Row],[DU]],dus_svensson,svensson_real_spot)</f>
        <v>5.8167204978008868E-2</v>
      </c>
      <c r="M267" s="49">
        <f>IF(curve_type="Simulada",_xlfn.XLOOKUP(tbl_Bonds[[#This Row],[Coupon]],Simulador!$B$5:$B$147,Simulador!$K$5:$K$147),0)</f>
        <v>0</v>
      </c>
      <c r="N267" s="5" cm="1">
        <f t="array" ref="N26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5.8167204978008868E-2</v>
      </c>
      <c r="O267" s="6">
        <f>IF(curve_type="Mercado",tbl_Bonds[[#This Row],[FC]]/(1+tbl_Bonds[[#This Row],[Real Mercado]])^(tbl_Bonds[[#This Row],[DU]]/252),tbl_Bonds[[#This Row],[FC]]/(1+tbl_Bonds[[#This Row],[Real Simulada]])^(tbl_Bonds[[#This Row],[DU]]/252))</f>
        <v>1.5776861717921441E-2</v>
      </c>
      <c r="P267" s="7">
        <f>tbl_Bonds[[#This Row],[Cotação]]*VNA</f>
        <v>62.402288995674574</v>
      </c>
      <c r="Q267" s="18">
        <f>tbl_Bonds[[#This Row],[Cotação]]%%*VNA</f>
        <v>6.2402288995674574E-3</v>
      </c>
      <c r="R26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-6.5501098052086731E-2</v>
      </c>
      <c r="S26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-6.1905274927641481E-2</v>
      </c>
      <c r="T26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6.5506131393732916E-2</v>
      </c>
      <c r="U267" s="18">
        <f>IF(curve_type="Mercado",tbl_Bonds[[#This Row],[VP Cupom]]*LN(1+tbl_Bonds[[#This Row],[Real Mercado]])/252,tbl_Bonds[[#This Row],[VP Cupom]]*LN(1+tbl_Bonds[[#This Row],[Real Simulada]])/252)</f>
        <v>1.4000488333919387E-2</v>
      </c>
      <c r="V267" s="18">
        <f>SUMIF(Dashboard!$B$28:$B$42,tbl_Bonds[[#This Row],[Bond]],Dashboard!$C$28:$C$42)</f>
        <v>6381</v>
      </c>
      <c r="W267" s="18">
        <f>tbl_Bonds[[#This Row],[Quantidade]]*tbl_Bonds[[#This Row],[𝛿P/𝛿VNA]]</f>
        <v>39.818900608139948</v>
      </c>
      <c r="X267" s="18">
        <f>+tbl_Bonds[[#This Row],[Quantidade]]*tbl_Bonds[[#This Row],[𝛿P/𝛿r_real]]</f>
        <v>-417.96250667036543</v>
      </c>
      <c r="Y267" s="18">
        <f>tbl_Bonds[[#This Row],[Quantidade]]*tbl_Bonds[[#This Row],[𝛿P/𝛿r_pre]]</f>
        <v>-395.01755931328029</v>
      </c>
      <c r="Z267" s="18">
        <f>tbl_Bonds[[#This Row],[Quantidade]]*tbl_Bonds[[#This Row],[𝛿P/𝛿r_implicita]]</f>
        <v>417.99462442340973</v>
      </c>
      <c r="AA267" s="18">
        <f>tbl_Bonds[[#This Row],[Quantidade]]*tbl_Bonds[[#This Row],[𝛿P/𝛿du]]</f>
        <v>89.33711605873961</v>
      </c>
    </row>
    <row r="268" spans="1:27">
      <c r="A268" s="2" t="s">
        <v>88</v>
      </c>
      <c r="B268" s="3">
        <v>56751</v>
      </c>
      <c r="C268" s="3">
        <v>49079</v>
      </c>
      <c r="D268" s="4">
        <f>NETWORKDAYS(Dashboard!$C$10,bonds!C268,feriados)-1</f>
        <v>2922</v>
      </c>
      <c r="E268" s="2">
        <f>IF(tbl_Bonds[[#This Row],[Coupon]]&lt;tbl_Bonds[[#This Row],[Maturity]],SQRT(1.06)-1,SQRT(1.06))</f>
        <v>2.9563014098699991E-2</v>
      </c>
      <c r="F268" s="5" cm="1">
        <f t="array" ref="F268">Svensson(betas_pre,tbl_Bonds[[#This Row],[DU]])</f>
        <v>0.11974709192095902</v>
      </c>
      <c r="G268" s="49">
        <f>IF(curve_type="Simulada",_xlfn.XLOOKUP(tbl_Bonds[[#This Row],[Coupon]],Simulador!$B$5:$B$147,Simulador!$H$5:$H$147),0)</f>
        <v>0</v>
      </c>
      <c r="H268" s="5" cm="1">
        <f t="array" ref="H26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0.11974709192095902</v>
      </c>
      <c r="I268" s="5" cm="1">
        <f t="array" ref="I268">Interpola_FF(tbl_Bonds[[#This Row],[DU]],dus_svensson,svensson_implicita)</f>
        <v>5.8088485012417923E-2</v>
      </c>
      <c r="J268" s="49">
        <f>IF(curve_type="Simulada",_xlfn.XLOOKUP(tbl_Bonds[[#This Row],[Coupon]],Simulador!$B$5:$B$147,Simulador!$N$5:$N$147),0)</f>
        <v>0</v>
      </c>
      <c r="K268" s="5" cm="1">
        <f t="array" ref="K26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5.8088485012417923E-2</v>
      </c>
      <c r="L268" s="5" cm="1">
        <f t="array" ref="L268">Interpola_FF(tbl_Bonds[[#This Row],[DU]],dus_svensson,svensson_real_spot)</f>
        <v>5.8273585043413068E-2</v>
      </c>
      <c r="M268" s="49">
        <f>IF(curve_type="Simulada",_xlfn.XLOOKUP(tbl_Bonds[[#This Row],[Coupon]],Simulador!$B$5:$B$147,Simulador!$K$5:$K$147),0)</f>
        <v>0</v>
      </c>
      <c r="N268" s="5" cm="1">
        <f t="array" ref="N26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5.8273585043413068E-2</v>
      </c>
      <c r="O268" s="6">
        <f>IF(curve_type="Mercado",tbl_Bonds[[#This Row],[FC]]/(1+tbl_Bonds[[#This Row],[Real Mercado]])^(tbl_Bonds[[#This Row],[DU]]/252),tbl_Bonds[[#This Row],[FC]]/(1+tbl_Bonds[[#This Row],[Real Simulada]])^(tbl_Bonds[[#This Row],[DU]]/252))</f>
        <v>1.5329555178395567E-2</v>
      </c>
      <c r="P268" s="7">
        <f>tbl_Bonds[[#This Row],[Cotação]]*VNA</f>
        <v>60.633055516405278</v>
      </c>
      <c r="Q268" s="18">
        <f>tbl_Bonds[[#This Row],[Cotação]]%%*VNA</f>
        <v>6.0633055516405273E-3</v>
      </c>
      <c r="R26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-6.6434117329468037E-2</v>
      </c>
      <c r="S26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-6.2786921952783556E-2</v>
      </c>
      <c r="T26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6.6445740846024309E-2</v>
      </c>
      <c r="U268" s="18">
        <f>IF(curve_type="Mercado",tbl_Bonds[[#This Row],[VP Cupom]]*LN(1+tbl_Bonds[[#This Row],[Real Mercado]])/252,tbl_Bonds[[#This Row],[VP Cupom]]*LN(1+tbl_Bonds[[#This Row],[Real Simulada]])/252)</f>
        <v>1.3627733254803678E-2</v>
      </c>
      <c r="V268" s="18">
        <f>SUMIF(Dashboard!$B$28:$B$42,tbl_Bonds[[#This Row],[Bond]],Dashboard!$C$28:$C$42)</f>
        <v>6381</v>
      </c>
      <c r="W268" s="18">
        <f>tbl_Bonds[[#This Row],[Quantidade]]*tbl_Bonds[[#This Row],[𝛿P/𝛿VNA]]</f>
        <v>38.689952725018202</v>
      </c>
      <c r="X268" s="18">
        <f>+tbl_Bonds[[#This Row],[Quantidade]]*tbl_Bonds[[#This Row],[𝛿P/𝛿r_real]]</f>
        <v>-423.91610267933555</v>
      </c>
      <c r="Y268" s="18">
        <f>tbl_Bonds[[#This Row],[Quantidade]]*tbl_Bonds[[#This Row],[𝛿P/𝛿r_pre]]</f>
        <v>-400.64334898071189</v>
      </c>
      <c r="Z268" s="18">
        <f>tbl_Bonds[[#This Row],[Quantidade]]*tbl_Bonds[[#This Row],[𝛿P/𝛿r_implicita]]</f>
        <v>423.99027233848113</v>
      </c>
      <c r="AA268" s="18">
        <f>tbl_Bonds[[#This Row],[Quantidade]]*tbl_Bonds[[#This Row],[𝛿P/𝛿du]]</f>
        <v>86.958565898902265</v>
      </c>
    </row>
    <row r="269" spans="1:27">
      <c r="A269" s="2" t="s">
        <v>88</v>
      </c>
      <c r="B269" s="3">
        <v>56751</v>
      </c>
      <c r="C269" s="3">
        <v>49264</v>
      </c>
      <c r="D269" s="4">
        <f>NETWORKDAYS(Dashboard!$C$10,bonds!C269,feriados)-1</f>
        <v>3050</v>
      </c>
      <c r="E269" s="2">
        <f>IF(tbl_Bonds[[#This Row],[Coupon]]&lt;tbl_Bonds[[#This Row],[Maturity]],SQRT(1.06)-1,SQRT(1.06))</f>
        <v>2.9563014098699991E-2</v>
      </c>
      <c r="F269" s="5" cm="1">
        <f t="array" ref="F269">Svensson(betas_pre,tbl_Bonds[[#This Row],[DU]])</f>
        <v>0.11985718969671773</v>
      </c>
      <c r="G269" s="49">
        <f>IF(curve_type="Simulada",_xlfn.XLOOKUP(tbl_Bonds[[#This Row],[Coupon]],Simulador!$B$5:$B$147,Simulador!$H$5:$H$147),0)</f>
        <v>0</v>
      </c>
      <c r="H269" s="5" cm="1">
        <f t="array" ref="H26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0.11985718969671773</v>
      </c>
      <c r="I269" s="5" cm="1">
        <f t="array" ref="I269">Interpola_FF(tbl_Bonds[[#This Row],[DU]],dus_svensson,svensson_implicita)</f>
        <v>5.8095387399661913E-2</v>
      </c>
      <c r="J269" s="49">
        <f>IF(curve_type="Simulada",_xlfn.XLOOKUP(tbl_Bonds[[#This Row],[Coupon]],Simulador!$B$5:$B$147,Simulador!$N$5:$N$147),0)</f>
        <v>0</v>
      </c>
      <c r="K269" s="5" cm="1">
        <f t="array" ref="K26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5.8095387399661913E-2</v>
      </c>
      <c r="L269" s="5" cm="1">
        <f t="array" ref="L269">Interpola_FF(tbl_Bonds[[#This Row],[DU]],dus_svensson,svensson_real_spot)</f>
        <v>5.8370732786934276E-2</v>
      </c>
      <c r="M269" s="49">
        <f>IF(curve_type="Simulada",_xlfn.XLOOKUP(tbl_Bonds[[#This Row],[Coupon]],Simulador!$B$5:$B$147,Simulador!$K$5:$K$147),0)</f>
        <v>0</v>
      </c>
      <c r="N269" s="5" cm="1">
        <f t="array" ref="N26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5.8370732786934276E-2</v>
      </c>
      <c r="O269" s="6">
        <f>IF(curve_type="Mercado",tbl_Bonds[[#This Row],[FC]]/(1+tbl_Bonds[[#This Row],[Real Mercado]])^(tbl_Bonds[[#This Row],[DU]]/252),tbl_Bonds[[#This Row],[FC]]/(1+tbl_Bonds[[#This Row],[Real Simulada]])^(tbl_Bonds[[#This Row],[DU]]/252))</f>
        <v>1.4878284256243556E-2</v>
      </c>
      <c r="P269" s="7">
        <f>tbl_Bonds[[#This Row],[Cotação]]*VNA</f>
        <v>58.848141697487407</v>
      </c>
      <c r="Q269" s="18">
        <f>tbl_Bonds[[#This Row],[Cotação]]%%*VNA</f>
        <v>5.8848141697487406E-3</v>
      </c>
      <c r="R26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-6.7296771535011471E-2</v>
      </c>
      <c r="S26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-6.3601800920033341E-2</v>
      </c>
      <c r="T26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6.7314284596777754E-2</v>
      </c>
      <c r="U269" s="18">
        <f>IF(curve_type="Mercado",tbl_Bonds[[#This Row],[VP Cupom]]*LN(1+tbl_Bonds[[#This Row],[Real Mercado]])/252,tbl_Bonds[[#This Row],[VP Cupom]]*LN(1+tbl_Bonds[[#This Row],[Real Simulada]])/252)</f>
        <v>1.3247996670874179E-2</v>
      </c>
      <c r="V269" s="18">
        <f>SUMIF(Dashboard!$B$28:$B$42,tbl_Bonds[[#This Row],[Bond]],Dashboard!$C$28:$C$42)</f>
        <v>6381</v>
      </c>
      <c r="W269" s="18">
        <f>tbl_Bonds[[#This Row],[Quantidade]]*tbl_Bonds[[#This Row],[𝛿P/𝛿VNA]]</f>
        <v>37.550999217166712</v>
      </c>
      <c r="X269" s="18">
        <f>+tbl_Bonds[[#This Row],[Quantidade]]*tbl_Bonds[[#This Row],[𝛿P/𝛿r_real]]</f>
        <v>-429.42069916490817</v>
      </c>
      <c r="Y269" s="18">
        <f>tbl_Bonds[[#This Row],[Quantidade]]*tbl_Bonds[[#This Row],[𝛿P/𝛿r_pre]]</f>
        <v>-405.84309167073275</v>
      </c>
      <c r="Z269" s="18">
        <f>tbl_Bonds[[#This Row],[Quantidade]]*tbl_Bonds[[#This Row],[𝛿P/𝛿r_implicita]]</f>
        <v>429.53245001203885</v>
      </c>
      <c r="AA269" s="18">
        <f>tbl_Bonds[[#This Row],[Quantidade]]*tbl_Bonds[[#This Row],[𝛿P/𝛿du]]</f>
        <v>84.535466756848137</v>
      </c>
    </row>
    <row r="270" spans="1:27">
      <c r="A270" s="2" t="s">
        <v>88</v>
      </c>
      <c r="B270" s="3">
        <v>56751</v>
      </c>
      <c r="C270" s="3">
        <v>49444</v>
      </c>
      <c r="D270" s="4">
        <f>NETWORKDAYS(Dashboard!$C$10,bonds!C270,feriados)-1</f>
        <v>3172</v>
      </c>
      <c r="E270" s="2">
        <f>IF(tbl_Bonds[[#This Row],[Coupon]]&lt;tbl_Bonds[[#This Row],[Maturity]],SQRT(1.06)-1,SQRT(1.06))</f>
        <v>2.9563014098699991E-2</v>
      </c>
      <c r="F270" s="5" cm="1">
        <f t="array" ref="F270">Svensson(betas_pre,tbl_Bonds[[#This Row],[DU]])</f>
        <v>0.11995387783157511</v>
      </c>
      <c r="G270" s="49">
        <f>IF(curve_type="Simulada",_xlfn.XLOOKUP(tbl_Bonds[[#This Row],[Coupon]],Simulador!$B$5:$B$147,Simulador!$H$5:$H$147),0)</f>
        <v>0</v>
      </c>
      <c r="H270" s="5" cm="1">
        <f t="array" ref="H27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0.11995387783157511</v>
      </c>
      <c r="I270" s="5" cm="1">
        <f t="array" ref="I270">Interpola_FF(tbl_Bonds[[#This Row],[DU]],dus_svensson,svensson_implicita)</f>
        <v>5.8106093860155639E-2</v>
      </c>
      <c r="J270" s="49">
        <f>IF(curve_type="Simulada",_xlfn.XLOOKUP(tbl_Bonds[[#This Row],[Coupon]],Simulador!$B$5:$B$147,Simulador!$N$5:$N$147),0)</f>
        <v>0</v>
      </c>
      <c r="K270" s="5" cm="1">
        <f t="array" ref="K27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5.8106093860155639E-2</v>
      </c>
      <c r="L270" s="5" cm="1">
        <f t="array" ref="L270">Interpola_FF(tbl_Bonds[[#This Row],[DU]],dus_svensson,svensson_real_spot)</f>
        <v>5.845140132792781E-2</v>
      </c>
      <c r="M270" s="49">
        <f>IF(curve_type="Simulada",_xlfn.XLOOKUP(tbl_Bonds[[#This Row],[Coupon]],Simulador!$B$5:$B$147,Simulador!$K$5:$K$147),0)</f>
        <v>0</v>
      </c>
      <c r="N270" s="5" cm="1">
        <f t="array" ref="N27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5.845140132792781E-2</v>
      </c>
      <c r="O270" s="6">
        <f>IF(curve_type="Mercado",tbl_Bonds[[#This Row],[FC]]/(1+tbl_Bonds[[#This Row],[Real Mercado]])^(tbl_Bonds[[#This Row],[DU]]/252),tbl_Bonds[[#This Row],[FC]]/(1+tbl_Bonds[[#This Row],[Real Simulada]])^(tbl_Bonds[[#This Row],[DU]]/252))</f>
        <v>1.4461334505663948E-2</v>
      </c>
      <c r="P270" s="7">
        <f>tbl_Bonds[[#This Row],[Cotação]]*VNA</f>
        <v>57.198978556075836</v>
      </c>
      <c r="Q270" s="18">
        <f>tbl_Bonds[[#This Row],[Cotação]]%%*VNA</f>
        <v>5.7198978556075837E-3</v>
      </c>
      <c r="R27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-6.8022092716551602E-2</v>
      </c>
      <c r="S27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-6.4286646759831728E-2</v>
      </c>
      <c r="T27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6.8044291351541747E-2</v>
      </c>
      <c r="U270" s="18">
        <f>IF(curve_type="Mercado",tbl_Bonds[[#This Row],[VP Cupom]]*LN(1+tbl_Bonds[[#This Row],[Real Mercado]])/252,tbl_Bonds[[#This Row],[VP Cupom]]*LN(1+tbl_Bonds[[#This Row],[Real Simulada]])/252)</f>
        <v>1.2894033837463435E-2</v>
      </c>
      <c r="V270" s="18">
        <f>SUMIF(Dashboard!$B$28:$B$42,tbl_Bonds[[#This Row],[Bond]],Dashboard!$C$28:$C$42)</f>
        <v>6381</v>
      </c>
      <c r="W270" s="18">
        <f>tbl_Bonds[[#This Row],[Quantidade]]*tbl_Bonds[[#This Row],[𝛿P/𝛿VNA]]</f>
        <v>36.498668216631991</v>
      </c>
      <c r="X270" s="18">
        <f>+tbl_Bonds[[#This Row],[Quantidade]]*tbl_Bonds[[#This Row],[𝛿P/𝛿r_real]]</f>
        <v>-434.04897362431575</v>
      </c>
      <c r="Y270" s="18">
        <f>tbl_Bonds[[#This Row],[Quantidade]]*tbl_Bonds[[#This Row],[𝛿P/𝛿r_pre]]</f>
        <v>-410.21309297448624</v>
      </c>
      <c r="Z270" s="18">
        <f>tbl_Bonds[[#This Row],[Quantidade]]*tbl_Bonds[[#This Row],[𝛿P/𝛿r_implicita]]</f>
        <v>434.19062311418787</v>
      </c>
      <c r="AA270" s="18">
        <f>tbl_Bonds[[#This Row],[Quantidade]]*tbl_Bonds[[#This Row],[𝛿P/𝛿du]]</f>
        <v>82.276829916854183</v>
      </c>
    </row>
    <row r="271" spans="1:27">
      <c r="A271" s="2" t="s">
        <v>88</v>
      </c>
      <c r="B271" s="3">
        <v>56751</v>
      </c>
      <c r="C271" s="3">
        <v>49629</v>
      </c>
      <c r="D271" s="4">
        <f>NETWORKDAYS(Dashboard!$C$10,bonds!C271,feriados)-1</f>
        <v>3300</v>
      </c>
      <c r="E271" s="2">
        <f>IF(tbl_Bonds[[#This Row],[Coupon]]&lt;tbl_Bonds[[#This Row],[Maturity]],SQRT(1.06)-1,SQRT(1.06))</f>
        <v>2.9563014098699991E-2</v>
      </c>
      <c r="F271" s="5" cm="1">
        <f t="array" ref="F271">Svensson(betas_pre,tbl_Bonds[[#This Row],[DU]])</f>
        <v>0.12004764540153573</v>
      </c>
      <c r="G271" s="49">
        <f>IF(curve_type="Simulada",_xlfn.XLOOKUP(tbl_Bonds[[#This Row],[Coupon]],Simulador!$B$5:$B$147,Simulador!$H$5:$H$147),0)</f>
        <v>0</v>
      </c>
      <c r="H271" s="5" cm="1">
        <f t="array" ref="H27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0.12004764540153573</v>
      </c>
      <c r="I271" s="5" cm="1">
        <f t="array" ref="I271">Interpola_FF(tbl_Bonds[[#This Row],[DU]],dus_svensson,svensson_implicita)</f>
        <v>5.8121726259442674E-2</v>
      </c>
      <c r="J271" s="49">
        <f>IF(curve_type="Simulada",_xlfn.XLOOKUP(tbl_Bonds[[#This Row],[Coupon]],Simulador!$B$5:$B$147,Simulador!$N$5:$N$147),0)</f>
        <v>0</v>
      </c>
      <c r="K271" s="5" cm="1">
        <f t="array" ref="K27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5.8121726259442674E-2</v>
      </c>
      <c r="L271" s="5" cm="1">
        <f t="array" ref="L271">Interpola_FF(tbl_Bonds[[#This Row],[DU]],dus_svensson,svensson_real_spot)</f>
        <v>5.8524380683759647E-2</v>
      </c>
      <c r="M271" s="49">
        <f>IF(curve_type="Simulada",_xlfn.XLOOKUP(tbl_Bonds[[#This Row],[Coupon]],Simulador!$B$5:$B$147,Simulador!$K$5:$K$147),0)</f>
        <v>0</v>
      </c>
      <c r="N271" s="5" cm="1">
        <f t="array" ref="N27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5.8524380683759647E-2</v>
      </c>
      <c r="O271" s="6">
        <f>IF(curve_type="Mercado",tbl_Bonds[[#This Row],[FC]]/(1+tbl_Bonds[[#This Row],[Real Mercado]])^(tbl_Bonds[[#This Row],[DU]]/252),tbl_Bonds[[#This Row],[FC]]/(1+tbl_Bonds[[#This Row],[Real Simulada]])^(tbl_Bonds[[#This Row],[DU]]/252))</f>
        <v>1.403734572587946E-2</v>
      </c>
      <c r="P271" s="7">
        <f>tbl_Bonds[[#This Row],[Cotação]]*VNA</f>
        <v>55.52197391218138</v>
      </c>
      <c r="Q271" s="18">
        <f>tbl_Bonds[[#This Row],[Cotação]]%%*VNA</f>
        <v>5.5521973912181386E-3</v>
      </c>
      <c r="R27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-6.868745596846397E-2</v>
      </c>
      <c r="S27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-6.4914512098854835E-2</v>
      </c>
      <c r="T27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6.8713593742885354E-2</v>
      </c>
      <c r="U271" s="18">
        <f>IF(curve_type="Mercado",tbl_Bonds[[#This Row],[VP Cupom]]*LN(1+tbl_Bonds[[#This Row],[Real Mercado]])/252,tbl_Bonds[[#This Row],[VP Cupom]]*LN(1+tbl_Bonds[[#This Row],[Real Simulada]])/252)</f>
        <v>1.2531187135993242E-2</v>
      </c>
      <c r="V271" s="18">
        <f>SUMIF(Dashboard!$B$28:$B$42,tbl_Bonds[[#This Row],[Bond]],Dashboard!$C$28:$C$42)</f>
        <v>6381</v>
      </c>
      <c r="W271" s="18">
        <f>tbl_Bonds[[#This Row],[Quantidade]]*tbl_Bonds[[#This Row],[𝛿P/𝛿VNA]]</f>
        <v>35.428571553362943</v>
      </c>
      <c r="X271" s="18">
        <f>+tbl_Bonds[[#This Row],[Quantidade]]*tbl_Bonds[[#This Row],[𝛿P/𝛿r_real]]</f>
        <v>-438.29465653476859</v>
      </c>
      <c r="Y271" s="18">
        <f>tbl_Bonds[[#This Row],[Quantidade]]*tbl_Bonds[[#This Row],[𝛿P/𝛿r_pre]]</f>
        <v>-414.21950170279268</v>
      </c>
      <c r="Z271" s="18">
        <f>tbl_Bonds[[#This Row],[Quantidade]]*tbl_Bonds[[#This Row],[𝛿P/𝛿r_implicita]]</f>
        <v>438.46144167335143</v>
      </c>
      <c r="AA271" s="18">
        <f>tbl_Bonds[[#This Row],[Quantidade]]*tbl_Bonds[[#This Row],[𝛿P/𝛿du]]</f>
        <v>79.961505114772876</v>
      </c>
    </row>
    <row r="272" spans="1:27">
      <c r="A272" s="2" t="s">
        <v>88</v>
      </c>
      <c r="B272" s="3">
        <v>56751</v>
      </c>
      <c r="C272" s="3">
        <v>49810</v>
      </c>
      <c r="D272" s="4">
        <f>NETWORKDAYS(Dashboard!$C$10,bonds!C272,feriados)-1</f>
        <v>3422</v>
      </c>
      <c r="E272" s="2">
        <f>IF(tbl_Bonds[[#This Row],[Coupon]]&lt;tbl_Bonds[[#This Row],[Maturity]],SQRT(1.06)-1,SQRT(1.06))</f>
        <v>2.9563014098699991E-2</v>
      </c>
      <c r="F272" s="5" cm="1">
        <f t="array" ref="F272">Svensson(betas_pre,tbl_Bonds[[#This Row],[DU]])</f>
        <v>0.12013049074279633</v>
      </c>
      <c r="G272" s="49">
        <f>IF(curve_type="Simulada",_xlfn.XLOOKUP(tbl_Bonds[[#This Row],[Coupon]],Simulador!$B$5:$B$147,Simulador!$H$5:$H$147),0)</f>
        <v>0</v>
      </c>
      <c r="H272" s="5" cm="1">
        <f t="array" ref="H27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0.12013049074279633</v>
      </c>
      <c r="I272" s="5" cm="1">
        <f t="array" ref="I272">Interpola_FF(tbl_Bonds[[#This Row],[DU]],dus_svensson,svensson_implicita)</f>
        <v>5.8140396215799139E-2</v>
      </c>
      <c r="J272" s="49">
        <f>IF(curve_type="Simulada",_xlfn.XLOOKUP(tbl_Bonds[[#This Row],[Coupon]],Simulador!$B$5:$B$147,Simulador!$N$5:$N$147),0)</f>
        <v>0</v>
      </c>
      <c r="K272" s="5" cm="1">
        <f t="array" ref="K27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5.8140396215799139E-2</v>
      </c>
      <c r="L272" s="5" cm="1">
        <f t="array" ref="L272">Interpola_FF(tbl_Bonds[[#This Row],[DU]],dus_svensson,svensson_real_spot)</f>
        <v>5.8583997211028471E-2</v>
      </c>
      <c r="M272" s="49">
        <f>IF(curve_type="Simulada",_xlfn.XLOOKUP(tbl_Bonds[[#This Row],[Coupon]],Simulador!$B$5:$B$147,Simulador!$K$5:$K$147),0)</f>
        <v>0</v>
      </c>
      <c r="N272" s="5" cm="1">
        <f t="array" ref="N27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5.8583997211028471E-2</v>
      </c>
      <c r="O272" s="6">
        <f>IF(curve_type="Mercado",tbl_Bonds[[#This Row],[FC]]/(1+tbl_Bonds[[#This Row],[Real Mercado]])^(tbl_Bonds[[#This Row],[DU]]/252),tbl_Bonds[[#This Row],[FC]]/(1+tbl_Bonds[[#This Row],[Real Simulada]])^(tbl_Bonds[[#This Row],[DU]]/252))</f>
        <v>1.3645658669968702E-2</v>
      </c>
      <c r="P272" s="7">
        <f>tbl_Bonds[[#This Row],[Cotação]]*VNA</f>
        <v>53.972732415626744</v>
      </c>
      <c r="Q272" s="18">
        <f>tbl_Bonds[[#This Row],[Cotação]]%%*VNA</f>
        <v>5.3972732415626746E-3</v>
      </c>
      <c r="R27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-6.9235454128688367E-2</v>
      </c>
      <c r="S27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-6.5431254604886996E-2</v>
      </c>
      <c r="T27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6.9264479073476104E-2</v>
      </c>
      <c r="U272" s="18">
        <f>IF(curve_type="Mercado",tbl_Bonds[[#This Row],[VP Cupom]]*LN(1+tbl_Bonds[[#This Row],[Real Mercado]])/252,tbl_Bonds[[#This Row],[VP Cupom]]*LN(1+tbl_Bonds[[#This Row],[Real Simulada]])/252)</f>
        <v>1.2193588970416338E-2</v>
      </c>
      <c r="V272" s="18">
        <f>SUMIF(Dashboard!$B$28:$B$42,tbl_Bonds[[#This Row],[Bond]],Dashboard!$C$28:$C$42)</f>
        <v>6381</v>
      </c>
      <c r="W272" s="18">
        <f>tbl_Bonds[[#This Row],[Quantidade]]*tbl_Bonds[[#This Row],[𝛿P/𝛿VNA]]</f>
        <v>34.440000554411426</v>
      </c>
      <c r="X272" s="18">
        <f>+tbl_Bonds[[#This Row],[Quantidade]]*tbl_Bonds[[#This Row],[𝛿P/𝛿r_real]]</f>
        <v>-441.79143279516046</v>
      </c>
      <c r="Y272" s="18">
        <f>tbl_Bonds[[#This Row],[Quantidade]]*tbl_Bonds[[#This Row],[𝛿P/𝛿r_pre]]</f>
        <v>-417.5168356337839</v>
      </c>
      <c r="Z272" s="18">
        <f>tbl_Bonds[[#This Row],[Quantidade]]*tbl_Bonds[[#This Row],[𝛿P/𝛿r_implicita]]</f>
        <v>441.97664096785104</v>
      </c>
      <c r="AA272" s="18">
        <f>tbl_Bonds[[#This Row],[Quantidade]]*tbl_Bonds[[#This Row],[𝛿P/𝛿du]]</f>
        <v>77.807291220226645</v>
      </c>
    </row>
    <row r="273" spans="1:27">
      <c r="A273" s="2" t="s">
        <v>88</v>
      </c>
      <c r="B273" s="3">
        <v>56751</v>
      </c>
      <c r="C273" s="3">
        <v>49996</v>
      </c>
      <c r="D273" s="4">
        <f>NETWORKDAYS(Dashboard!$C$10,bonds!C273,feriados)-1</f>
        <v>3553</v>
      </c>
      <c r="E273" s="2">
        <f>IF(tbl_Bonds[[#This Row],[Coupon]]&lt;tbl_Bonds[[#This Row],[Maturity]],SQRT(1.06)-1,SQRT(1.06))</f>
        <v>2.9563014098699991E-2</v>
      </c>
      <c r="F273" s="5" cm="1">
        <f t="array" ref="F273">Svensson(betas_pre,tbl_Bonds[[#This Row],[DU]])</f>
        <v>0.12021311213738863</v>
      </c>
      <c r="G273" s="49">
        <f>IF(curve_type="Simulada",_xlfn.XLOOKUP(tbl_Bonds[[#This Row],[Coupon]],Simulador!$B$5:$B$147,Simulador!$H$5:$H$147),0)</f>
        <v>0</v>
      </c>
      <c r="H273" s="5" cm="1">
        <f t="array" ref="H27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0.12021311213738863</v>
      </c>
      <c r="I273" s="5" cm="1">
        <f t="array" ref="I273">Interpola_FF(tbl_Bonds[[#This Row],[DU]],dus_svensson,svensson_implicita)</f>
        <v>5.8164335714771864E-2</v>
      </c>
      <c r="J273" s="49">
        <f>IF(curve_type="Simulada",_xlfn.XLOOKUP(tbl_Bonds[[#This Row],[Coupon]],Simulador!$B$5:$B$147,Simulador!$N$5:$N$147),0)</f>
        <v>0</v>
      </c>
      <c r="K273" s="5" cm="1">
        <f t="array" ref="K27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5.8164335714771864E-2</v>
      </c>
      <c r="L273" s="5" cm="1">
        <f t="array" ref="L273">Interpola_FF(tbl_Bonds[[#This Row],[DU]],dus_svensson,svensson_real_spot)</f>
        <v>5.8638128010987556E-2</v>
      </c>
      <c r="M273" s="49">
        <f>IF(curve_type="Simulada",_xlfn.XLOOKUP(tbl_Bonds[[#This Row],[Coupon]],Simulador!$B$5:$B$147,Simulador!$K$5:$K$147),0)</f>
        <v>0</v>
      </c>
      <c r="N273" s="5" cm="1">
        <f t="array" ref="N27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5.8638128010987556E-2</v>
      </c>
      <c r="O273" s="6">
        <f>IF(curve_type="Mercado",tbl_Bonds[[#This Row],[FC]]/(1+tbl_Bonds[[#This Row],[Real Mercado]])^(tbl_Bonds[[#This Row],[DU]]/252),tbl_Bonds[[#This Row],[FC]]/(1+tbl_Bonds[[#This Row],[Real Simulada]])^(tbl_Bonds[[#This Row],[DU]]/252))</f>
        <v>1.3238176187913214E-2</v>
      </c>
      <c r="P273" s="7">
        <f>tbl_Bonds[[#This Row],[Cotação]]*VNA</f>
        <v>52.361015202119255</v>
      </c>
      <c r="Q273" s="18">
        <f>tbl_Bonds[[#This Row],[Cotação]]%%*VNA</f>
        <v>5.2361015202119264E-3</v>
      </c>
      <c r="R27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-6.9735704624172362E-2</v>
      </c>
      <c r="S27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-6.5902527292871188E-2</v>
      </c>
      <c r="T27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6.9766928164895131E-2</v>
      </c>
      <c r="U273" s="18">
        <f>IF(curve_type="Mercado",tbl_Bonds[[#This Row],[VP Cupom]]*LN(1+tbl_Bonds[[#This Row],[Real Mercado]])/252,tbl_Bonds[[#This Row],[VP Cupom]]*LN(1+tbl_Bonds[[#This Row],[Real Simulada]])/252)</f>
        <v>1.184009242130509E-2</v>
      </c>
      <c r="V273" s="18">
        <f>SUMIF(Dashboard!$B$28:$B$42,tbl_Bonds[[#This Row],[Bond]],Dashboard!$C$28:$C$42)</f>
        <v>6381</v>
      </c>
      <c r="W273" s="18">
        <f>tbl_Bonds[[#This Row],[Quantidade]]*tbl_Bonds[[#This Row],[𝛿P/𝛿VNA]]</f>
        <v>33.411563800472301</v>
      </c>
      <c r="X273" s="18">
        <f>+tbl_Bonds[[#This Row],[Quantidade]]*tbl_Bonds[[#This Row],[𝛿P/𝛿r_real]]</f>
        <v>-444.98353120684385</v>
      </c>
      <c r="Y273" s="18">
        <f>tbl_Bonds[[#This Row],[Quantidade]]*tbl_Bonds[[#This Row],[𝛿P/𝛿r_pre]]</f>
        <v>-420.52402665581104</v>
      </c>
      <c r="Z273" s="18">
        <f>tbl_Bonds[[#This Row],[Quantidade]]*tbl_Bonds[[#This Row],[𝛿P/𝛿r_implicita]]</f>
        <v>445.18276862019582</v>
      </c>
      <c r="AA273" s="18">
        <f>tbl_Bonds[[#This Row],[Quantidade]]*tbl_Bonds[[#This Row],[𝛿P/𝛿du]]</f>
        <v>75.551629740347778</v>
      </c>
    </row>
    <row r="274" spans="1:27">
      <c r="A274" s="2" t="s">
        <v>88</v>
      </c>
      <c r="B274" s="3">
        <v>56751</v>
      </c>
      <c r="C274" s="3">
        <v>50175</v>
      </c>
      <c r="D274" s="4">
        <f>NETWORKDAYS(Dashboard!$C$10,bonds!C274,feriados)-1</f>
        <v>3675</v>
      </c>
      <c r="E274" s="2">
        <f>IF(tbl_Bonds[[#This Row],[Coupon]]&lt;tbl_Bonds[[#This Row],[Maturity]],SQRT(1.06)-1,SQRT(1.06))</f>
        <v>2.9563014098699991E-2</v>
      </c>
      <c r="F274" s="5" cm="1">
        <f t="array" ref="F274">Svensson(betas_pre,tbl_Bonds[[#This Row],[DU]])</f>
        <v>0.12028475749761516</v>
      </c>
      <c r="G274" s="49">
        <f>IF(curve_type="Simulada",_xlfn.XLOOKUP(tbl_Bonds[[#This Row],[Coupon]],Simulador!$B$5:$B$147,Simulador!$H$5:$H$147),0)</f>
        <v>0</v>
      </c>
      <c r="H274" s="5" cm="1">
        <f t="array" ref="H27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0.12028475749761516</v>
      </c>
      <c r="I274" s="5" cm="1">
        <f t="array" ref="I274">Interpola_FF(tbl_Bonds[[#This Row],[DU]],dus_svensson,svensson_implicita)</f>
        <v>5.8189597608516941E-2</v>
      </c>
      <c r="J274" s="49">
        <f>IF(curve_type="Simulada",_xlfn.XLOOKUP(tbl_Bonds[[#This Row],[Coupon]],Simulador!$B$5:$B$147,Simulador!$N$5:$N$147),0)</f>
        <v>0</v>
      </c>
      <c r="K274" s="5" cm="1">
        <f t="array" ref="K27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5.8189597608516941E-2</v>
      </c>
      <c r="L274" s="5" cm="1">
        <f t="array" ref="L274">Interpola_FF(tbl_Bonds[[#This Row],[DU]],dus_svensson,svensson_real_spot)</f>
        <v>5.8680561097130379E-2</v>
      </c>
      <c r="M274" s="49">
        <f>IF(curve_type="Simulada",_xlfn.XLOOKUP(tbl_Bonds[[#This Row],[Coupon]],Simulador!$B$5:$B$147,Simulador!$K$5:$K$147),0)</f>
        <v>0</v>
      </c>
      <c r="N274" s="5" cm="1">
        <f t="array" ref="N27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5.8680561097130379E-2</v>
      </c>
      <c r="O274" s="6">
        <f>IF(curve_type="Mercado",tbl_Bonds[[#This Row],[FC]]/(1+tbl_Bonds[[#This Row],[Real Mercado]])^(tbl_Bonds[[#This Row],[DU]]/252),tbl_Bonds[[#This Row],[FC]]/(1+tbl_Bonds[[#This Row],[Real Simulada]])^(tbl_Bonds[[#This Row],[DU]]/252))</f>
        <v>1.2870438740915906E-2</v>
      </c>
      <c r="P274" s="7">
        <f>tbl_Bonds[[#This Row],[Cotação]]*VNA</f>
        <v>50.906501696686767</v>
      </c>
      <c r="Q274" s="18">
        <f>tbl_Bonds[[#This Row],[Cotação]]%%*VNA</f>
        <v>5.0906501696686762E-3</v>
      </c>
      <c r="R27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-7.0123747460455216E-2</v>
      </c>
      <c r="S27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-6.6267658535168902E-2</v>
      </c>
      <c r="T27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7.0156281955316924E-2</v>
      </c>
      <c r="U274" s="18">
        <f>IF(curve_type="Mercado",tbl_Bonds[[#This Row],[VP Cupom]]*LN(1+tbl_Bonds[[#This Row],[Real Mercado]])/252,tbl_Bonds[[#This Row],[VP Cupom]]*LN(1+tbl_Bonds[[#This Row],[Real Simulada]])/252)</f>
        <v>1.1519288668778977E-2</v>
      </c>
      <c r="V274" s="18">
        <f>SUMIF(Dashboard!$B$28:$B$42,tbl_Bonds[[#This Row],[Bond]],Dashboard!$C$28:$C$42)</f>
        <v>6381</v>
      </c>
      <c r="W274" s="18">
        <f>tbl_Bonds[[#This Row],[Quantidade]]*tbl_Bonds[[#This Row],[𝛿P/𝛿VNA]]</f>
        <v>32.48343873265582</v>
      </c>
      <c r="X274" s="18">
        <f>+tbl_Bonds[[#This Row],[Quantidade]]*tbl_Bonds[[#This Row],[𝛿P/𝛿r_real]]</f>
        <v>-447.45963254516471</v>
      </c>
      <c r="Y274" s="18">
        <f>tbl_Bonds[[#This Row],[Quantidade]]*tbl_Bonds[[#This Row],[𝛿P/𝛿r_pre]]</f>
        <v>-422.85392911291274</v>
      </c>
      <c r="Z274" s="18">
        <f>tbl_Bonds[[#This Row],[Quantidade]]*tbl_Bonds[[#This Row],[𝛿P/𝛿r_implicita]]</f>
        <v>447.66723515687727</v>
      </c>
      <c r="AA274" s="18">
        <f>tbl_Bonds[[#This Row],[Quantidade]]*tbl_Bonds[[#This Row],[𝛿P/𝛿du]]</f>
        <v>73.504580995478662</v>
      </c>
    </row>
    <row r="275" spans="1:27">
      <c r="A275" s="2" t="s">
        <v>88</v>
      </c>
      <c r="B275" s="3">
        <v>56751</v>
      </c>
      <c r="C275" s="3">
        <v>50360</v>
      </c>
      <c r="D275" s="4">
        <f>NETWORKDAYS(Dashboard!$C$10,bonds!C275,feriados)-1</f>
        <v>3802</v>
      </c>
      <c r="E275" s="2">
        <f>IF(tbl_Bonds[[#This Row],[Coupon]]&lt;tbl_Bonds[[#This Row],[Maturity]],SQRT(1.06)-1,SQRT(1.06))</f>
        <v>2.9563014098699991E-2</v>
      </c>
      <c r="F275" s="5" cm="1">
        <f t="array" ref="F275">Svensson(betas_pre,tbl_Bonds[[#This Row],[DU]])</f>
        <v>0.12035445137264894</v>
      </c>
      <c r="G275" s="49">
        <f>IF(curve_type="Simulada",_xlfn.XLOOKUP(tbl_Bonds[[#This Row],[Coupon]],Simulador!$B$5:$B$147,Simulador!$H$5:$H$147),0)</f>
        <v>0</v>
      </c>
      <c r="H275" s="5" cm="1">
        <f t="array" ref="H27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0.12035445137264894</v>
      </c>
      <c r="I275" s="5" cm="1">
        <f t="array" ref="I275">Interpola_FF(tbl_Bonds[[#This Row],[DU]],dus_svensson,svensson_implicita)</f>
        <v>5.8218636843994753E-2</v>
      </c>
      <c r="J275" s="49">
        <f>IF(curve_type="Simulada",_xlfn.XLOOKUP(tbl_Bonds[[#This Row],[Coupon]],Simulador!$B$5:$B$147,Simulador!$N$5:$N$147),0)</f>
        <v>0</v>
      </c>
      <c r="K275" s="5" cm="1">
        <f t="array" ref="K27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5.8218636843994753E-2</v>
      </c>
      <c r="L275" s="5" cm="1">
        <f t="array" ref="L275">Interpola_FF(tbl_Bonds[[#This Row],[DU]],dus_svensson,svensson_real_spot)</f>
        <v>5.8717368819042326E-2</v>
      </c>
      <c r="M275" s="49">
        <f>IF(curve_type="Simulada",_xlfn.XLOOKUP(tbl_Bonds[[#This Row],[Coupon]],Simulador!$B$5:$B$147,Simulador!$K$5:$K$147),0)</f>
        <v>0</v>
      </c>
      <c r="N275" s="5" cm="1">
        <f t="array" ref="N27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5.8717368819042326E-2</v>
      </c>
      <c r="O275" s="6">
        <f>IF(curve_type="Mercado",tbl_Bonds[[#This Row],[FC]]/(1+tbl_Bonds[[#This Row],[Real Mercado]])^(tbl_Bonds[[#This Row],[DU]]/252),tbl_Bonds[[#This Row],[FC]]/(1+tbl_Bonds[[#This Row],[Real Simulada]])^(tbl_Bonds[[#This Row],[DU]]/252))</f>
        <v>1.2499274456523261E-2</v>
      </c>
      <c r="P275" s="7">
        <f>tbl_Bonds[[#This Row],[Cotação]]*VNA</f>
        <v>49.438434006568606</v>
      </c>
      <c r="Q275" s="18">
        <f>tbl_Bonds[[#This Row],[Cotação]]%%*VNA</f>
        <v>4.9438434006568608E-3</v>
      </c>
      <c r="R27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-7.0452472569994887E-2</v>
      </c>
      <c r="S27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-6.6576480108071823E-2</v>
      </c>
      <c r="T27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7.0485675879092491E-2</v>
      </c>
      <c r="U275" s="18">
        <f>IF(curve_type="Mercado",tbl_Bonds[[#This Row],[VP Cupom]]*LN(1+tbl_Bonds[[#This Row],[Real Mercado]])/252,tbl_Bonds[[#This Row],[VP Cupom]]*LN(1+tbl_Bonds[[#This Row],[Real Simulada]])/252)</f>
        <v>1.1193910266288904E-2</v>
      </c>
      <c r="V275" s="18">
        <f>SUMIF(Dashboard!$B$28:$B$42,tbl_Bonds[[#This Row],[Bond]],Dashboard!$C$28:$C$42)</f>
        <v>6381</v>
      </c>
      <c r="W275" s="18">
        <f>tbl_Bonds[[#This Row],[Quantidade]]*tbl_Bonds[[#This Row],[𝛿P/𝛿VNA]]</f>
        <v>31.546664739591428</v>
      </c>
      <c r="X275" s="18">
        <f>+tbl_Bonds[[#This Row],[Quantidade]]*tbl_Bonds[[#This Row],[𝛿P/𝛿r_real]]</f>
        <v>-449.55722746913739</v>
      </c>
      <c r="Y275" s="18">
        <f>tbl_Bonds[[#This Row],[Quantidade]]*tbl_Bonds[[#This Row],[𝛿P/𝛿r_pre]]</f>
        <v>-424.82451956960631</v>
      </c>
      <c r="Z275" s="18">
        <f>tbl_Bonds[[#This Row],[Quantidade]]*tbl_Bonds[[#This Row],[𝛿P/𝛿r_implicita]]</f>
        <v>449.76909778448919</v>
      </c>
      <c r="AA275" s="18">
        <f>tbl_Bonds[[#This Row],[Quantidade]]*tbl_Bonds[[#This Row],[𝛿P/𝛿du]]</f>
        <v>71.4283414091895</v>
      </c>
    </row>
    <row r="276" spans="1:27">
      <c r="A276" s="2" t="s">
        <v>88</v>
      </c>
      <c r="B276" s="3">
        <v>56751</v>
      </c>
      <c r="C276" s="3">
        <v>50542</v>
      </c>
      <c r="D276" s="4">
        <f>NETWORKDAYS(Dashboard!$C$10,bonds!C276,feriados)-1</f>
        <v>3926</v>
      </c>
      <c r="E276" s="2">
        <f>IF(tbl_Bonds[[#This Row],[Coupon]]&lt;tbl_Bonds[[#This Row],[Maturity]],SQRT(1.06)-1,SQRT(1.06))</f>
        <v>2.9563014098699991E-2</v>
      </c>
      <c r="F276" s="5" cm="1">
        <f t="array" ref="F276">Svensson(betas_pre,tbl_Bonds[[#This Row],[DU]])</f>
        <v>0.12041814511225046</v>
      </c>
      <c r="G276" s="49">
        <f>IF(curve_type="Simulada",_xlfn.XLOOKUP(tbl_Bonds[[#This Row],[Coupon]],Simulador!$B$5:$B$147,Simulador!$H$5:$H$147),0)</f>
        <v>0</v>
      </c>
      <c r="H276" s="5" cm="1">
        <f t="array" ref="H27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0.12041814511225046</v>
      </c>
      <c r="I276" s="5" cm="1">
        <f t="array" ref="I276">Interpola_FF(tbl_Bonds[[#This Row],[DU]],dus_svensson,svensson_implicita)</f>
        <v>5.8249146813281527E-2</v>
      </c>
      <c r="J276" s="49">
        <f>IF(curve_type="Simulada",_xlfn.XLOOKUP(tbl_Bonds[[#This Row],[Coupon]],Simulador!$B$5:$B$147,Simulador!$N$5:$N$147),0)</f>
        <v>0</v>
      </c>
      <c r="K276" s="5" cm="1">
        <f t="array" ref="K27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5.8249146813281527E-2</v>
      </c>
      <c r="L276" s="5" cm="1">
        <f t="array" ref="L276">Interpola_FF(tbl_Bonds[[#This Row],[DU]],dus_svensson,svensson_real_spot)</f>
        <v>5.8747033276694616E-2</v>
      </c>
      <c r="M276" s="49">
        <f>IF(curve_type="Simulada",_xlfn.XLOOKUP(tbl_Bonds[[#This Row],[Coupon]],Simulador!$B$5:$B$147,Simulador!$K$5:$K$147),0)</f>
        <v>0</v>
      </c>
      <c r="N276" s="5" cm="1">
        <f t="array" ref="N27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5.8747033276694616E-2</v>
      </c>
      <c r="O276" s="6">
        <f>IF(curve_type="Mercado",tbl_Bonds[[#This Row],[FC]]/(1+tbl_Bonds[[#This Row],[Real Mercado]])^(tbl_Bonds[[#This Row],[DU]]/252),tbl_Bonds[[#This Row],[FC]]/(1+tbl_Bonds[[#This Row],[Real Simulada]])^(tbl_Bonds[[#This Row],[DU]]/252))</f>
        <v>1.2147918675459481E-2</v>
      </c>
      <c r="P276" s="7">
        <f>tbl_Bonds[[#This Row],[Cotação]]*VNA</f>
        <v>48.048714974846526</v>
      </c>
      <c r="Q276" s="18">
        <f>tbl_Bonds[[#This Row],[Cotação]]%%*VNA</f>
        <v>4.8048714974846521E-3</v>
      </c>
      <c r="R27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-7.0703241535493205E-2</v>
      </c>
      <c r="S27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-6.6811526634556723E-2</v>
      </c>
      <c r="T27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7.0736505641818936E-2</v>
      </c>
      <c r="U276" s="18">
        <f>IF(curve_type="Mercado",tbl_Bonds[[#This Row],[VP Cupom]]*LN(1+tbl_Bonds[[#This Row],[Real Mercado]])/252,tbl_Bonds[[#This Row],[VP Cupom]]*LN(1+tbl_Bonds[[#This Row],[Real Simulada]])/252)</f>
        <v>1.0884590735472386E-2</v>
      </c>
      <c r="V276" s="18">
        <f>SUMIF(Dashboard!$B$28:$B$42,tbl_Bonds[[#This Row],[Bond]],Dashboard!$C$28:$C$42)</f>
        <v>6381</v>
      </c>
      <c r="W276" s="18">
        <f>tbl_Bonds[[#This Row],[Quantidade]]*tbl_Bonds[[#This Row],[𝛿P/𝛿VNA]]</f>
        <v>30.659885025449565</v>
      </c>
      <c r="X276" s="18">
        <f>+tbl_Bonds[[#This Row],[Quantidade]]*tbl_Bonds[[#This Row],[𝛿P/𝛿r_real]]</f>
        <v>-451.15738423798217</v>
      </c>
      <c r="Y276" s="18">
        <f>tbl_Bonds[[#This Row],[Quantidade]]*tbl_Bonds[[#This Row],[𝛿P/𝛿r_pre]]</f>
        <v>-426.32435145510647</v>
      </c>
      <c r="Z276" s="18">
        <f>tbl_Bonds[[#This Row],[Quantidade]]*tbl_Bonds[[#This Row],[𝛿P/𝛿r_implicita]]</f>
        <v>451.36964250044662</v>
      </c>
      <c r="AA276" s="18">
        <f>tbl_Bonds[[#This Row],[Quantidade]]*tbl_Bonds[[#This Row],[𝛿P/𝛿du]]</f>
        <v>69.454573483049288</v>
      </c>
    </row>
    <row r="277" spans="1:27">
      <c r="A277" s="2" t="s">
        <v>88</v>
      </c>
      <c r="B277" s="3">
        <v>56751</v>
      </c>
      <c r="C277" s="3">
        <v>50725</v>
      </c>
      <c r="D277" s="4">
        <f>NETWORKDAYS(Dashboard!$C$10,bonds!C277,feriados)-1</f>
        <v>4052</v>
      </c>
      <c r="E277" s="2">
        <f>IF(tbl_Bonds[[#This Row],[Coupon]]&lt;tbl_Bonds[[#This Row],[Maturity]],SQRT(1.06)-1,SQRT(1.06))</f>
        <v>2.9563014098699991E-2</v>
      </c>
      <c r="F277" s="5" cm="1">
        <f t="array" ref="F277">Svensson(betas_pre,tbl_Bonds[[#This Row],[DU]])</f>
        <v>0.12047886973194637</v>
      </c>
      <c r="G277" s="49">
        <f>IF(curve_type="Simulada",_xlfn.XLOOKUP(tbl_Bonds[[#This Row],[Coupon]],Simulador!$B$5:$B$147,Simulador!$H$5:$H$147),0)</f>
        <v>0</v>
      </c>
      <c r="H277" s="5" cm="1">
        <f t="array" ref="H27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0.12047886973194637</v>
      </c>
      <c r="I277" s="5" cm="1">
        <f t="array" ref="I277">Interpola_FF(tbl_Bonds[[#This Row],[DU]],dus_svensson,svensson_implicita)</f>
        <v>5.8281950568933816E-2</v>
      </c>
      <c r="J277" s="49">
        <f>IF(curve_type="Simulada",_xlfn.XLOOKUP(tbl_Bonds[[#This Row],[Coupon]],Simulador!$B$5:$B$147,Simulador!$N$5:$N$147),0)</f>
        <v>0</v>
      </c>
      <c r="K277" s="5" cm="1">
        <f t="array" ref="K27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5.8281950568933816E-2</v>
      </c>
      <c r="L277" s="5" cm="1">
        <f t="array" ref="L277">Interpola_FF(tbl_Bonds[[#This Row],[DU]],dus_svensson,svensson_real_spot)</f>
        <v>5.8771595525586973E-2</v>
      </c>
      <c r="M277" s="49">
        <f>IF(curve_type="Simulada",_xlfn.XLOOKUP(tbl_Bonds[[#This Row],[Coupon]],Simulador!$B$5:$B$147,Simulador!$K$5:$K$147),0)</f>
        <v>0</v>
      </c>
      <c r="N277" s="5" cm="1">
        <f t="array" ref="N27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5.8771595525586973E-2</v>
      </c>
      <c r="O277" s="6">
        <f>IF(curve_type="Mercado",tbl_Bonds[[#This Row],[FC]]/(1+tbl_Bonds[[#This Row],[Real Mercado]])^(tbl_Bonds[[#This Row],[DU]]/252),tbl_Bonds[[#This Row],[FC]]/(1+tbl_Bonds[[#This Row],[Real Simulada]])^(tbl_Bonds[[#This Row],[DU]]/252))</f>
        <v>1.180167822315422E-2</v>
      </c>
      <c r="P277" s="7">
        <f>tbl_Bonds[[#This Row],[Cotação]]*VNA</f>
        <v>46.679228624959663</v>
      </c>
      <c r="Q277" s="18">
        <f>tbl_Bonds[[#This Row],[Cotação]]%%*VNA</f>
        <v>4.6679228624959667E-3</v>
      </c>
      <c r="R27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-7.0890866533993291E-2</v>
      </c>
      <c r="S27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-6.6986747766532545E-2</v>
      </c>
      <c r="T27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7.0923665837929584E-2</v>
      </c>
      <c r="U277" s="18">
        <f>IF(curve_type="Mercado",tbl_Bonds[[#This Row],[VP Cupom]]*LN(1+tbl_Bonds[[#This Row],[Real Mercado]])/252,tbl_Bonds[[#This Row],[VP Cupom]]*LN(1+tbl_Bonds[[#This Row],[Real Simulada]])/252)</f>
        <v>1.0578654989006704E-2</v>
      </c>
      <c r="V277" s="18">
        <f>SUMIF(Dashboard!$B$28:$B$42,tbl_Bonds[[#This Row],[Bond]],Dashboard!$C$28:$C$42)</f>
        <v>6381</v>
      </c>
      <c r="W277" s="18">
        <f>tbl_Bonds[[#This Row],[Quantidade]]*tbl_Bonds[[#This Row],[𝛿P/𝛿VNA]]</f>
        <v>29.786015785586763</v>
      </c>
      <c r="X277" s="18">
        <f>+tbl_Bonds[[#This Row],[Quantidade]]*tbl_Bonds[[#This Row],[𝛿P/𝛿r_real]]</f>
        <v>-452.35461935341118</v>
      </c>
      <c r="Y277" s="18">
        <f>tbl_Bonds[[#This Row],[Quantidade]]*tbl_Bonds[[#This Row],[𝛿P/𝛿r_pre]]</f>
        <v>-427.44243749824415</v>
      </c>
      <c r="Z277" s="18">
        <f>tbl_Bonds[[#This Row],[Quantidade]]*tbl_Bonds[[#This Row],[𝛿P/𝛿r_implicita]]</f>
        <v>452.56391171182867</v>
      </c>
      <c r="AA277" s="18">
        <f>tbl_Bonds[[#This Row],[Quantidade]]*tbl_Bonds[[#This Row],[𝛿P/𝛿du]]</f>
        <v>67.502397484851784</v>
      </c>
    </row>
    <row r="278" spans="1:27">
      <c r="A278" s="2" t="s">
        <v>88</v>
      </c>
      <c r="B278" s="3">
        <v>56751</v>
      </c>
      <c r="C278" s="3">
        <v>50906</v>
      </c>
      <c r="D278" s="4">
        <f>NETWORKDAYS(Dashboard!$C$10,bonds!C278,feriados)-1</f>
        <v>4177</v>
      </c>
      <c r="E278" s="2">
        <f>IF(tbl_Bonds[[#This Row],[Coupon]]&lt;tbl_Bonds[[#This Row],[Maturity]],SQRT(1.06)-1,SQRT(1.06))</f>
        <v>2.9563014098699991E-2</v>
      </c>
      <c r="F278" s="5" cm="1">
        <f t="array" ref="F278">Svensson(betas_pre,tbl_Bonds[[#This Row],[DU]])</f>
        <v>0.12053548931732623</v>
      </c>
      <c r="G278" s="49">
        <f>IF(curve_type="Simulada",_xlfn.XLOOKUP(tbl_Bonds[[#This Row],[Coupon]],Simulador!$B$5:$B$147,Simulador!$H$5:$H$147),0)</f>
        <v>0</v>
      </c>
      <c r="H278" s="5" cm="1">
        <f t="array" ref="H27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0.12053548931732623</v>
      </c>
      <c r="I278" s="5" cm="1">
        <f t="array" ref="I278">Interpola_FF(tbl_Bonds[[#This Row],[DU]],dus_svensson,svensson_implicita)</f>
        <v>5.8315858446627677E-2</v>
      </c>
      <c r="J278" s="49">
        <f>IF(curve_type="Simulada",_xlfn.XLOOKUP(tbl_Bonds[[#This Row],[Coupon]],Simulador!$B$5:$B$147,Simulador!$N$5:$N$147),0)</f>
        <v>0</v>
      </c>
      <c r="K278" s="5" cm="1">
        <f t="array" ref="K27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5.8315858446627677E-2</v>
      </c>
      <c r="L278" s="5" cm="1">
        <f t="array" ref="L278">Interpola_FF(tbl_Bonds[[#This Row],[DU]],dus_svensson,svensson_real_spot)</f>
        <v>5.8791172804259162E-2</v>
      </c>
      <c r="M278" s="49">
        <f>IF(curve_type="Simulada",_xlfn.XLOOKUP(tbl_Bonds[[#This Row],[Coupon]],Simulador!$B$5:$B$147,Simulador!$K$5:$K$147),0)</f>
        <v>0</v>
      </c>
      <c r="N278" s="5" cm="1">
        <f t="array" ref="N27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5.8791172804259162E-2</v>
      </c>
      <c r="O278" s="6">
        <f>IF(curve_type="Mercado",tbl_Bonds[[#This Row],[FC]]/(1+tbl_Bonds[[#This Row],[Real Mercado]])^(tbl_Bonds[[#This Row],[DU]]/252),tbl_Bonds[[#This Row],[FC]]/(1+tbl_Bonds[[#This Row],[Real Simulada]])^(tbl_Bonds[[#This Row],[DU]]/252))</f>
        <v>1.1468535024453186E-2</v>
      </c>
      <c r="P278" s="7">
        <f>tbl_Bonds[[#This Row],[Cotação]]*VNA</f>
        <v>45.361545898573681</v>
      </c>
      <c r="Q278" s="18">
        <f>tbl_Bonds[[#This Row],[Cotação]]%%*VNA</f>
        <v>4.5361545898573684E-3</v>
      </c>
      <c r="R27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-7.1013590138922819E-2</v>
      </c>
      <c r="S27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-6.7100562820098963E-2</v>
      </c>
      <c r="T27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7.1045483626644035E-2</v>
      </c>
      <c r="U278" s="18">
        <f>IF(curve_type="Mercado",tbl_Bonds[[#This Row],[VP Cupom]]*LN(1+tbl_Bonds[[#This Row],[Real Mercado]])/252,tbl_Bonds[[#This Row],[VP Cupom]]*LN(1+tbl_Bonds[[#This Row],[Real Simulada]])/252)</f>
        <v>1.0283364235725654E-2</v>
      </c>
      <c r="V278" s="18">
        <f>SUMIF(Dashboard!$B$28:$B$42,tbl_Bonds[[#This Row],[Bond]],Dashboard!$C$28:$C$42)</f>
        <v>6381</v>
      </c>
      <c r="W278" s="18">
        <f>tbl_Bonds[[#This Row],[Quantidade]]*tbl_Bonds[[#This Row],[𝛿P/𝛿VNA]]</f>
        <v>28.945202437879868</v>
      </c>
      <c r="X278" s="18">
        <f>+tbl_Bonds[[#This Row],[Quantidade]]*tbl_Bonds[[#This Row],[𝛿P/𝛿r_real]]</f>
        <v>-453.13771867646653</v>
      </c>
      <c r="Y278" s="18">
        <f>tbl_Bonds[[#This Row],[Quantidade]]*tbl_Bonds[[#This Row],[𝛿P/𝛿r_pre]]</f>
        <v>-428.16869135505146</v>
      </c>
      <c r="Z278" s="18">
        <f>tbl_Bonds[[#This Row],[Quantidade]]*tbl_Bonds[[#This Row],[𝛿P/𝛿r_implicita]]</f>
        <v>453.34123102161561</v>
      </c>
      <c r="AA278" s="18">
        <f>tbl_Bonds[[#This Row],[Quantidade]]*tbl_Bonds[[#This Row],[𝛿P/𝛿du]]</f>
        <v>65.618147188165395</v>
      </c>
    </row>
    <row r="279" spans="1:27">
      <c r="A279" s="2" t="s">
        <v>88</v>
      </c>
      <c r="B279" s="3">
        <v>56751</v>
      </c>
      <c r="C279" s="3">
        <v>51090</v>
      </c>
      <c r="D279" s="4">
        <f>NETWORKDAYS(Dashboard!$C$10,bonds!C279,feriados)-1</f>
        <v>4304</v>
      </c>
      <c r="E279" s="2">
        <f>IF(tbl_Bonds[[#This Row],[Coupon]]&lt;tbl_Bonds[[#This Row],[Maturity]],SQRT(1.06)-1,SQRT(1.06))</f>
        <v>2.9563014098699991E-2</v>
      </c>
      <c r="F279" s="5" cm="1">
        <f t="array" ref="F279">Svensson(betas_pre,tbl_Bonds[[#This Row],[DU]])</f>
        <v>0.1205896438384781</v>
      </c>
      <c r="G279" s="49">
        <f>IF(curve_type="Simulada",_xlfn.XLOOKUP(tbl_Bonds[[#This Row],[Coupon]],Simulador!$B$5:$B$147,Simulador!$H$5:$H$147),0)</f>
        <v>0</v>
      </c>
      <c r="H279" s="5" cm="1">
        <f t="array" ref="H27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0.1205896438384781</v>
      </c>
      <c r="I279" s="5" cm="1">
        <f t="array" ref="I279">Interpola_FF(tbl_Bonds[[#This Row],[DU]],dus_svensson,svensson_implicita)</f>
        <v>5.8351355071909472E-2</v>
      </c>
      <c r="J279" s="49">
        <f>IF(curve_type="Simulada",_xlfn.XLOOKUP(tbl_Bonds[[#This Row],[Coupon]],Simulador!$B$5:$B$147,Simulador!$N$5:$N$147),0)</f>
        <v>0</v>
      </c>
      <c r="K279" s="5" cm="1">
        <f t="array" ref="K27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5.8351355071909472E-2</v>
      </c>
      <c r="L279" s="5" cm="1">
        <f t="array" ref="L279">Interpola_FF(tbl_Bonds[[#This Row],[DU]],dus_svensson,svensson_real_spot)</f>
        <v>5.8806830204646721E-2</v>
      </c>
      <c r="M279" s="49">
        <f>IF(curve_type="Simulada",_xlfn.XLOOKUP(tbl_Bonds[[#This Row],[Coupon]],Simulador!$B$5:$B$147,Simulador!$K$5:$K$147),0)</f>
        <v>0</v>
      </c>
      <c r="N279" s="5" cm="1">
        <f t="array" ref="N27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5.8806830204646721E-2</v>
      </c>
      <c r="O279" s="6">
        <f>IF(curve_type="Mercado",tbl_Bonds[[#This Row],[FC]]/(1+tbl_Bonds[[#This Row],[Real Mercado]])^(tbl_Bonds[[#This Row],[DU]]/252),tbl_Bonds[[#This Row],[FC]]/(1+tbl_Bonds[[#This Row],[Real Simulada]])^(tbl_Bonds[[#This Row],[DU]]/252))</f>
        <v>1.1140242558080337E-2</v>
      </c>
      <c r="P279" s="7">
        <f>tbl_Bonds[[#This Row],[Cotação]]*VNA</f>
        <v>44.063049294624214</v>
      </c>
      <c r="Q279" s="18">
        <f>tbl_Bonds[[#This Row],[Cotação]]%%*VNA</f>
        <v>4.4063049294624217E-3</v>
      </c>
      <c r="R27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-7.1077073168057475E-2</v>
      </c>
      <c r="S27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-6.7158295254899331E-2</v>
      </c>
      <c r="T27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7.1107661741854802E-2</v>
      </c>
      <c r="U279" s="18">
        <f>IF(curve_type="Mercado",tbl_Bonds[[#This Row],[VP Cupom]]*LN(1+tbl_Bonds[[#This Row],[Real Mercado]])/252,tbl_Bonds[[#This Row],[VP Cupom]]*LN(1+tbl_Bonds[[#This Row],[Real Simulada]])/252)</f>
        <v>9.9915835791373961E-3</v>
      </c>
      <c r="V279" s="18">
        <f>SUMIF(Dashboard!$B$28:$B$42,tbl_Bonds[[#This Row],[Bond]],Dashboard!$C$28:$C$42)</f>
        <v>6381</v>
      </c>
      <c r="W279" s="18">
        <f>tbl_Bonds[[#This Row],[Quantidade]]*tbl_Bonds[[#This Row],[𝛿P/𝛿VNA]]</f>
        <v>28.116631754899714</v>
      </c>
      <c r="X279" s="18">
        <f>+tbl_Bonds[[#This Row],[Quantidade]]*tbl_Bonds[[#This Row],[𝛿P/𝛿r_real]]</f>
        <v>-453.54280388537472</v>
      </c>
      <c r="Y279" s="18">
        <f>tbl_Bonds[[#This Row],[Quantidade]]*tbl_Bonds[[#This Row],[𝛿P/𝛿r_pre]]</f>
        <v>-428.53708202151262</v>
      </c>
      <c r="Z279" s="18">
        <f>tbl_Bonds[[#This Row],[Quantidade]]*tbl_Bonds[[#This Row],[𝛿P/𝛿r_implicita]]</f>
        <v>453.7379895747755</v>
      </c>
      <c r="AA279" s="18">
        <f>tbl_Bonds[[#This Row],[Quantidade]]*tbl_Bonds[[#This Row],[𝛿P/𝛿du]]</f>
        <v>63.756294818475723</v>
      </c>
    </row>
    <row r="280" spans="1:27">
      <c r="A280" s="2" t="s">
        <v>88</v>
      </c>
      <c r="B280" s="3">
        <v>56751</v>
      </c>
      <c r="C280" s="3">
        <v>51271</v>
      </c>
      <c r="D280" s="4">
        <f>NETWORKDAYS(Dashboard!$C$10,bonds!C280,feriados)-1</f>
        <v>4429</v>
      </c>
      <c r="E280" s="2">
        <f>IF(tbl_Bonds[[#This Row],[Coupon]]&lt;tbl_Bonds[[#This Row],[Maturity]],SQRT(1.06)-1,SQRT(1.06))</f>
        <v>2.9563014098699991E-2</v>
      </c>
      <c r="F280" s="5" cm="1">
        <f t="array" ref="F280">Svensson(betas_pre,tbl_Bonds[[#This Row],[DU]])</f>
        <v>0.12063991024420911</v>
      </c>
      <c r="G280" s="49">
        <f>IF(curve_type="Simulada",_xlfn.XLOOKUP(tbl_Bonds[[#This Row],[Coupon]],Simulador!$B$5:$B$147,Simulador!$H$5:$H$147),0)</f>
        <v>0</v>
      </c>
      <c r="H280" s="5" cm="1">
        <f t="array" ref="H28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0.12063991024420911</v>
      </c>
      <c r="I280" s="5" cm="1">
        <f t="array" ref="I280">Interpola_FF(tbl_Bonds[[#This Row],[DU]],dus_svensson,svensson_implicita)</f>
        <v>5.8386966646712279E-2</v>
      </c>
      <c r="J280" s="49">
        <f>IF(curve_type="Simulada",_xlfn.XLOOKUP(tbl_Bonds[[#This Row],[Coupon]],Simulador!$B$5:$B$147,Simulador!$N$5:$N$147),0)</f>
        <v>0</v>
      </c>
      <c r="K280" s="5" cm="1">
        <f t="array" ref="K28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5.8386966646712279E-2</v>
      </c>
      <c r="L280" s="5" cm="1">
        <f t="array" ref="L280">Interpola_FF(tbl_Bonds[[#This Row],[DU]],dus_svensson,svensson_real_spot)</f>
        <v>5.8818697956210642E-2</v>
      </c>
      <c r="M280" s="49">
        <f>IF(curve_type="Simulada",_xlfn.XLOOKUP(tbl_Bonds[[#This Row],[Coupon]],Simulador!$B$5:$B$147,Simulador!$K$5:$K$147),0)</f>
        <v>0</v>
      </c>
      <c r="N280" s="5" cm="1">
        <f t="array" ref="N28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5.8818697956210642E-2</v>
      </c>
      <c r="O280" s="6">
        <f>IF(curve_type="Mercado",tbl_Bonds[[#This Row],[FC]]/(1+tbl_Bonds[[#This Row],[Real Mercado]])^(tbl_Bonds[[#This Row],[DU]]/252),tbl_Bonds[[#This Row],[FC]]/(1+tbl_Bonds[[#This Row],[Real Simulada]])^(tbl_Bonds[[#This Row],[DU]]/252))</f>
        <v>1.0826777337469175E-2</v>
      </c>
      <c r="P280" s="7">
        <f>tbl_Bonds[[#This Row],[Cotação]]*VNA</f>
        <v>42.823198959595246</v>
      </c>
      <c r="Q280" s="18">
        <f>tbl_Bonds[[#This Row],[Cotação]]%%*VNA</f>
        <v>4.282319895959525E-3</v>
      </c>
      <c r="R28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-7.1082491884643079E-2</v>
      </c>
      <c r="S28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-6.7161155407505876E-2</v>
      </c>
      <c r="T28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7.1111487139927695E-2</v>
      </c>
      <c r="U280" s="18">
        <f>IF(curve_type="Mercado",tbl_Bonds[[#This Row],[VP Cupom]]*LN(1+tbl_Bonds[[#This Row],[Real Mercado]])/252,tbl_Bonds[[#This Row],[VP Cupom]]*LN(1+tbl_Bonds[[#This Row],[Real Simulada]])/252)</f>
        <v>9.7123441413067731E-3</v>
      </c>
      <c r="V280" s="18">
        <f>SUMIF(Dashboard!$B$28:$B$42,tbl_Bonds[[#This Row],[Bond]],Dashboard!$C$28:$C$42)</f>
        <v>6381</v>
      </c>
      <c r="W280" s="18">
        <f>tbl_Bonds[[#This Row],[Quantidade]]*tbl_Bonds[[#This Row],[𝛿P/𝛿VNA]]</f>
        <v>27.325483256117728</v>
      </c>
      <c r="X280" s="18">
        <f>+tbl_Bonds[[#This Row],[Quantidade]]*tbl_Bonds[[#This Row],[𝛿P/𝛿r_real]]</f>
        <v>-453.57738071590751</v>
      </c>
      <c r="Y280" s="18">
        <f>tbl_Bonds[[#This Row],[Quantidade]]*tbl_Bonds[[#This Row],[𝛿P/𝛿r_pre]]</f>
        <v>-428.55533265529499</v>
      </c>
      <c r="Z280" s="18">
        <f>tbl_Bonds[[#This Row],[Quantidade]]*tbl_Bonds[[#This Row],[𝛿P/𝛿r_implicita]]</f>
        <v>453.76239943987861</v>
      </c>
      <c r="AA280" s="18">
        <f>tbl_Bonds[[#This Row],[Quantidade]]*tbl_Bonds[[#This Row],[𝛿P/𝛿du]]</f>
        <v>61.974467965678521</v>
      </c>
    </row>
    <row r="281" spans="1:27">
      <c r="A281" s="2" t="s">
        <v>88</v>
      </c>
      <c r="B281" s="3">
        <v>56751</v>
      </c>
      <c r="C281" s="3">
        <v>51456</v>
      </c>
      <c r="D281" s="4">
        <f>NETWORKDAYS(Dashboard!$C$10,bonds!C281,feriados)-1</f>
        <v>4557</v>
      </c>
      <c r="E281" s="2">
        <f>IF(tbl_Bonds[[#This Row],[Coupon]]&lt;tbl_Bonds[[#This Row],[Maturity]],SQRT(1.06)-1,SQRT(1.06))</f>
        <v>2.9563014098699991E-2</v>
      </c>
      <c r="F281" s="5" cm="1">
        <f t="array" ref="F281">Svensson(betas_pre,tbl_Bonds[[#This Row],[DU]])</f>
        <v>0.1206885229680944</v>
      </c>
      <c r="G281" s="49">
        <f>IF(curve_type="Simulada",_xlfn.XLOOKUP(tbl_Bonds[[#This Row],[Coupon]],Simulador!$B$5:$B$147,Simulador!$H$5:$H$147),0)</f>
        <v>0</v>
      </c>
      <c r="H281" s="5" cm="1">
        <f t="array" ref="H28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0.1206885229680944</v>
      </c>
      <c r="I281" s="5" cm="1">
        <f t="array" ref="I281">Interpola_FF(tbl_Bonds[[#This Row],[DU]],dus_svensson,svensson_implicita)</f>
        <v>5.8423866606378105E-2</v>
      </c>
      <c r="J281" s="49">
        <f>IF(curve_type="Simulada",_xlfn.XLOOKUP(tbl_Bonds[[#This Row],[Coupon]],Simulador!$B$5:$B$147,Simulador!$N$5:$N$147),0)</f>
        <v>0</v>
      </c>
      <c r="K281" s="5" cm="1">
        <f t="array" ref="K28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5.8423866606378105E-2</v>
      </c>
      <c r="L281" s="5" cm="1">
        <f t="array" ref="L281">Interpola_FF(tbl_Bonds[[#This Row],[DU]],dus_svensson,svensson_real_spot)</f>
        <v>5.8827713592402908E-2</v>
      </c>
      <c r="M281" s="49">
        <f>IF(curve_type="Simulada",_xlfn.XLOOKUP(tbl_Bonds[[#This Row],[Coupon]],Simulador!$B$5:$B$147,Simulador!$K$5:$K$147),0)</f>
        <v>0</v>
      </c>
      <c r="N281" s="5" cm="1">
        <f t="array" ref="N28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5.8827713592402908E-2</v>
      </c>
      <c r="O281" s="6">
        <f>IF(curve_type="Mercado",tbl_Bonds[[#This Row],[FC]]/(1+tbl_Bonds[[#This Row],[Real Mercado]])^(tbl_Bonds[[#This Row],[DU]]/252),tbl_Bonds[[#This Row],[FC]]/(1+tbl_Bonds[[#This Row],[Real Simulada]])^(tbl_Bonds[[#This Row],[DU]]/252))</f>
        <v>1.0515369468518923E-2</v>
      </c>
      <c r="P281" s="7">
        <f>tbl_Bonds[[#This Row],[Cotação]]*VNA</f>
        <v>41.591486076437583</v>
      </c>
      <c r="Q281" s="18">
        <f>tbl_Bonds[[#This Row],[Cotação]]%%*VNA</f>
        <v>4.1591486076437588E-3</v>
      </c>
      <c r="R28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-7.1032586028291253E-2</v>
      </c>
      <c r="S28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-6.7111662854154819E-2</v>
      </c>
      <c r="T28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7.1059688552852829E-2</v>
      </c>
      <c r="U281" s="18">
        <f>IF(curve_type="Mercado",tbl_Bonds[[#This Row],[VP Cupom]]*LN(1+tbl_Bonds[[#This Row],[Real Mercado]])/252,tbl_Bonds[[#This Row],[VP Cupom]]*LN(1+tbl_Bonds[[#This Row],[Real Simulada]])/252)</f>
        <v>9.4343957587865977E-3</v>
      </c>
      <c r="V281" s="18">
        <f>SUMIF(Dashboard!$B$28:$B$42,tbl_Bonds[[#This Row],[Bond]],Dashboard!$C$28:$C$42)</f>
        <v>6381</v>
      </c>
      <c r="W281" s="18">
        <f>tbl_Bonds[[#This Row],[Quantidade]]*tbl_Bonds[[#This Row],[𝛿P/𝛿VNA]]</f>
        <v>26.539527265374826</v>
      </c>
      <c r="X281" s="18">
        <f>+tbl_Bonds[[#This Row],[Quantidade]]*tbl_Bonds[[#This Row],[𝛿P/𝛿r_real]]</f>
        <v>-453.2589314465265</v>
      </c>
      <c r="Y281" s="18">
        <f>tbl_Bonds[[#This Row],[Quantidade]]*tbl_Bonds[[#This Row],[𝛿P/𝛿r_pre]]</f>
        <v>-428.23952067236189</v>
      </c>
      <c r="Z281" s="18">
        <f>tbl_Bonds[[#This Row],[Quantidade]]*tbl_Bonds[[#This Row],[𝛿P/𝛿r_implicita]]</f>
        <v>453.43187265575392</v>
      </c>
      <c r="AA281" s="18">
        <f>tbl_Bonds[[#This Row],[Quantidade]]*tbl_Bonds[[#This Row],[𝛿P/𝛿du]]</f>
        <v>60.20087933681728</v>
      </c>
    </row>
    <row r="282" spans="1:27">
      <c r="A282" s="2" t="s">
        <v>88</v>
      </c>
      <c r="B282" s="3">
        <v>56751</v>
      </c>
      <c r="C282" s="3">
        <v>51636</v>
      </c>
      <c r="D282" s="4">
        <f>NETWORKDAYS(Dashboard!$C$10,bonds!C282,feriados)-1</f>
        <v>4679</v>
      </c>
      <c r="E282" s="2">
        <f>IF(tbl_Bonds[[#This Row],[Coupon]]&lt;tbl_Bonds[[#This Row],[Maturity]],SQRT(1.06)-1,SQRT(1.06))</f>
        <v>2.9563014098699991E-2</v>
      </c>
      <c r="F282" s="5" cm="1">
        <f t="array" ref="F282">Svensson(betas_pre,tbl_Bonds[[#This Row],[DU]])</f>
        <v>0.1207323793302393</v>
      </c>
      <c r="G282" s="49">
        <f>IF(curve_type="Simulada",_xlfn.XLOOKUP(tbl_Bonds[[#This Row],[Coupon]],Simulador!$B$5:$B$147,Simulador!$H$5:$H$147),0)</f>
        <v>0</v>
      </c>
      <c r="H282" s="5" cm="1">
        <f t="array" ref="H28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0.1207323793302393</v>
      </c>
      <c r="I282" s="5" cm="1">
        <f t="array" ref="I282">Interpola_FF(tbl_Bonds[[#This Row],[DU]],dus_svensson,svensson_implicita)</f>
        <v>5.8459157769596759E-2</v>
      </c>
      <c r="J282" s="49">
        <f>IF(curve_type="Simulada",_xlfn.XLOOKUP(tbl_Bonds[[#This Row],[Coupon]],Simulador!$B$5:$B$147,Simulador!$N$5:$N$147),0)</f>
        <v>0</v>
      </c>
      <c r="K282" s="5" cm="1">
        <f t="array" ref="K28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5.8459157769596759E-2</v>
      </c>
      <c r="L282" s="5" cm="1">
        <f t="array" ref="L282">Interpola_FF(tbl_Bonds[[#This Row],[DU]],dus_svensson,svensson_real_spot)</f>
        <v>5.8833844360887788E-2</v>
      </c>
      <c r="M282" s="49">
        <f>IF(curve_type="Simulada",_xlfn.XLOOKUP(tbl_Bonds[[#This Row],[Coupon]],Simulador!$B$5:$B$147,Simulador!$K$5:$K$147),0)</f>
        <v>0</v>
      </c>
      <c r="N282" s="5" cm="1">
        <f t="array" ref="N28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5.8833844360887788E-2</v>
      </c>
      <c r="O282" s="6">
        <f>IF(curve_type="Mercado",tbl_Bonds[[#This Row],[FC]]/(1+tbl_Bonds[[#This Row],[Real Mercado]])^(tbl_Bonds[[#This Row],[DU]]/252),tbl_Bonds[[#This Row],[FC]]/(1+tbl_Bonds[[#This Row],[Real Simulada]])^(tbl_Bonds[[#This Row],[DU]]/252))</f>
        <v>1.0227258872496332E-2</v>
      </c>
      <c r="P282" s="7">
        <f>tbl_Bonds[[#This Row],[Cotação]]*VNA</f>
        <v>40.451920997072328</v>
      </c>
      <c r="Q282" s="18">
        <f>tbl_Bonds[[#This Row],[Cotação]]%%*VNA</f>
        <v>4.0451920997072325E-3</v>
      </c>
      <c r="R28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-7.0935533641875409E-2</v>
      </c>
      <c r="S28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-6.7017733146341157E-2</v>
      </c>
      <c r="T28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7.0960644040993379E-2</v>
      </c>
      <c r="U282" s="18">
        <f>IF(curve_type="Mercado",tbl_Bonds[[#This Row],[VP Cupom]]*LN(1+tbl_Bonds[[#This Row],[Real Mercado]])/252,tbl_Bonds[[#This Row],[VP Cupom]]*LN(1+tbl_Bonds[[#This Row],[Real Simulada]])/252)</f>
        <v>9.1768322122037158E-3</v>
      </c>
      <c r="V282" s="18">
        <f>SUMIF(Dashboard!$B$28:$B$42,tbl_Bonds[[#This Row],[Bond]],Dashboard!$C$28:$C$42)</f>
        <v>6381</v>
      </c>
      <c r="W282" s="18">
        <f>tbl_Bonds[[#This Row],[Quantidade]]*tbl_Bonds[[#This Row],[𝛿P/𝛿VNA]]</f>
        <v>25.812370788231849</v>
      </c>
      <c r="X282" s="18">
        <f>+tbl_Bonds[[#This Row],[Quantidade]]*tbl_Bonds[[#This Row],[𝛿P/𝛿r_real]]</f>
        <v>-452.63964016880698</v>
      </c>
      <c r="Y282" s="18">
        <f>tbl_Bonds[[#This Row],[Quantidade]]*tbl_Bonds[[#This Row],[𝛿P/𝛿r_pre]]</f>
        <v>-427.64015520680294</v>
      </c>
      <c r="Z282" s="18">
        <f>tbl_Bonds[[#This Row],[Quantidade]]*tbl_Bonds[[#This Row],[𝛿P/𝛿r_implicita]]</f>
        <v>452.79986962557876</v>
      </c>
      <c r="AA282" s="18">
        <f>tbl_Bonds[[#This Row],[Quantidade]]*tbl_Bonds[[#This Row],[𝛿P/𝛿du]]</f>
        <v>58.557366346071909</v>
      </c>
    </row>
    <row r="283" spans="1:27">
      <c r="A283" s="2" t="s">
        <v>88</v>
      </c>
      <c r="B283" s="3">
        <v>56751</v>
      </c>
      <c r="C283" s="3">
        <v>51823</v>
      </c>
      <c r="D283" s="4">
        <f>NETWORKDAYS(Dashboard!$C$10,bonds!C283,feriados)-1</f>
        <v>4810</v>
      </c>
      <c r="E283" s="2">
        <f>IF(tbl_Bonds[[#This Row],[Coupon]]&lt;tbl_Bonds[[#This Row],[Maturity]],SQRT(1.06)-1,SQRT(1.06))</f>
        <v>2.9563014098699991E-2</v>
      </c>
      <c r="F283" s="5" cm="1">
        <f t="array" ref="F283">Svensson(betas_pre,tbl_Bonds[[#This Row],[DU]])</f>
        <v>0.12077699207511866</v>
      </c>
      <c r="G283" s="49">
        <f>IF(curve_type="Simulada",_xlfn.XLOOKUP(tbl_Bonds[[#This Row],[Coupon]],Simulador!$B$5:$B$147,Simulador!$H$5:$H$147),0)</f>
        <v>0</v>
      </c>
      <c r="H283" s="5" cm="1">
        <f t="array" ref="H28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0.12077699207511866</v>
      </c>
      <c r="I283" s="5" cm="1">
        <f t="array" ref="I283">Interpola_FF(tbl_Bonds[[#This Row],[DU]],dus_svensson,svensson_implicita)</f>
        <v>5.8497046040423495E-2</v>
      </c>
      <c r="J283" s="49">
        <f>IF(curve_type="Simulada",_xlfn.XLOOKUP(tbl_Bonds[[#This Row],[Coupon]],Simulador!$B$5:$B$147,Simulador!$N$5:$N$147),0)</f>
        <v>0</v>
      </c>
      <c r="K283" s="5" cm="1">
        <f t="array" ref="K28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5.8497046040423495E-2</v>
      </c>
      <c r="L283" s="5" cm="1">
        <f t="array" ref="L283">Interpola_FF(tbl_Bonds[[#This Row],[DU]],dus_svensson,svensson_real_spot)</f>
        <v>5.8838091267736203E-2</v>
      </c>
      <c r="M283" s="49">
        <f>IF(curve_type="Simulada",_xlfn.XLOOKUP(tbl_Bonds[[#This Row],[Coupon]],Simulador!$B$5:$B$147,Simulador!$K$5:$K$147),0)</f>
        <v>0</v>
      </c>
      <c r="N283" s="5" cm="1">
        <f t="array" ref="N28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5.8838091267736203E-2</v>
      </c>
      <c r="O283" s="6">
        <f>IF(curve_type="Mercado",tbl_Bonds[[#This Row],[FC]]/(1+tbl_Bonds[[#This Row],[Real Mercado]])^(tbl_Bonds[[#This Row],[DU]]/252),tbl_Bonds[[#This Row],[FC]]/(1+tbl_Bonds[[#This Row],[Real Simulada]])^(tbl_Bonds[[#This Row],[DU]]/252))</f>
        <v>9.9270332778620875E-3</v>
      </c>
      <c r="P283" s="7">
        <f>tbl_Bonds[[#This Row],[Cotação]]*VNA</f>
        <v>39.264437411602167</v>
      </c>
      <c r="Q283" s="18">
        <f>tbl_Bonds[[#This Row],[Cotação]]%%*VNA</f>
        <v>3.9264437411602165E-3</v>
      </c>
      <c r="R28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-7.0780619313918561E-2</v>
      </c>
      <c r="S28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-6.6868981149201992E-2</v>
      </c>
      <c r="T28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7.0803424379767527E-2</v>
      </c>
      <c r="U283" s="18">
        <f>IF(curve_type="Mercado",tbl_Bonds[[#This Row],[VP Cupom]]*LN(1+tbl_Bonds[[#This Row],[Real Mercado]])/252,tbl_Bonds[[#This Row],[VP Cupom]]*LN(1+tbl_Bonds[[#This Row],[Real Simulada]])/252)</f>
        <v>8.908067291740436E-3</v>
      </c>
      <c r="V283" s="18">
        <f>SUMIF(Dashboard!$B$28:$B$42,tbl_Bonds[[#This Row],[Bond]],Dashboard!$C$28:$C$42)</f>
        <v>6381</v>
      </c>
      <c r="W283" s="18">
        <f>tbl_Bonds[[#This Row],[Quantidade]]*tbl_Bonds[[#This Row],[𝛿P/𝛿VNA]]</f>
        <v>25.054637512343341</v>
      </c>
      <c r="X283" s="18">
        <f>+tbl_Bonds[[#This Row],[Quantidade]]*tbl_Bonds[[#This Row],[𝛿P/𝛿r_real]]</f>
        <v>-451.65113184211435</v>
      </c>
      <c r="Y283" s="18">
        <f>tbl_Bonds[[#This Row],[Quantidade]]*tbl_Bonds[[#This Row],[𝛿P/𝛿r_pre]]</f>
        <v>-426.69096871305788</v>
      </c>
      <c r="Z283" s="18">
        <f>tbl_Bonds[[#This Row],[Quantidade]]*tbl_Bonds[[#This Row],[𝛿P/𝛿r_implicita]]</f>
        <v>451.79665096729661</v>
      </c>
      <c r="AA283" s="18">
        <f>tbl_Bonds[[#This Row],[Quantidade]]*tbl_Bonds[[#This Row],[𝛿P/𝛿du]]</f>
        <v>56.842377388595722</v>
      </c>
    </row>
    <row r="284" spans="1:27">
      <c r="A284" s="2" t="s">
        <v>88</v>
      </c>
      <c r="B284" s="3">
        <v>56751</v>
      </c>
      <c r="C284" s="3">
        <v>52001</v>
      </c>
      <c r="D284" s="4">
        <f>NETWORKDAYS(Dashboard!$C$10,bonds!C284,feriados)-1</f>
        <v>4931</v>
      </c>
      <c r="E284" s="2">
        <f>IF(tbl_Bonds[[#This Row],[Coupon]]&lt;tbl_Bonds[[#This Row],[Maturity]],SQRT(1.06)-1,SQRT(1.06))</f>
        <v>2.9563014098699991E-2</v>
      </c>
      <c r="F284" s="5" cm="1">
        <f t="array" ref="F284">Svensson(betas_pre,tbl_Bonds[[#This Row],[DU]])</f>
        <v>0.12081609173336634</v>
      </c>
      <c r="G284" s="49">
        <f>IF(curve_type="Simulada",_xlfn.XLOOKUP(tbl_Bonds[[#This Row],[Coupon]],Simulador!$B$5:$B$147,Simulador!$H$5:$H$147),0)</f>
        <v>0</v>
      </c>
      <c r="H284" s="5" cm="1">
        <f t="array" ref="H28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0.12081609173336634</v>
      </c>
      <c r="I284" s="5" cm="1">
        <f t="array" ref="I284">Interpola_FF(tbl_Bonds[[#This Row],[DU]],dus_svensson,svensson_implicita)</f>
        <v>5.8531779802490691E-2</v>
      </c>
      <c r="J284" s="49">
        <f>IF(curve_type="Simulada",_xlfn.XLOOKUP(tbl_Bonds[[#This Row],[Coupon]],Simulador!$B$5:$B$147,Simulador!$N$5:$N$147),0)</f>
        <v>0</v>
      </c>
      <c r="K284" s="5" cm="1">
        <f t="array" ref="K28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5.8531779802490691E-2</v>
      </c>
      <c r="L284" s="5" cm="1">
        <f t="array" ref="L284">Interpola_FF(tbl_Bonds[[#This Row],[DU]],dus_svensson,svensson_real_spot)</f>
        <v>5.8840285146379401E-2</v>
      </c>
      <c r="M284" s="49">
        <f>IF(curve_type="Simulada",_xlfn.XLOOKUP(tbl_Bonds[[#This Row],[Coupon]],Simulador!$B$5:$B$147,Simulador!$K$5:$K$147),0)</f>
        <v>0</v>
      </c>
      <c r="N284" s="5" cm="1">
        <f t="array" ref="N28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5.8840285146379401E-2</v>
      </c>
      <c r="O284" s="6">
        <f>IF(curve_type="Mercado",tbl_Bonds[[#This Row],[FC]]/(1+tbl_Bonds[[#This Row],[Real Mercado]])^(tbl_Bonds[[#This Row],[DU]]/252),tbl_Bonds[[#This Row],[FC]]/(1+tbl_Bonds[[#This Row],[Real Simulada]])^(tbl_Bonds[[#This Row],[DU]]/252))</f>
        <v>9.6578341192779266E-3</v>
      </c>
      <c r="P284" s="7">
        <f>tbl_Bonds[[#This Row],[Cotação]]*VNA</f>
        <v>38.199672822059043</v>
      </c>
      <c r="Q284" s="18">
        <f>tbl_Bonds[[#This Row],[Cotação]]%%*VNA</f>
        <v>3.8199672822059041E-3</v>
      </c>
      <c r="R28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-7.0593326734095074E-2</v>
      </c>
      <c r="S28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-6.6689850847953938E-2</v>
      </c>
      <c r="T28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7.0613900698977383E-2</v>
      </c>
      <c r="U284" s="18">
        <f>IF(curve_type="Mercado",tbl_Bonds[[#This Row],[VP Cupom]]*LN(1+tbl_Bonds[[#This Row],[Real Mercado]])/252,tbl_Bonds[[#This Row],[VP Cupom]]*LN(1+tbl_Bonds[[#This Row],[Real Simulada]])/252)</f>
        <v>8.6668143151715331E-3</v>
      </c>
      <c r="V284" s="18">
        <f>SUMIF(Dashboard!$B$28:$B$42,tbl_Bonds[[#This Row],[Bond]],Dashboard!$C$28:$C$42)</f>
        <v>6381</v>
      </c>
      <c r="W284" s="18">
        <f>tbl_Bonds[[#This Row],[Quantidade]]*tbl_Bonds[[#This Row],[𝛿P/𝛿VNA]]</f>
        <v>24.375211227755873</v>
      </c>
      <c r="X284" s="18">
        <f>+tbl_Bonds[[#This Row],[Quantidade]]*tbl_Bonds[[#This Row],[𝛿P/𝛿r_real]]</f>
        <v>-450.45601789026068</v>
      </c>
      <c r="Y284" s="18">
        <f>tbl_Bonds[[#This Row],[Quantidade]]*tbl_Bonds[[#This Row],[𝛿P/𝛿r_pre]]</f>
        <v>-425.54793826079407</v>
      </c>
      <c r="Z284" s="18">
        <f>tbl_Bonds[[#This Row],[Quantidade]]*tbl_Bonds[[#This Row],[𝛿P/𝛿r_implicita]]</f>
        <v>450.58730036017471</v>
      </c>
      <c r="AA284" s="18">
        <f>tbl_Bonds[[#This Row],[Quantidade]]*tbl_Bonds[[#This Row],[𝛿P/𝛿du]]</f>
        <v>55.302942145109554</v>
      </c>
    </row>
    <row r="285" spans="1:27">
      <c r="A285" s="2" t="s">
        <v>88</v>
      </c>
      <c r="B285" s="3">
        <v>56751</v>
      </c>
      <c r="C285" s="3">
        <v>52187</v>
      </c>
      <c r="D285" s="4">
        <f>NETWORKDAYS(Dashboard!$C$10,bonds!C285,feriados)-1</f>
        <v>5062</v>
      </c>
      <c r="E285" s="2">
        <f>IF(tbl_Bonds[[#This Row],[Coupon]]&lt;tbl_Bonds[[#This Row],[Maturity]],SQRT(1.06)-1,SQRT(1.06))</f>
        <v>2.9563014098699991E-2</v>
      </c>
      <c r="F285" s="5" cm="1">
        <f t="array" ref="F285">Svensson(betas_pre,tbl_Bonds[[#This Row],[DU]])</f>
        <v>0.12085631382413267</v>
      </c>
      <c r="G285" s="49">
        <f>IF(curve_type="Simulada",_xlfn.XLOOKUP(tbl_Bonds[[#This Row],[Coupon]],Simulador!$B$5:$B$147,Simulador!$H$5:$H$147),0)</f>
        <v>0</v>
      </c>
      <c r="H285" s="5" cm="1">
        <f t="array" ref="H28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0.12085631382413267</v>
      </c>
      <c r="I285" s="5" cm="1">
        <f t="array" ref="I285">Interpola_FF(tbl_Bonds[[#This Row],[DU]],dus_svensson,svensson_implicita)</f>
        <v>5.8569033512437585E-2</v>
      </c>
      <c r="J285" s="49">
        <f>IF(curve_type="Simulada",_xlfn.XLOOKUP(tbl_Bonds[[#This Row],[Coupon]],Simulador!$B$5:$B$147,Simulador!$N$5:$N$147),0)</f>
        <v>0</v>
      </c>
      <c r="K285" s="5" cm="1">
        <f t="array" ref="K28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5.8569033512437585E-2</v>
      </c>
      <c r="L285" s="5" cm="1">
        <f t="array" ref="L285">Interpola_FF(tbl_Bonds[[#This Row],[DU]],dus_svensson,svensson_real_spot)</f>
        <v>5.8841018534799838E-2</v>
      </c>
      <c r="M285" s="49">
        <f>IF(curve_type="Simulada",_xlfn.XLOOKUP(tbl_Bonds[[#This Row],[Coupon]],Simulador!$B$5:$B$147,Simulador!$K$5:$K$147),0)</f>
        <v>0</v>
      </c>
      <c r="N285" s="5" cm="1">
        <f t="array" ref="N28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5.8841018534799838E-2</v>
      </c>
      <c r="O285" s="6">
        <f>IF(curve_type="Mercado",tbl_Bonds[[#This Row],[FC]]/(1+tbl_Bonds[[#This Row],[Real Mercado]])^(tbl_Bonds[[#This Row],[DU]]/252),tbl_Bonds[[#This Row],[FC]]/(1+tbl_Bonds[[#This Row],[Real Simulada]])^(tbl_Bonds[[#This Row],[DU]]/252))</f>
        <v>9.3748818575050338E-3</v>
      </c>
      <c r="P285" s="7">
        <f>tbl_Bonds[[#This Row],[Cotação]]*VNA</f>
        <v>37.080510524333199</v>
      </c>
      <c r="Q285" s="18">
        <f>tbl_Bonds[[#This Row],[Cotação]]%%*VNA</f>
        <v>3.7080510524333202E-3</v>
      </c>
      <c r="R28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-7.0345536759058927E-2</v>
      </c>
      <c r="S28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-6.6453423706933717E-2</v>
      </c>
      <c r="T28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7.0363610854928552E-2</v>
      </c>
      <c r="U285" s="18">
        <f>IF(curve_type="Mercado",tbl_Bonds[[#This Row],[VP Cupom]]*LN(1+tbl_Bonds[[#This Row],[Real Mercado]])/252,tbl_Bonds[[#This Row],[VP Cupom]]*LN(1+tbl_Bonds[[#This Row],[Real Simulada]])/252)</f>
        <v>8.4129985651168297E-3</v>
      </c>
      <c r="V285" s="18">
        <f>SUMIF(Dashboard!$B$28:$B$42,tbl_Bonds[[#This Row],[Bond]],Dashboard!$C$28:$C$42)</f>
        <v>6381</v>
      </c>
      <c r="W285" s="18">
        <f>tbl_Bonds[[#This Row],[Quantidade]]*tbl_Bonds[[#This Row],[𝛿P/𝛿VNA]]</f>
        <v>23.661073765577015</v>
      </c>
      <c r="X285" s="18">
        <f>+tbl_Bonds[[#This Row],[Quantidade]]*tbl_Bonds[[#This Row],[𝛿P/𝛿r_real]]</f>
        <v>-448.87487005955501</v>
      </c>
      <c r="Y285" s="18">
        <f>tbl_Bonds[[#This Row],[Quantidade]]*tbl_Bonds[[#This Row],[𝛿P/𝛿r_pre]]</f>
        <v>-424.03929667394408</v>
      </c>
      <c r="Z285" s="18">
        <f>tbl_Bonds[[#This Row],[Quantidade]]*tbl_Bonds[[#This Row],[𝛿P/𝛿r_implicita]]</f>
        <v>448.99020086529907</v>
      </c>
      <c r="AA285" s="18">
        <f>tbl_Bonds[[#This Row],[Quantidade]]*tbl_Bonds[[#This Row],[𝛿P/𝛿du]]</f>
        <v>53.683343844010487</v>
      </c>
    </row>
    <row r="286" spans="1:27">
      <c r="A286" s="2" t="s">
        <v>88</v>
      </c>
      <c r="B286" s="3">
        <v>56751</v>
      </c>
      <c r="C286" s="3">
        <v>52366</v>
      </c>
      <c r="D286" s="4">
        <f>NETWORKDAYS(Dashboard!$C$10,bonds!C286,feriados)-1</f>
        <v>5184</v>
      </c>
      <c r="E286" s="2">
        <f>IF(tbl_Bonds[[#This Row],[Coupon]]&lt;tbl_Bonds[[#This Row],[Maturity]],SQRT(1.06)-1,SQRT(1.06))</f>
        <v>2.9563014098699991E-2</v>
      </c>
      <c r="F286" s="5" cm="1">
        <f t="array" ref="F286">Svensson(betas_pre,tbl_Bonds[[#This Row],[DU]])</f>
        <v>0.12089194307908858</v>
      </c>
      <c r="G286" s="49">
        <f>IF(curve_type="Simulada",_xlfn.XLOOKUP(tbl_Bonds[[#This Row],[Coupon]],Simulador!$B$5:$B$147,Simulador!$H$5:$H$147),0)</f>
        <v>0</v>
      </c>
      <c r="H286" s="5" cm="1">
        <f t="array" ref="H28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0.12089194307908858</v>
      </c>
      <c r="I286" s="5" cm="1">
        <f t="array" ref="I286">Interpola_FF(tbl_Bonds[[#This Row],[DU]],dus_svensson,svensson_implicita)</f>
        <v>5.8603215109393147E-2</v>
      </c>
      <c r="J286" s="49">
        <f>IF(curve_type="Simulada",_xlfn.XLOOKUP(tbl_Bonds[[#This Row],[Coupon]],Simulador!$B$5:$B$147,Simulador!$N$5:$N$147),0)</f>
        <v>0</v>
      </c>
      <c r="K286" s="5" cm="1">
        <f t="array" ref="K28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5.8603215109393147E-2</v>
      </c>
      <c r="L286" s="5" cm="1">
        <f t="array" ref="L286">Interpola_FF(tbl_Bonds[[#This Row],[DU]],dus_svensson,svensson_real_spot)</f>
        <v>5.8840486155436134E-2</v>
      </c>
      <c r="M286" s="49">
        <f>IF(curve_type="Simulada",_xlfn.XLOOKUP(tbl_Bonds[[#This Row],[Coupon]],Simulador!$B$5:$B$147,Simulador!$K$5:$K$147),0)</f>
        <v>0</v>
      </c>
      <c r="N286" s="5" cm="1">
        <f t="array" ref="N28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5.8840486155436134E-2</v>
      </c>
      <c r="O286" s="6">
        <f>IF(curve_type="Mercado",tbl_Bonds[[#This Row],[FC]]/(1+tbl_Bonds[[#This Row],[Real Mercado]])^(tbl_Bonds[[#This Row],[DU]]/252),tbl_Bonds[[#This Row],[FC]]/(1+tbl_Bonds[[#This Row],[Real Simulada]])^(tbl_Bonds[[#This Row],[DU]]/252))</f>
        <v>9.1190386386341415E-3</v>
      </c>
      <c r="P286" s="7">
        <f>tbl_Bonds[[#This Row],[Cotação]]*VNA</f>
        <v>36.068572740570431</v>
      </c>
      <c r="Q286" s="18">
        <f>tbl_Bonds[[#This Row],[Cotação]]%%*VNA</f>
        <v>3.6068572740570438E-3</v>
      </c>
      <c r="R28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-7.0074961952021411E-2</v>
      </c>
      <c r="S28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-6.6195681964374295E-2</v>
      </c>
      <c r="T28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7.0090668081737709E-2</v>
      </c>
      <c r="U286" s="18">
        <f>IF(curve_type="Mercado",tbl_Bonds[[#This Row],[VP Cupom]]*LN(1+tbl_Bonds[[#This Row],[Real Mercado]])/252,tbl_Bonds[[#This Row],[VP Cupom]]*LN(1+tbl_Bonds[[#This Row],[Real Simulada]])/252)</f>
        <v>8.183333452989907E-3</v>
      </c>
      <c r="V286" s="18">
        <f>SUMIF(Dashboard!$B$28:$B$42,tbl_Bonds[[#This Row],[Bond]],Dashboard!$C$28:$C$42)</f>
        <v>6381</v>
      </c>
      <c r="W286" s="18">
        <f>tbl_Bonds[[#This Row],[Quantidade]]*tbl_Bonds[[#This Row],[𝛿P/𝛿VNA]]</f>
        <v>23.015356265757998</v>
      </c>
      <c r="X286" s="18">
        <f>+tbl_Bonds[[#This Row],[Quantidade]]*tbl_Bonds[[#This Row],[𝛿P/𝛿r_real]]</f>
        <v>-447.1483322158486</v>
      </c>
      <c r="Y286" s="18">
        <f>tbl_Bonds[[#This Row],[Quantidade]]*tbl_Bonds[[#This Row],[𝛿P/𝛿r_pre]]</f>
        <v>-422.39464661467235</v>
      </c>
      <c r="Z286" s="18">
        <f>tbl_Bonds[[#This Row],[Quantidade]]*tbl_Bonds[[#This Row],[𝛿P/𝛿r_implicita]]</f>
        <v>447.24855302956831</v>
      </c>
      <c r="AA286" s="18">
        <f>tbl_Bonds[[#This Row],[Quantidade]]*tbl_Bonds[[#This Row],[𝛿P/𝛿du]]</f>
        <v>52.217850763528595</v>
      </c>
    </row>
    <row r="287" spans="1:27">
      <c r="A287" s="2" t="s">
        <v>88</v>
      </c>
      <c r="B287" s="3">
        <v>56751</v>
      </c>
      <c r="C287" s="3">
        <v>52551</v>
      </c>
      <c r="D287" s="4">
        <f>NETWORKDAYS(Dashboard!$C$10,bonds!C287,feriados)-1</f>
        <v>5311</v>
      </c>
      <c r="E287" s="2">
        <f>IF(tbl_Bonds[[#This Row],[Coupon]]&lt;tbl_Bonds[[#This Row],[Maturity]],SQRT(1.06)-1,SQRT(1.06))</f>
        <v>2.9563014098699991E-2</v>
      </c>
      <c r="F287" s="5" cm="1">
        <f t="array" ref="F287">Svensson(betas_pre,tbl_Bonds[[#This Row],[DU]])</f>
        <v>0.12092729239975129</v>
      </c>
      <c r="G287" s="49">
        <f>IF(curve_type="Simulada",_xlfn.XLOOKUP(tbl_Bonds[[#This Row],[Coupon]],Simulador!$B$5:$B$147,Simulador!$H$5:$H$147),0)</f>
        <v>0</v>
      </c>
      <c r="H287" s="5" cm="1">
        <f t="array" ref="H28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0.12092729239975129</v>
      </c>
      <c r="I287" s="5" cm="1">
        <f t="array" ref="I287">Interpola_FF(tbl_Bonds[[#This Row],[DU]],dus_svensson,svensson_implicita)</f>
        <v>5.8638222729547884E-2</v>
      </c>
      <c r="J287" s="49">
        <f>IF(curve_type="Simulada",_xlfn.XLOOKUP(tbl_Bonds[[#This Row],[Coupon]],Simulador!$B$5:$B$147,Simulador!$N$5:$N$147),0)</f>
        <v>0</v>
      </c>
      <c r="K287" s="5" cm="1">
        <f t="array" ref="K28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5.8638222729547884E-2</v>
      </c>
      <c r="L287" s="5" cm="1">
        <f t="array" ref="L287">Interpola_FF(tbl_Bonds[[#This Row],[DU]],dus_svensson,svensson_real_spot)</f>
        <v>5.8838863167042232E-2</v>
      </c>
      <c r="M287" s="49">
        <f>IF(curve_type="Simulada",_xlfn.XLOOKUP(tbl_Bonds[[#This Row],[Coupon]],Simulador!$B$5:$B$147,Simulador!$K$5:$K$147),0)</f>
        <v>0</v>
      </c>
      <c r="N287" s="5" cm="1">
        <f t="array" ref="N28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5.8838863167042232E-2</v>
      </c>
      <c r="O287" s="6">
        <f>IF(curve_type="Mercado",tbl_Bonds[[#This Row],[FC]]/(1+tbl_Bonds[[#This Row],[Real Mercado]])^(tbl_Bonds[[#This Row],[DU]]/252),tbl_Bonds[[#This Row],[FC]]/(1+tbl_Bonds[[#This Row],[Real Simulada]])^(tbl_Bonds[[#This Row],[DU]]/252))</f>
        <v>8.8603174503628767E-3</v>
      </c>
      <c r="P287" s="7">
        <f>tbl_Bonds[[#This Row],[Cotação]]*VNA</f>
        <v>35.045251712062694</v>
      </c>
      <c r="Q287" s="18">
        <f>tbl_Bonds[[#This Row],[Cotação]]%%*VNA</f>
        <v>3.5045251712062693E-3</v>
      </c>
      <c r="R28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-6.9754956336648799E-2</v>
      </c>
      <c r="S28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-6.5891212547564151E-2</v>
      </c>
      <c r="T28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6.9768176595250822E-2</v>
      </c>
      <c r="U287" s="18">
        <f>IF(curve_type="Mercado",tbl_Bonds[[#This Row],[VP Cupom]]*LN(1+tbl_Bonds[[#This Row],[Real Mercado]])/252,tbl_Bonds[[#This Row],[VP Cupom]]*LN(1+tbl_Bonds[[#This Row],[Real Simulada]])/252)</f>
        <v>7.9509464997526477E-3</v>
      </c>
      <c r="V287" s="18">
        <f>SUMIF(Dashboard!$B$28:$B$42,tbl_Bonds[[#This Row],[Bond]],Dashboard!$C$28:$C$42)</f>
        <v>6381</v>
      </c>
      <c r="W287" s="18">
        <f>tbl_Bonds[[#This Row],[Quantidade]]*tbl_Bonds[[#This Row],[𝛿P/𝛿VNA]]</f>
        <v>22.362375117467206</v>
      </c>
      <c r="X287" s="18">
        <f>+tbl_Bonds[[#This Row],[Quantidade]]*tbl_Bonds[[#This Row],[𝛿P/𝛿r_real]]</f>
        <v>-445.10637638415596</v>
      </c>
      <c r="Y287" s="18">
        <f>tbl_Bonds[[#This Row],[Quantidade]]*tbl_Bonds[[#This Row],[𝛿P/𝛿r_pre]]</f>
        <v>-420.45182726600683</v>
      </c>
      <c r="Z287" s="18">
        <f>tbl_Bonds[[#This Row],[Quantidade]]*tbl_Bonds[[#This Row],[𝛿P/𝛿r_implicita]]</f>
        <v>445.1907348542955</v>
      </c>
      <c r="AA287" s="18">
        <f>tbl_Bonds[[#This Row],[Quantidade]]*tbl_Bonds[[#This Row],[𝛿P/𝛿du]]</f>
        <v>50.734989614921645</v>
      </c>
    </row>
    <row r="288" spans="1:27">
      <c r="A288" s="2" t="s">
        <v>88</v>
      </c>
      <c r="B288" s="3">
        <v>56751</v>
      </c>
      <c r="C288" s="3">
        <v>52733</v>
      </c>
      <c r="D288" s="4">
        <f>NETWORKDAYS(Dashboard!$C$10,bonds!C288,feriados)-1</f>
        <v>5435</v>
      </c>
      <c r="E288" s="2">
        <f>IF(tbl_Bonds[[#This Row],[Coupon]]&lt;tbl_Bonds[[#This Row],[Maturity]],SQRT(1.06)-1,SQRT(1.06))</f>
        <v>2.9563014098699991E-2</v>
      </c>
      <c r="F288" s="5" cm="1">
        <f t="array" ref="F288">Svensson(betas_pre,tbl_Bonds[[#This Row],[DU]])</f>
        <v>0.12096021162947357</v>
      </c>
      <c r="G288" s="49">
        <f>IF(curve_type="Simulada",_xlfn.XLOOKUP(tbl_Bonds[[#This Row],[Coupon]],Simulador!$B$5:$B$147,Simulador!$H$5:$H$147),0)</f>
        <v>0</v>
      </c>
      <c r="H288" s="5" cm="1">
        <f t="array" ref="H28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0.12096021162947357</v>
      </c>
      <c r="I288" s="5" cm="1">
        <f t="array" ref="I288">Interpola_FF(tbl_Bonds[[#This Row],[DU]],dus_svensson,svensson_implicita)</f>
        <v>5.8671739477065055E-2</v>
      </c>
      <c r="J288" s="49">
        <f>IF(curve_type="Simulada",_xlfn.XLOOKUP(tbl_Bonds[[#This Row],[Coupon]],Simulador!$B$5:$B$147,Simulador!$N$5:$N$147),0)</f>
        <v>0</v>
      </c>
      <c r="K288" s="5" cm="1">
        <f t="array" ref="K28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5.8671739477065055E-2</v>
      </c>
      <c r="L288" s="5" cm="1">
        <f t="array" ref="L288">Interpola_FF(tbl_Bonds[[#This Row],[DU]],dus_svensson,svensson_real_spot)</f>
        <v>5.8836435992123626E-2</v>
      </c>
      <c r="M288" s="49">
        <f>IF(curve_type="Simulada",_xlfn.XLOOKUP(tbl_Bonds[[#This Row],[Coupon]],Simulador!$B$5:$B$147,Simulador!$K$5:$K$147),0)</f>
        <v>0</v>
      </c>
      <c r="N288" s="5" cm="1">
        <f t="array" ref="N28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5.8836435992123626E-2</v>
      </c>
      <c r="O288" s="6">
        <f>IF(curve_type="Mercado",tbl_Bonds[[#This Row],[FC]]/(1+tbl_Bonds[[#This Row],[Real Mercado]])^(tbl_Bonds[[#This Row],[DU]]/252),tbl_Bonds[[#This Row],[FC]]/(1+tbl_Bonds[[#This Row],[Real Simulada]])^(tbl_Bonds[[#This Row],[DU]]/252))</f>
        <v>8.6149523424415234E-3</v>
      </c>
      <c r="P288" s="7">
        <f>tbl_Bonds[[#This Row],[Cotação]]*VNA</f>
        <v>34.074758045596028</v>
      </c>
      <c r="Q288" s="18">
        <f>tbl_Bonds[[#This Row],[Cotação]]%%*VNA</f>
        <v>3.4074758045596026E-3</v>
      </c>
      <c r="R28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-6.9406942091754839E-2</v>
      </c>
      <c r="S28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-6.556039926403924E-2</v>
      </c>
      <c r="T28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6.9417739506139248E-2</v>
      </c>
      <c r="U288" s="18">
        <f>IF(curve_type="Mercado",tbl_Bonds[[#This Row],[VP Cupom]]*LN(1+tbl_Bonds[[#This Row],[Real Mercado]])/252,tbl_Bonds[[#This Row],[VP Cupom]]*LN(1+tbl_Bonds[[#This Row],[Real Simulada]])/252)</f>
        <v>7.7304542668157937E-3</v>
      </c>
      <c r="V288" s="18">
        <f>SUMIF(Dashboard!$B$28:$B$42,tbl_Bonds[[#This Row],[Bond]],Dashboard!$C$28:$C$42)</f>
        <v>6381</v>
      </c>
      <c r="W288" s="18">
        <f>tbl_Bonds[[#This Row],[Quantidade]]*tbl_Bonds[[#This Row],[𝛿P/𝛿VNA]]</f>
        <v>21.743103108894825</v>
      </c>
      <c r="X288" s="18">
        <f>+tbl_Bonds[[#This Row],[Quantidade]]*tbl_Bonds[[#This Row],[𝛿P/𝛿r_real]]</f>
        <v>-442.88569748748762</v>
      </c>
      <c r="Y288" s="18">
        <f>tbl_Bonds[[#This Row],[Quantidade]]*tbl_Bonds[[#This Row],[𝛿P/𝛿r_pre]]</f>
        <v>-418.34090770383438</v>
      </c>
      <c r="Z288" s="18">
        <f>tbl_Bonds[[#This Row],[Quantidade]]*tbl_Bonds[[#This Row],[𝛿P/𝛿r_implicita]]</f>
        <v>442.95459578867457</v>
      </c>
      <c r="AA288" s="18">
        <f>tbl_Bonds[[#This Row],[Quantidade]]*tbl_Bonds[[#This Row],[𝛿P/𝛿du]]</f>
        <v>49.328028676551583</v>
      </c>
    </row>
    <row r="289" spans="1:27">
      <c r="A289" s="2" t="s">
        <v>88</v>
      </c>
      <c r="B289" s="3">
        <v>56751</v>
      </c>
      <c r="C289" s="3">
        <v>52917</v>
      </c>
      <c r="D289" s="4">
        <f>NETWORKDAYS(Dashboard!$C$10,bonds!C289,feriados)-1</f>
        <v>5562</v>
      </c>
      <c r="E289" s="2">
        <f>IF(tbl_Bonds[[#This Row],[Coupon]]&lt;tbl_Bonds[[#This Row],[Maturity]],SQRT(1.06)-1,SQRT(1.06))</f>
        <v>2.9563014098699991E-2</v>
      </c>
      <c r="F289" s="5" cm="1">
        <f t="array" ref="F289">Svensson(betas_pre,tbl_Bonds[[#This Row],[DU]])</f>
        <v>0.12099240473572977</v>
      </c>
      <c r="G289" s="49">
        <f>IF(curve_type="Simulada",_xlfn.XLOOKUP(tbl_Bonds[[#This Row],[Coupon]],Simulador!$B$5:$B$147,Simulador!$H$5:$H$147),0)</f>
        <v>0</v>
      </c>
      <c r="H289" s="5" cm="1">
        <f t="array" ref="H28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0.12099240473572977</v>
      </c>
      <c r="I289" s="5" cm="1">
        <f t="array" ref="I289">Interpola_FF(tbl_Bonds[[#This Row],[DU]],dus_svensson,svensson_implicita)</f>
        <v>5.8705343244700003E-2</v>
      </c>
      <c r="J289" s="49">
        <f>IF(curve_type="Simulada",_xlfn.XLOOKUP(tbl_Bonds[[#This Row],[Coupon]],Simulador!$B$5:$B$147,Simulador!$N$5:$N$147),0)</f>
        <v>0</v>
      </c>
      <c r="K289" s="5" cm="1">
        <f t="array" ref="K28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5.8705343244700003E-2</v>
      </c>
      <c r="L289" s="5" cm="1">
        <f t="array" ref="L289">Interpola_FF(tbl_Bonds[[#This Row],[DU]],dus_svensson,svensson_real_spot)</f>
        <v>5.8833236062737715E-2</v>
      </c>
      <c r="M289" s="49">
        <f>IF(curve_type="Simulada",_xlfn.XLOOKUP(tbl_Bonds[[#This Row],[Coupon]],Simulador!$B$5:$B$147,Simulador!$K$5:$K$147),0)</f>
        <v>0</v>
      </c>
      <c r="N289" s="5" cm="1">
        <f t="array" ref="N28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5.8833236062737715E-2</v>
      </c>
      <c r="O289" s="6">
        <f>IF(curve_type="Mercado",tbl_Bonds[[#This Row],[FC]]/(1+tbl_Bonds[[#This Row],[Real Mercado]])^(tbl_Bonds[[#This Row],[DU]]/252),tbl_Bonds[[#This Row],[FC]]/(1+tbl_Bonds[[#This Row],[Real Simulada]])^(tbl_Bonds[[#This Row],[DU]]/252))</f>
        <v>8.370836932885312E-3</v>
      </c>
      <c r="P289" s="7">
        <f>tbl_Bonds[[#This Row],[Cotação]]*VNA</f>
        <v>33.109207316446884</v>
      </c>
      <c r="Q289" s="18">
        <f>tbl_Bonds[[#This Row],[Cotação]]%%*VNA</f>
        <v>3.310920731644689E-3</v>
      </c>
      <c r="R28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-6.9016298266092443E-2</v>
      </c>
      <c r="S28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-6.5189335775766702E-2</v>
      </c>
      <c r="T28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6.9024635363072226E-2</v>
      </c>
      <c r="U289" s="18">
        <f>IF(curve_type="Mercado",tbl_Bonds[[#This Row],[VP Cupom]]*LN(1+tbl_Bonds[[#This Row],[Real Mercado]])/252,tbl_Bonds[[#This Row],[VP Cupom]]*LN(1+tbl_Bonds[[#This Row],[Real Simulada]])/252)</f>
        <v>7.5110051484783159E-3</v>
      </c>
      <c r="V289" s="18">
        <f>SUMIF(Dashboard!$B$28:$B$42,tbl_Bonds[[#This Row],[Bond]],Dashboard!$C$28:$C$42)</f>
        <v>6381</v>
      </c>
      <c r="W289" s="18">
        <f>tbl_Bonds[[#This Row],[Quantidade]]*tbl_Bonds[[#This Row],[𝛿P/𝛿VNA]]</f>
        <v>21.126985188624761</v>
      </c>
      <c r="X289" s="18">
        <f>+tbl_Bonds[[#This Row],[Quantidade]]*tbl_Bonds[[#This Row],[𝛿P/𝛿r_real]]</f>
        <v>-440.39299923593586</v>
      </c>
      <c r="Y289" s="18">
        <f>tbl_Bonds[[#This Row],[Quantidade]]*tbl_Bonds[[#This Row],[𝛿P/𝛿r_pre]]</f>
        <v>-415.97315158516733</v>
      </c>
      <c r="Z289" s="18">
        <f>tbl_Bonds[[#This Row],[Quantidade]]*tbl_Bonds[[#This Row],[𝛿P/𝛿r_implicita]]</f>
        <v>440.44619825176386</v>
      </c>
      <c r="AA289" s="18">
        <f>tbl_Bonds[[#This Row],[Quantidade]]*tbl_Bonds[[#This Row],[𝛿P/𝛿du]]</f>
        <v>47.927723852440131</v>
      </c>
    </row>
    <row r="290" spans="1:27">
      <c r="A290" s="2" t="s">
        <v>88</v>
      </c>
      <c r="B290" s="3">
        <v>56751</v>
      </c>
      <c r="C290" s="3">
        <v>53097</v>
      </c>
      <c r="D290" s="4">
        <f>NETWORKDAYS(Dashboard!$C$10,bonds!C290,feriados)-1</f>
        <v>5685</v>
      </c>
      <c r="E290" s="2">
        <f>IF(tbl_Bonds[[#This Row],[Coupon]]&lt;tbl_Bonds[[#This Row],[Maturity]],SQRT(1.06)-1,SQRT(1.06))</f>
        <v>2.9563014098699991E-2</v>
      </c>
      <c r="F290" s="5" cm="1">
        <f t="array" ref="F290">Svensson(betas_pre,tbl_Bonds[[#This Row],[DU]])</f>
        <v>0.1210222118472476</v>
      </c>
      <c r="G290" s="49">
        <f>IF(curve_type="Simulada",_xlfn.XLOOKUP(tbl_Bonds[[#This Row],[Coupon]],Simulador!$B$5:$B$147,Simulador!$H$5:$H$147),0)</f>
        <v>0</v>
      </c>
      <c r="H290" s="5" cm="1">
        <f t="array" ref="H29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0.1210222118472476</v>
      </c>
      <c r="I290" s="5" cm="1">
        <f t="array" ref="I290">Interpola_FF(tbl_Bonds[[#This Row],[DU]],dus_svensson,svensson_implicita)</f>
        <v>5.8737133598216307E-2</v>
      </c>
      <c r="J290" s="49">
        <f>IF(curve_type="Simulada",_xlfn.XLOOKUP(tbl_Bonds[[#This Row],[Coupon]],Simulador!$B$5:$B$147,Simulador!$N$5:$N$147),0)</f>
        <v>0</v>
      </c>
      <c r="K290" s="5" cm="1">
        <f t="array" ref="K29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5.8737133598216307E-2</v>
      </c>
      <c r="L290" s="5" cm="1">
        <f t="array" ref="L290">Interpola_FF(tbl_Bonds[[#This Row],[DU]],dus_svensson,svensson_real_spot)</f>
        <v>5.882959630430995E-2</v>
      </c>
      <c r="M290" s="49">
        <f>IF(curve_type="Simulada",_xlfn.XLOOKUP(tbl_Bonds[[#This Row],[Coupon]],Simulador!$B$5:$B$147,Simulador!$K$5:$K$147),0)</f>
        <v>0</v>
      </c>
      <c r="N290" s="5" cm="1">
        <f t="array" ref="N29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5.882959630430995E-2</v>
      </c>
      <c r="O290" s="6">
        <f>IF(curve_type="Mercado",tbl_Bonds[[#This Row],[FC]]/(1+tbl_Bonds[[#This Row],[Real Mercado]])^(tbl_Bonds[[#This Row],[DU]]/252),tbl_Bonds[[#This Row],[FC]]/(1+tbl_Bonds[[#This Row],[Real Simulada]])^(tbl_Bonds[[#This Row],[DU]]/252))</f>
        <v>8.1411235295786293E-3</v>
      </c>
      <c r="P290" s="7">
        <f>tbl_Bonds[[#This Row],[Cotação]]*VNA</f>
        <v>32.200620904547215</v>
      </c>
      <c r="Q290" s="18">
        <f>tbl_Bonds[[#This Row],[Cotação]]%%*VNA</f>
        <v>3.2200620904547215E-3</v>
      </c>
      <c r="R29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-6.8606948324176339E-2</v>
      </c>
      <c r="S29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-6.4800738560546134E-2</v>
      </c>
      <c r="T29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6.8612939855613148E-2</v>
      </c>
      <c r="U290" s="18">
        <f>IF(curve_type="Mercado",tbl_Bonds[[#This Row],[VP Cupom]]*LN(1+tbl_Bonds[[#This Row],[Real Mercado]])/252,tbl_Bonds[[#This Row],[VP Cupom]]*LN(1+tbl_Bonds[[#This Row],[Real Simulada]])/252)</f>
        <v>7.3044480934039658E-3</v>
      </c>
      <c r="V290" s="18">
        <f>SUMIF(Dashboard!$B$28:$B$42,tbl_Bonds[[#This Row],[Bond]],Dashboard!$C$28:$C$42)</f>
        <v>6381</v>
      </c>
      <c r="W290" s="18">
        <f>tbl_Bonds[[#This Row],[Quantidade]]*tbl_Bonds[[#This Row],[𝛿P/𝛿VNA]]</f>
        <v>20.547216199191578</v>
      </c>
      <c r="X290" s="18">
        <f>+tbl_Bonds[[#This Row],[Quantidade]]*tbl_Bonds[[#This Row],[𝛿P/𝛿r_real]]</f>
        <v>-437.78093725656925</v>
      </c>
      <c r="Y290" s="18">
        <f>tbl_Bonds[[#This Row],[Quantidade]]*tbl_Bonds[[#This Row],[𝛿P/𝛿r_pre]]</f>
        <v>-413.49351275484486</v>
      </c>
      <c r="Z290" s="18">
        <f>tbl_Bonds[[#This Row],[Quantidade]]*tbl_Bonds[[#This Row],[𝛿P/𝛿r_implicita]]</f>
        <v>437.81916921866747</v>
      </c>
      <c r="AA290" s="18">
        <f>tbl_Bonds[[#This Row],[Quantidade]]*tbl_Bonds[[#This Row],[𝛿P/𝛿du]]</f>
        <v>46.609683284010707</v>
      </c>
    </row>
    <row r="291" spans="1:27">
      <c r="A291" s="2" t="s">
        <v>88</v>
      </c>
      <c r="B291" s="3">
        <v>56751</v>
      </c>
      <c r="C291" s="3">
        <v>53282</v>
      </c>
      <c r="D291" s="4">
        <f>NETWORKDAYS(Dashboard!$C$10,bonds!C291,feriados)-1</f>
        <v>5813</v>
      </c>
      <c r="E291" s="2">
        <f>IF(tbl_Bonds[[#This Row],[Coupon]]&lt;tbl_Bonds[[#This Row],[Maturity]],SQRT(1.06)-1,SQRT(1.06))</f>
        <v>2.9563014098699991E-2</v>
      </c>
      <c r="F291" s="5" cm="1">
        <f t="array" ref="F291">Svensson(betas_pre,tbl_Bonds[[#This Row],[DU]])</f>
        <v>0.12105189038479054</v>
      </c>
      <c r="G291" s="49">
        <f>IF(curve_type="Simulada",_xlfn.XLOOKUP(tbl_Bonds[[#This Row],[Coupon]],Simulador!$B$5:$B$147,Simulador!$H$5:$H$147),0)</f>
        <v>0</v>
      </c>
      <c r="H291" s="5" cm="1">
        <f t="array" ref="H29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0.12105189038479054</v>
      </c>
      <c r="I291" s="5" cm="1">
        <f t="array" ref="I291">Interpola_FF(tbl_Bonds[[#This Row],[DU]],dus_svensson,svensson_implicita)</f>
        <v>5.8769413621907463E-2</v>
      </c>
      <c r="J291" s="49">
        <f>IF(curve_type="Simulada",_xlfn.XLOOKUP(tbl_Bonds[[#This Row],[Coupon]],Simulador!$B$5:$B$147,Simulador!$N$5:$N$147),0)</f>
        <v>0</v>
      </c>
      <c r="K291" s="5" cm="1">
        <f t="array" ref="K29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5.8769413621907463E-2</v>
      </c>
      <c r="L291" s="5" cm="1">
        <f t="array" ref="L291">Interpola_FF(tbl_Bonds[[#This Row],[DU]],dus_svensson,svensson_real_spot)</f>
        <v>5.8825345606740242E-2</v>
      </c>
      <c r="M291" s="49">
        <f>IF(curve_type="Simulada",_xlfn.XLOOKUP(tbl_Bonds[[#This Row],[Coupon]],Simulador!$B$5:$B$147,Simulador!$K$5:$K$147),0)</f>
        <v>0</v>
      </c>
      <c r="N291" s="5" cm="1">
        <f t="array" ref="N29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5.8825345606740242E-2</v>
      </c>
      <c r="O291" s="6">
        <f>IF(curve_type="Mercado",tbl_Bonds[[#This Row],[FC]]/(1+tbl_Bonds[[#This Row],[Real Mercado]])^(tbl_Bonds[[#This Row],[DU]]/252),tbl_Bonds[[#This Row],[FC]]/(1+tbl_Bonds[[#This Row],[Real Simulada]])^(tbl_Bonds[[#This Row],[DU]]/252))</f>
        <v>7.9088710389636756E-3</v>
      </c>
      <c r="P291" s="7">
        <f>tbl_Bonds[[#This Row],[Cotação]]*VNA</f>
        <v>31.281991629698695</v>
      </c>
      <c r="Q291" s="18">
        <f>tbl_Bonds[[#This Row],[Cotação]]%%*VNA</f>
        <v>3.1281991629698701E-3</v>
      </c>
      <c r="R29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-6.8150625933090334E-2</v>
      </c>
      <c r="S29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-6.4367769720639303E-2</v>
      </c>
      <c r="T29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6.8154226025785219E-2</v>
      </c>
      <c r="U291" s="18">
        <f>IF(curve_type="Mercado",tbl_Bonds[[#This Row],[VP Cupom]]*LN(1+tbl_Bonds[[#This Row],[Real Mercado]])/252,tbl_Bonds[[#This Row],[VP Cupom]]*LN(1+tbl_Bonds[[#This Row],[Real Simulada]])/252)</f>
        <v>7.0955661948964525E-3</v>
      </c>
      <c r="V291" s="18">
        <f>SUMIF(Dashboard!$B$28:$B$42,tbl_Bonds[[#This Row],[Bond]],Dashboard!$C$28:$C$42)</f>
        <v>6381</v>
      </c>
      <c r="W291" s="18">
        <f>tbl_Bonds[[#This Row],[Quantidade]]*tbl_Bonds[[#This Row],[𝛿P/𝛿VNA]]</f>
        <v>19.96103885891074</v>
      </c>
      <c r="X291" s="18">
        <f>+tbl_Bonds[[#This Row],[Quantidade]]*tbl_Bonds[[#This Row],[𝛿P/𝛿r_real]]</f>
        <v>-434.86914407904942</v>
      </c>
      <c r="Y291" s="18">
        <f>tbl_Bonds[[#This Row],[Quantidade]]*tbl_Bonds[[#This Row],[𝛿P/𝛿r_pre]]</f>
        <v>-410.7307385873994</v>
      </c>
      <c r="Z291" s="18">
        <f>tbl_Bonds[[#This Row],[Quantidade]]*tbl_Bonds[[#This Row],[𝛿P/𝛿r_implicita]]</f>
        <v>434.8921162705355</v>
      </c>
      <c r="AA291" s="18">
        <f>tbl_Bonds[[#This Row],[Quantidade]]*tbl_Bonds[[#This Row],[𝛿P/𝛿du]]</f>
        <v>45.276807889634263</v>
      </c>
    </row>
    <row r="292" spans="1:27">
      <c r="A292" s="2" t="s">
        <v>88</v>
      </c>
      <c r="B292" s="3">
        <v>56751</v>
      </c>
      <c r="C292" s="3">
        <v>53462</v>
      </c>
      <c r="D292" s="4">
        <f>NETWORKDAYS(Dashboard!$C$10,bonds!C292,feriados)-1</f>
        <v>5935</v>
      </c>
      <c r="E292" s="2">
        <f>IF(tbl_Bonds[[#This Row],[Coupon]]&lt;tbl_Bonds[[#This Row],[Maturity]],SQRT(1.06)-1,SQRT(1.06))</f>
        <v>2.9563014098699991E-2</v>
      </c>
      <c r="F292" s="5" cm="1">
        <f t="array" ref="F292">Svensson(betas_pre,tbl_Bonds[[#This Row],[DU]])</f>
        <v>0.12107898542351173</v>
      </c>
      <c r="G292" s="49">
        <f>IF(curve_type="Simulada",_xlfn.XLOOKUP(tbl_Bonds[[#This Row],[Coupon]],Simulador!$B$5:$B$147,Simulador!$H$5:$H$147),0)</f>
        <v>0</v>
      </c>
      <c r="H292" s="5" cm="1">
        <f t="array" ref="H29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0.12107898542351173</v>
      </c>
      <c r="I292" s="5" cm="1">
        <f t="array" ref="I292">Interpola_FF(tbl_Bonds[[#This Row],[DU]],dus_svensson,svensson_implicita)</f>
        <v>5.8799381721219346E-2</v>
      </c>
      <c r="J292" s="49">
        <f>IF(curve_type="Simulada",_xlfn.XLOOKUP(tbl_Bonds[[#This Row],[Coupon]],Simulador!$B$5:$B$147,Simulador!$N$5:$N$147),0)</f>
        <v>0</v>
      </c>
      <c r="K292" s="5" cm="1">
        <f t="array" ref="K29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5.8799381721219346E-2</v>
      </c>
      <c r="L292" s="5" cm="1">
        <f t="array" ref="L292">Interpola_FF(tbl_Bonds[[#This Row],[DU]],dus_svensson,svensson_real_spot)</f>
        <v>5.8820967137688029E-2</v>
      </c>
      <c r="M292" s="49">
        <f>IF(curve_type="Simulada",_xlfn.XLOOKUP(tbl_Bonds[[#This Row],[Coupon]],Simulador!$B$5:$B$147,Simulador!$K$5:$K$147),0)</f>
        <v>0</v>
      </c>
      <c r="N292" s="5" cm="1">
        <f t="array" ref="N29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5.8820967137688029E-2</v>
      </c>
      <c r="O292" s="6">
        <f>IF(curve_type="Mercado",tbl_Bonds[[#This Row],[FC]]/(1+tbl_Bonds[[#This Row],[Real Mercado]])^(tbl_Bonds[[#This Row],[DU]]/252),tbl_Bonds[[#This Row],[FC]]/(1+tbl_Bonds[[#This Row],[Real Simulada]])^(tbl_Bonds[[#This Row],[DU]]/252))</f>
        <v>7.6937605017097987E-3</v>
      </c>
      <c r="P292" s="7">
        <f>tbl_Bonds[[#This Row],[Cotação]]*VNA</f>
        <v>30.431163996692113</v>
      </c>
      <c r="Q292" s="18">
        <f>tbl_Bonds[[#This Row],[Cotação]]%%*VNA</f>
        <v>3.0431163996692116E-3</v>
      </c>
      <c r="R29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-6.7688706382012492E-2</v>
      </c>
      <c r="S29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-6.392968059361602E-2</v>
      </c>
      <c r="T29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6.7690086238840402E-2</v>
      </c>
      <c r="U292" s="18">
        <f>IF(curve_type="Mercado",tbl_Bonds[[#This Row],[VP Cupom]]*LN(1+tbl_Bonds[[#This Row],[Real Mercado]])/252,tbl_Bonds[[#This Row],[VP Cupom]]*LN(1+tbl_Bonds[[#This Row],[Real Simulada]])/252)</f>
        <v>6.9020770798210547E-3</v>
      </c>
      <c r="V292" s="18">
        <f>SUMIF(Dashboard!$B$28:$B$42,tbl_Bonds[[#This Row],[Bond]],Dashboard!$C$28:$C$42)</f>
        <v>6381</v>
      </c>
      <c r="W292" s="18">
        <f>tbl_Bonds[[#This Row],[Quantidade]]*tbl_Bonds[[#This Row],[𝛿P/𝛿VNA]]</f>
        <v>19.418125746289238</v>
      </c>
      <c r="X292" s="18">
        <f>+tbl_Bonds[[#This Row],[Quantidade]]*tbl_Bonds[[#This Row],[𝛿P/𝛿r_real]]</f>
        <v>-431.92163542362169</v>
      </c>
      <c r="Y292" s="18">
        <f>tbl_Bonds[[#This Row],[Quantidade]]*tbl_Bonds[[#This Row],[𝛿P/𝛿r_pre]]</f>
        <v>-407.93529186786384</v>
      </c>
      <c r="Z292" s="18">
        <f>tbl_Bonds[[#This Row],[Quantidade]]*tbl_Bonds[[#This Row],[𝛿P/𝛿r_implicita]]</f>
        <v>431.93044029004062</v>
      </c>
      <c r="AA292" s="18">
        <f>tbl_Bonds[[#This Row],[Quantidade]]*tbl_Bonds[[#This Row],[𝛿P/𝛿du]]</f>
        <v>44.042153846338152</v>
      </c>
    </row>
    <row r="293" spans="1:27">
      <c r="A293" s="2" t="s">
        <v>88</v>
      </c>
      <c r="B293" s="3">
        <v>56751</v>
      </c>
      <c r="C293" s="3">
        <v>53647</v>
      </c>
      <c r="D293" s="4">
        <f>NETWORKDAYS(Dashboard!$C$10,bonds!C293,feriados)-1</f>
        <v>6063</v>
      </c>
      <c r="E293" s="2">
        <f>IF(tbl_Bonds[[#This Row],[Coupon]]&lt;tbl_Bonds[[#This Row],[Maturity]],SQRT(1.06)-1,SQRT(1.06))</f>
        <v>2.9563014098699991E-2</v>
      </c>
      <c r="F293" s="5" cm="1">
        <f t="array" ref="F293">Svensson(betas_pre,tbl_Bonds[[#This Row],[DU]])</f>
        <v>0.12110624008976806</v>
      </c>
      <c r="G293" s="49">
        <f>IF(curve_type="Simulada",_xlfn.XLOOKUP(tbl_Bonds[[#This Row],[Coupon]],Simulador!$B$5:$B$147,Simulador!$H$5:$H$147),0)</f>
        <v>0</v>
      </c>
      <c r="H293" s="5" cm="1">
        <f t="array" ref="H29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0.12110624008976806</v>
      </c>
      <c r="I293" s="5" cm="1">
        <f t="array" ref="I293">Interpola_FF(tbl_Bonds[[#This Row],[DU]],dus_svensson,svensson_implicita)</f>
        <v>5.8829992912210027E-2</v>
      </c>
      <c r="J293" s="49">
        <f>IF(curve_type="Simulada",_xlfn.XLOOKUP(tbl_Bonds[[#This Row],[Coupon]],Simulador!$B$5:$B$147,Simulador!$N$5:$N$147),0)</f>
        <v>0</v>
      </c>
      <c r="K293" s="5" cm="1">
        <f t="array" ref="K29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5.8829992912210027E-2</v>
      </c>
      <c r="L293" s="5" cm="1">
        <f t="array" ref="L293">Interpola_FF(tbl_Bonds[[#This Row],[DU]],dus_svensson,svensson_real_spot)</f>
        <v>5.8816096566091547E-2</v>
      </c>
      <c r="M293" s="49">
        <f>IF(curve_type="Simulada",_xlfn.XLOOKUP(tbl_Bonds[[#This Row],[Coupon]],Simulador!$B$5:$B$147,Simulador!$K$5:$K$147),0)</f>
        <v>0</v>
      </c>
      <c r="N293" s="5" cm="1">
        <f t="array" ref="N29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5.8816096566091547E-2</v>
      </c>
      <c r="O293" s="6">
        <f>IF(curve_type="Mercado",tbl_Bonds[[#This Row],[FC]]/(1+tbl_Bonds[[#This Row],[Real Mercado]])^(tbl_Bonds[[#This Row],[DU]]/252),tbl_Bonds[[#This Row],[FC]]/(1+tbl_Bonds[[#This Row],[Real Simulada]])^(tbl_Bonds[[#This Row],[DU]]/252))</f>
        <v>7.474436515658941E-3</v>
      </c>
      <c r="P293" s="7">
        <f>tbl_Bonds[[#This Row],[Cotação]]*VNA</f>
        <v>29.563670891540397</v>
      </c>
      <c r="Q293" s="18">
        <f>tbl_Bonds[[#This Row],[Cotação]]%%*VNA</f>
        <v>2.9563670891540397E-3</v>
      </c>
      <c r="R29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-6.7177656820552822E-2</v>
      </c>
      <c r="S29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-6.3445177383614756E-2</v>
      </c>
      <c r="T29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6.7176775067298439E-2</v>
      </c>
      <c r="U293" s="18">
        <f>IF(curve_type="Mercado",tbl_Bonds[[#This Row],[VP Cupom]]*LN(1+tbl_Bonds[[#This Row],[Real Mercado]])/252,tbl_Bonds[[#This Row],[VP Cupom]]*LN(1+tbl_Bonds[[#This Row],[Real Simulada]])/252)</f>
        <v>6.7047817476792934E-3</v>
      </c>
      <c r="V293" s="18">
        <f>SUMIF(Dashboard!$B$28:$B$42,tbl_Bonds[[#This Row],[Bond]],Dashboard!$C$28:$C$42)</f>
        <v>6381</v>
      </c>
      <c r="W293" s="18">
        <f>tbl_Bonds[[#This Row],[Quantidade]]*tbl_Bonds[[#This Row],[𝛿P/𝛿VNA]]</f>
        <v>18.864578395891929</v>
      </c>
      <c r="X293" s="18">
        <f>+tbl_Bonds[[#This Row],[Quantidade]]*tbl_Bonds[[#This Row],[𝛿P/𝛿r_real]]</f>
        <v>-428.66062817194756</v>
      </c>
      <c r="Y293" s="18">
        <f>tbl_Bonds[[#This Row],[Quantidade]]*tbl_Bonds[[#This Row],[𝛿P/𝛿r_pre]]</f>
        <v>-404.84367688484576</v>
      </c>
      <c r="Z293" s="18">
        <f>tbl_Bonds[[#This Row],[Quantidade]]*tbl_Bonds[[#This Row],[𝛿P/𝛿r_implicita]]</f>
        <v>428.65500170443136</v>
      </c>
      <c r="AA293" s="18">
        <f>tbl_Bonds[[#This Row],[Quantidade]]*tbl_Bonds[[#This Row],[𝛿P/𝛿du]]</f>
        <v>42.78321233194157</v>
      </c>
    </row>
    <row r="294" spans="1:27">
      <c r="A294" s="2" t="s">
        <v>88</v>
      </c>
      <c r="B294" s="3">
        <v>56751</v>
      </c>
      <c r="C294" s="3">
        <v>53827</v>
      </c>
      <c r="D294" s="4">
        <f>NETWORKDAYS(Dashboard!$C$10,bonds!C294,feriados)-1</f>
        <v>6185</v>
      </c>
      <c r="E294" s="2">
        <f>IF(tbl_Bonds[[#This Row],[Coupon]]&lt;tbl_Bonds[[#This Row],[Maturity]],SQRT(1.06)-1,SQRT(1.06))</f>
        <v>2.9563014098699991E-2</v>
      </c>
      <c r="F294" s="5" cm="1">
        <f t="array" ref="F294">Svensson(betas_pre,tbl_Bonds[[#This Row],[DU]])</f>
        <v>0.1211311665390121</v>
      </c>
      <c r="G294" s="49">
        <f>IF(curve_type="Simulada",_xlfn.XLOOKUP(tbl_Bonds[[#This Row],[Coupon]],Simulador!$B$5:$B$147,Simulador!$H$5:$H$147),0)</f>
        <v>0</v>
      </c>
      <c r="H294" s="5" cm="1">
        <f t="array" ref="H29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0.1211311665390121</v>
      </c>
      <c r="I294" s="5" cm="1">
        <f t="array" ref="I294">Interpola_FF(tbl_Bonds[[#This Row],[DU]],dus_svensson,svensson_implicita)</f>
        <v>5.8858358842431624E-2</v>
      </c>
      <c r="J294" s="49">
        <f>IF(curve_type="Simulada",_xlfn.XLOOKUP(tbl_Bonds[[#This Row],[Coupon]],Simulador!$B$5:$B$147,Simulador!$N$5:$N$147),0)</f>
        <v>0</v>
      </c>
      <c r="K294" s="5" cm="1">
        <f t="array" ref="K29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5.8858358842431624E-2</v>
      </c>
      <c r="L294" s="5" cm="1">
        <f t="array" ref="L294">Interpola_FF(tbl_Bonds[[#This Row],[DU]],dus_svensson,svensson_real_spot)</f>
        <v>5.8811272659216041E-2</v>
      </c>
      <c r="M294" s="49">
        <f>IF(curve_type="Simulada",_xlfn.XLOOKUP(tbl_Bonds[[#This Row],[Coupon]],Simulador!$B$5:$B$147,Simulador!$K$5:$K$147),0)</f>
        <v>0</v>
      </c>
      <c r="N294" s="5" cm="1">
        <f t="array" ref="N29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5.8811272659216041E-2</v>
      </c>
      <c r="O294" s="6">
        <f>IF(curve_type="Mercado",tbl_Bonds[[#This Row],[FC]]/(1+tbl_Bonds[[#This Row],[Real Mercado]])^(tbl_Bonds[[#This Row],[DU]]/252),tbl_Bonds[[#This Row],[FC]]/(1+tbl_Bonds[[#This Row],[Real Simulada]])^(tbl_Bonds[[#This Row],[DU]]/252))</f>
        <v>7.2712776704739104E-3</v>
      </c>
      <c r="P294" s="7">
        <f>tbl_Bonds[[#This Row],[Cotação]]*VNA</f>
        <v>28.760115837567721</v>
      </c>
      <c r="Q294" s="18">
        <f>tbl_Bonds[[#This Row],[Cotação]]%%*VNA</f>
        <v>2.876011583756772E-3</v>
      </c>
      <c r="R29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-6.6667049938879744E-2</v>
      </c>
      <c r="S29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-6.296125379796394E-2</v>
      </c>
      <c r="T29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6.6664085264849182E-2</v>
      </c>
      <c r="U294" s="18">
        <f>IF(curve_type="Mercado",tbl_Bonds[[#This Row],[VP Cupom]]*LN(1+tbl_Bonds[[#This Row],[Real Mercado]])/252,tbl_Bonds[[#This Row],[VP Cupom]]*LN(1+tbl_Bonds[[#This Row],[Real Simulada]])/252)</f>
        <v>6.5220225366041809E-3</v>
      </c>
      <c r="V294" s="18">
        <f>SUMIF(Dashboard!$B$28:$B$42,tbl_Bonds[[#This Row],[Bond]],Dashboard!$C$28:$C$42)</f>
        <v>6381</v>
      </c>
      <c r="W294" s="18">
        <f>tbl_Bonds[[#This Row],[Quantidade]]*tbl_Bonds[[#This Row],[𝛿P/𝛿VNA]]</f>
        <v>18.351829915951964</v>
      </c>
      <c r="X294" s="18">
        <f>+tbl_Bonds[[#This Row],[Quantidade]]*tbl_Bonds[[#This Row],[𝛿P/𝛿r_real]]</f>
        <v>-425.40244565999166</v>
      </c>
      <c r="Y294" s="18">
        <f>tbl_Bonds[[#This Row],[Quantidade]]*tbl_Bonds[[#This Row],[𝛿P/𝛿r_pre]]</f>
        <v>-401.75576048480792</v>
      </c>
      <c r="Z294" s="18">
        <f>tbl_Bonds[[#This Row],[Quantidade]]*tbl_Bonds[[#This Row],[𝛿P/𝛿r_implicita]]</f>
        <v>425.38352807500263</v>
      </c>
      <c r="AA294" s="18">
        <f>tbl_Bonds[[#This Row],[Quantidade]]*tbl_Bonds[[#This Row],[𝛿P/𝛿du]]</f>
        <v>41.617025806071275</v>
      </c>
    </row>
    <row r="295" spans="1:27">
      <c r="A295" s="2" t="s">
        <v>88</v>
      </c>
      <c r="B295" s="3">
        <v>56751</v>
      </c>
      <c r="C295" s="3">
        <v>54014</v>
      </c>
      <c r="D295" s="4">
        <f>NETWORKDAYS(Dashboard!$C$10,bonds!C295,feriados)-1</f>
        <v>6316</v>
      </c>
      <c r="E295" s="2">
        <f>IF(tbl_Bonds[[#This Row],[Coupon]]&lt;tbl_Bonds[[#This Row],[Maturity]],SQRT(1.06)-1,SQRT(1.06))</f>
        <v>2.9563014098699991E-2</v>
      </c>
      <c r="F295" s="5" cm="1">
        <f t="array" ref="F295">Svensson(betas_pre,tbl_Bonds[[#This Row],[DU]])</f>
        <v>0.12115685903741628</v>
      </c>
      <c r="G295" s="49">
        <f>IF(curve_type="Simulada",_xlfn.XLOOKUP(tbl_Bonds[[#This Row],[Coupon]],Simulador!$B$5:$B$147,Simulador!$H$5:$H$147),0)</f>
        <v>0</v>
      </c>
      <c r="H295" s="5" cm="1">
        <f t="array" ref="H29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0.12115685903741628</v>
      </c>
      <c r="I295" s="5" cm="1">
        <f t="array" ref="I295">Interpola_FF(tbl_Bonds[[#This Row],[DU]],dus_svensson,svensson_implicita)</f>
        <v>5.8887956867165414E-2</v>
      </c>
      <c r="J295" s="49">
        <f>IF(curve_type="Simulada",_xlfn.XLOOKUP(tbl_Bonds[[#This Row],[Coupon]],Simulador!$B$5:$B$147,Simulador!$N$5:$N$147),0)</f>
        <v>0</v>
      </c>
      <c r="K295" s="5" cm="1">
        <f t="array" ref="K29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5.8887956867165414E-2</v>
      </c>
      <c r="L295" s="5" cm="1">
        <f t="array" ref="L295">Interpola_FF(tbl_Bonds[[#This Row],[DU]],dus_svensson,svensson_real_spot)</f>
        <v>5.88059404263781E-2</v>
      </c>
      <c r="M295" s="49">
        <f>IF(curve_type="Simulada",_xlfn.XLOOKUP(tbl_Bonds[[#This Row],[Coupon]],Simulador!$B$5:$B$147,Simulador!$K$5:$K$147),0)</f>
        <v>0</v>
      </c>
      <c r="N295" s="5" cm="1">
        <f t="array" ref="N29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5.88059404263781E-2</v>
      </c>
      <c r="O295" s="6">
        <f>IF(curve_type="Mercado",tbl_Bonds[[#This Row],[FC]]/(1+tbl_Bonds[[#This Row],[Real Mercado]])^(tbl_Bonds[[#This Row],[DU]]/252),tbl_Bonds[[#This Row],[FC]]/(1+tbl_Bonds[[#This Row],[Real Simulada]])^(tbl_Bonds[[#This Row],[DU]]/252))</f>
        <v>7.05933573363069E-3</v>
      </c>
      <c r="P295" s="7">
        <f>tbl_Bonds[[#This Row],[Cotação]]*VNA</f>
        <v>27.921820983390848</v>
      </c>
      <c r="Q295" s="18">
        <f>tbl_Bonds[[#This Row],[Cotação]]%%*VNA</f>
        <v>2.792182098339085E-3</v>
      </c>
      <c r="R29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-6.6095052161649931E-2</v>
      </c>
      <c r="S29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-6.241930663204754E-2</v>
      </c>
      <c r="T29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6.6089932662874565E-2</v>
      </c>
      <c r="U295" s="18">
        <f>IF(curve_type="Mercado",tbl_Bonds[[#This Row],[VP Cupom]]*LN(1+tbl_Bonds[[#This Row],[Real Mercado]])/252,tbl_Bonds[[#This Row],[VP Cupom]]*LN(1+tbl_Bonds[[#This Row],[Real Simulada]])/252)</f>
        <v>6.3313617572613029E-3</v>
      </c>
      <c r="V295" s="18">
        <f>SUMIF(Dashboard!$B$28:$B$42,tbl_Bonds[[#This Row],[Bond]],Dashboard!$C$28:$C$42)</f>
        <v>6381</v>
      </c>
      <c r="W295" s="18">
        <f>tbl_Bonds[[#This Row],[Quantidade]]*tbl_Bonds[[#This Row],[𝛿P/𝛿VNA]]</f>
        <v>17.816913969501702</v>
      </c>
      <c r="X295" s="18">
        <f>+tbl_Bonds[[#This Row],[Quantidade]]*tbl_Bonds[[#This Row],[𝛿P/𝛿r_real]]</f>
        <v>-421.75252784348822</v>
      </c>
      <c r="Y295" s="18">
        <f>tbl_Bonds[[#This Row],[Quantidade]]*tbl_Bonds[[#This Row],[𝛿P/𝛿r_pre]]</f>
        <v>-398.29759561909538</v>
      </c>
      <c r="Z295" s="18">
        <f>tbl_Bonds[[#This Row],[Quantidade]]*tbl_Bonds[[#This Row],[𝛿P/𝛿r_implicita]]</f>
        <v>421.71986032180257</v>
      </c>
      <c r="AA295" s="18">
        <f>tbl_Bonds[[#This Row],[Quantidade]]*tbl_Bonds[[#This Row],[𝛿P/𝛿du]]</f>
        <v>40.400419373084375</v>
      </c>
    </row>
    <row r="296" spans="1:27">
      <c r="A296" s="2" t="s">
        <v>88</v>
      </c>
      <c r="B296" s="3">
        <v>56751</v>
      </c>
      <c r="C296" s="3">
        <v>54193</v>
      </c>
      <c r="D296" s="4">
        <f>NETWORKDAYS(Dashboard!$C$10,bonds!C296,feriados)-1</f>
        <v>6438</v>
      </c>
      <c r="E296" s="2">
        <f>IF(tbl_Bonds[[#This Row],[Coupon]]&lt;tbl_Bonds[[#This Row],[Maturity]],SQRT(1.06)-1,SQRT(1.06))</f>
        <v>2.9563014098699991E-2</v>
      </c>
      <c r="F296" s="5" cm="1">
        <f t="array" ref="F296">Svensson(betas_pre,tbl_Bonds[[#This Row],[DU]])</f>
        <v>0.12117984554722082</v>
      </c>
      <c r="G296" s="49">
        <f>IF(curve_type="Simulada",_xlfn.XLOOKUP(tbl_Bonds[[#This Row],[Coupon]],Simulador!$B$5:$B$147,Simulador!$H$5:$H$147),0)</f>
        <v>0</v>
      </c>
      <c r="H296" s="5" cm="1">
        <f t="array" ref="H29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0.12117984554722082</v>
      </c>
      <c r="I296" s="5" cm="1">
        <f t="array" ref="I296">Interpola_FF(tbl_Bonds[[#This Row],[DU]],dus_svensson,svensson_implicita)</f>
        <v>5.8914710998978048E-2</v>
      </c>
      <c r="J296" s="49">
        <f>IF(curve_type="Simulada",_xlfn.XLOOKUP(tbl_Bonds[[#This Row],[Coupon]],Simulador!$B$5:$B$147,Simulador!$N$5:$N$147),0)</f>
        <v>0</v>
      </c>
      <c r="K296" s="5" cm="1">
        <f t="array" ref="K29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5.8914710998978048E-2</v>
      </c>
      <c r="L296" s="5" cm="1">
        <f t="array" ref="L296">Interpola_FF(tbl_Bonds[[#This Row],[DU]],dus_svensson,svensson_real_spot)</f>
        <v>5.8800896670873293E-2</v>
      </c>
      <c r="M296" s="49">
        <f>IF(curve_type="Simulada",_xlfn.XLOOKUP(tbl_Bonds[[#This Row],[Coupon]],Simulador!$B$5:$B$147,Simulador!$K$5:$K$147),0)</f>
        <v>0</v>
      </c>
      <c r="N296" s="5" cm="1">
        <f t="array" ref="N29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5.8800896670873293E-2</v>
      </c>
      <c r="O296" s="6">
        <f>IF(curve_type="Mercado",tbl_Bonds[[#This Row],[FC]]/(1+tbl_Bonds[[#This Row],[Real Mercado]])^(tbl_Bonds[[#This Row],[DU]]/252),tbl_Bonds[[#This Row],[FC]]/(1+tbl_Bonds[[#This Row],[Real Simulada]])^(tbl_Bonds[[#This Row],[DU]]/252))</f>
        <v>6.8675592719286381E-3</v>
      </c>
      <c r="P296" s="7">
        <f>tbl_Bonds[[#This Row],[Cotação]]*VNA</f>
        <v>27.163286719754289</v>
      </c>
      <c r="Q296" s="18">
        <f>tbl_Bonds[[#This Row],[Cotação]]%%*VNA</f>
        <v>2.7163286719754289E-3</v>
      </c>
      <c r="R29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-6.5541812760029017E-2</v>
      </c>
      <c r="S29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-6.1895270706600163E-2</v>
      </c>
      <c r="T29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6.553476812637872E-2</v>
      </c>
      <c r="U296" s="18">
        <f>IF(curve_type="Mercado",tbl_Bonds[[#This Row],[VP Cupom]]*LN(1+tbl_Bonds[[#This Row],[Real Mercado]])/252,tbl_Bonds[[#This Row],[VP Cupom]]*LN(1+tbl_Bonds[[#This Row],[Real Simulada]])/252)</f>
        <v>6.1588482228931568E-3</v>
      </c>
      <c r="V296" s="18">
        <f>SUMIF(Dashboard!$B$28:$B$42,tbl_Bonds[[#This Row],[Bond]],Dashboard!$C$28:$C$42)</f>
        <v>6381</v>
      </c>
      <c r="W296" s="18">
        <f>tbl_Bonds[[#This Row],[Quantidade]]*tbl_Bonds[[#This Row],[𝛿P/𝛿VNA]]</f>
        <v>17.332893255875213</v>
      </c>
      <c r="X296" s="18">
        <f>+tbl_Bonds[[#This Row],[Quantidade]]*tbl_Bonds[[#This Row],[𝛿P/𝛿r_real]]</f>
        <v>-418.22230722174515</v>
      </c>
      <c r="Y296" s="18">
        <f>tbl_Bonds[[#This Row],[Quantidade]]*tbl_Bonds[[#This Row],[𝛿P/𝛿r_pre]]</f>
        <v>-394.95372237881566</v>
      </c>
      <c r="Z296" s="18">
        <f>tbl_Bonds[[#This Row],[Quantidade]]*tbl_Bonds[[#This Row],[𝛿P/𝛿r_implicita]]</f>
        <v>418.17735541442261</v>
      </c>
      <c r="AA296" s="18">
        <f>tbl_Bonds[[#This Row],[Quantidade]]*tbl_Bonds[[#This Row],[𝛿P/𝛿du]]</f>
        <v>39.299610510281234</v>
      </c>
    </row>
    <row r="297" spans="1:27">
      <c r="A297" s="2" t="s">
        <v>88</v>
      </c>
      <c r="B297" s="3">
        <v>56751</v>
      </c>
      <c r="C297" s="3">
        <v>54378</v>
      </c>
      <c r="D297" s="4">
        <f>NETWORKDAYS(Dashboard!$C$10,bonds!C297,feriados)-1</f>
        <v>6565</v>
      </c>
      <c r="E297" s="2">
        <f>IF(tbl_Bonds[[#This Row],[Coupon]]&lt;tbl_Bonds[[#This Row],[Maturity]],SQRT(1.06)-1,SQRT(1.06))</f>
        <v>2.9563014098699991E-2</v>
      </c>
      <c r="F297" s="5" cm="1">
        <f t="array" ref="F297">Svensson(betas_pre,tbl_Bonds[[#This Row],[DU]])</f>
        <v>0.12120286602459891</v>
      </c>
      <c r="G297" s="49">
        <f>IF(curve_type="Simulada",_xlfn.XLOOKUP(tbl_Bonds[[#This Row],[Coupon]],Simulador!$B$5:$B$147,Simulador!$H$5:$H$147),0)</f>
        <v>0</v>
      </c>
      <c r="H297" s="5" cm="1">
        <f t="array" ref="H29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0.12120286602459891</v>
      </c>
      <c r="I297" s="5" cm="1">
        <f t="array" ref="I297">Interpola_FF(tbl_Bonds[[#This Row],[DU]],dus_svensson,svensson_implicita)</f>
        <v>5.8941755679680075E-2</v>
      </c>
      <c r="J297" s="49">
        <f>IF(curve_type="Simulada",_xlfn.XLOOKUP(tbl_Bonds[[#This Row],[Coupon]],Simulador!$B$5:$B$147,Simulador!$N$5:$N$147),0)</f>
        <v>0</v>
      </c>
      <c r="K297" s="5" cm="1">
        <f t="array" ref="K29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5.8941755679680075E-2</v>
      </c>
      <c r="L297" s="5" cm="1">
        <f t="array" ref="L297">Interpola_FF(tbl_Bonds[[#This Row],[DU]],dus_svensson,svensson_real_spot)</f>
        <v>5.8795594722495181E-2</v>
      </c>
      <c r="M297" s="49">
        <f>IF(curve_type="Simulada",_xlfn.XLOOKUP(tbl_Bonds[[#This Row],[Coupon]],Simulador!$B$5:$B$147,Simulador!$K$5:$K$147),0)</f>
        <v>0</v>
      </c>
      <c r="N297" s="5" cm="1">
        <f t="array" ref="N29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5.8795594722495181E-2</v>
      </c>
      <c r="O297" s="6">
        <f>IF(curve_type="Mercado",tbl_Bonds[[#This Row],[FC]]/(1+tbl_Bonds[[#This Row],[Real Mercado]])^(tbl_Bonds[[#This Row],[DU]]/252),tbl_Bonds[[#This Row],[FC]]/(1+tbl_Bonds[[#This Row],[Real Simulada]])^(tbl_Bonds[[#This Row],[DU]]/252))</f>
        <v>6.6734967308174397E-3</v>
      </c>
      <c r="P297" s="7">
        <f>tbl_Bonds[[#This Row],[Cotação]]*VNA</f>
        <v>26.395710316400262</v>
      </c>
      <c r="Q297" s="18">
        <f>tbl_Bonds[[#This Row],[Cotação]]%%*VNA</f>
        <v>2.6395710316400264E-3</v>
      </c>
      <c r="R29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-6.4946450015721829E-2</v>
      </c>
      <c r="S29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-6.1331465682232744E-2</v>
      </c>
      <c r="T29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6.4937485684726806E-2</v>
      </c>
      <c r="U297" s="18">
        <f>IF(curve_type="Mercado",tbl_Bonds[[#This Row],[VP Cupom]]*LN(1+tbl_Bonds[[#This Row],[Real Mercado]])/252,tbl_Bonds[[#This Row],[VP Cupom]]*LN(1+tbl_Bonds[[#This Row],[Real Simulada]])/252)</f>
        <v>5.9842878290962635E-3</v>
      </c>
      <c r="V297" s="18">
        <f>SUMIF(Dashboard!$B$28:$B$42,tbl_Bonds[[#This Row],[Bond]],Dashboard!$C$28:$C$42)</f>
        <v>6381</v>
      </c>
      <c r="W297" s="18">
        <f>tbl_Bonds[[#This Row],[Quantidade]]*tbl_Bonds[[#This Row],[𝛿P/𝛿VNA]]</f>
        <v>16.843102752895007</v>
      </c>
      <c r="X297" s="18">
        <f>+tbl_Bonds[[#This Row],[Quantidade]]*tbl_Bonds[[#This Row],[𝛿P/𝛿r_real]]</f>
        <v>-414.42329755032097</v>
      </c>
      <c r="Y297" s="18">
        <f>tbl_Bonds[[#This Row],[Quantidade]]*tbl_Bonds[[#This Row],[𝛿P/𝛿r_pre]]</f>
        <v>-391.35608251832713</v>
      </c>
      <c r="Z297" s="18">
        <f>tbl_Bonds[[#This Row],[Quantidade]]*tbl_Bonds[[#This Row],[𝛿P/𝛿r_implicita]]</f>
        <v>414.36609615424175</v>
      </c>
      <c r="AA297" s="18">
        <f>tbl_Bonds[[#This Row],[Quantidade]]*tbl_Bonds[[#This Row],[𝛿P/𝛿du]]</f>
        <v>38.185740637463255</v>
      </c>
    </row>
    <row r="298" spans="1:27">
      <c r="A298" s="2" t="s">
        <v>88</v>
      </c>
      <c r="B298" s="3">
        <v>56751</v>
      </c>
      <c r="C298" s="3">
        <v>54560</v>
      </c>
      <c r="D298" s="4">
        <f>NETWORKDAYS(Dashboard!$C$10,bonds!C298,feriados)-1</f>
        <v>6689</v>
      </c>
      <c r="E298" s="2">
        <f>IF(tbl_Bonds[[#This Row],[Coupon]]&lt;tbl_Bonds[[#This Row],[Maturity]],SQRT(1.06)-1,SQRT(1.06))</f>
        <v>2.9563014098699991E-2</v>
      </c>
      <c r="F298" s="5" cm="1">
        <f t="array" ref="F298">Svensson(betas_pre,tbl_Bonds[[#This Row],[DU]])</f>
        <v>0.1212244988063953</v>
      </c>
      <c r="G298" s="49">
        <f>IF(curve_type="Simulada",_xlfn.XLOOKUP(tbl_Bonds[[#This Row],[Coupon]],Simulador!$B$5:$B$147,Simulador!$H$5:$H$147),0)</f>
        <v>0</v>
      </c>
      <c r="H298" s="5" cm="1">
        <f t="array" ref="H29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0.1212244988063953</v>
      </c>
      <c r="I298" s="5" cm="1">
        <f t="array" ref="I298">Interpola_FF(tbl_Bonds[[#This Row],[DU]],dus_svensson,svensson_implicita)</f>
        <v>5.8967376894799139E-2</v>
      </c>
      <c r="J298" s="49">
        <f>IF(curve_type="Simulada",_xlfn.XLOOKUP(tbl_Bonds[[#This Row],[Coupon]],Simulador!$B$5:$B$147,Simulador!$N$5:$N$147),0)</f>
        <v>0</v>
      </c>
      <c r="K298" s="5" cm="1">
        <f t="array" ref="K29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5.8967376894799139E-2</v>
      </c>
      <c r="L298" s="5" cm="1">
        <f t="array" ref="L298">Interpola_FF(tbl_Bonds[[#This Row],[DU]],dus_svensson,svensson_real_spot)</f>
        <v>5.8790405857079397E-2</v>
      </c>
      <c r="M298" s="49">
        <f>IF(curve_type="Simulada",_xlfn.XLOOKUP(tbl_Bonds[[#This Row],[Coupon]],Simulador!$B$5:$B$147,Simulador!$K$5:$K$147),0)</f>
        <v>0</v>
      </c>
      <c r="N298" s="5" cm="1">
        <f t="array" ref="N29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5.8790405857079397E-2</v>
      </c>
      <c r="O298" s="6">
        <f>IF(curve_type="Mercado",tbl_Bonds[[#This Row],[FC]]/(1+tbl_Bonds[[#This Row],[Real Mercado]])^(tbl_Bonds[[#This Row],[DU]]/252),tbl_Bonds[[#This Row],[FC]]/(1+tbl_Bonds[[#This Row],[Real Simulada]])^(tbl_Bonds[[#This Row],[DU]]/252))</f>
        <v>6.4893441292575042E-3</v>
      </c>
      <c r="P298" s="7">
        <f>tbl_Bonds[[#This Row],[Cotação]]*VNA</f>
        <v>25.667330739567515</v>
      </c>
      <c r="Q298" s="18">
        <f>tbl_Bonds[[#This Row],[Cotação]]%%*VNA</f>
        <v>2.5667330739567512E-3</v>
      </c>
      <c r="R29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-6.4347453489126571E-2</v>
      </c>
      <c r="S29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-6.0764339712906651E-2</v>
      </c>
      <c r="T29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6.4336699908248085E-2</v>
      </c>
      <c r="U298" s="18">
        <f>IF(curve_type="Mercado",tbl_Bonds[[#This Row],[VP Cupom]]*LN(1+tbl_Bonds[[#This Row],[Real Mercado]])/252,tbl_Bonds[[#This Row],[VP Cupom]]*LN(1+tbl_Bonds[[#This Row],[Real Simulada]])/252)</f>
        <v>5.8186545227903079E-3</v>
      </c>
      <c r="V298" s="18">
        <f>SUMIF(Dashboard!$B$28:$B$42,tbl_Bonds[[#This Row],[Bond]],Dashboard!$C$28:$C$42)</f>
        <v>6381</v>
      </c>
      <c r="W298" s="18">
        <f>tbl_Bonds[[#This Row],[Quantidade]]*tbl_Bonds[[#This Row],[𝛿P/𝛿VNA]]</f>
        <v>16.378323744918028</v>
      </c>
      <c r="X298" s="18">
        <f>+tbl_Bonds[[#This Row],[Quantidade]]*tbl_Bonds[[#This Row],[𝛿P/𝛿r_real]]</f>
        <v>-410.60110071411663</v>
      </c>
      <c r="Y298" s="18">
        <f>tbl_Bonds[[#This Row],[Quantidade]]*tbl_Bonds[[#This Row],[𝛿P/𝛿r_pre]]</f>
        <v>-387.73725170805733</v>
      </c>
      <c r="Z298" s="18">
        <f>tbl_Bonds[[#This Row],[Quantidade]]*tbl_Bonds[[#This Row],[𝛿P/𝛿r_implicita]]</f>
        <v>410.53248211453104</v>
      </c>
      <c r="AA298" s="18">
        <f>tbl_Bonds[[#This Row],[Quantidade]]*tbl_Bonds[[#This Row],[𝛿P/𝛿du]]</f>
        <v>37.128834509924957</v>
      </c>
    </row>
    <row r="299" spans="1:27">
      <c r="A299" s="2" t="s">
        <v>88</v>
      </c>
      <c r="B299" s="3">
        <v>56751</v>
      </c>
      <c r="C299" s="3">
        <v>54743</v>
      </c>
      <c r="D299" s="4">
        <f>NETWORKDAYS(Dashboard!$C$10,bonds!C299,feriados)-1</f>
        <v>6815</v>
      </c>
      <c r="E299" s="2">
        <f>IF(tbl_Bonds[[#This Row],[Coupon]]&lt;tbl_Bonds[[#This Row],[Maturity]],SQRT(1.06)-1,SQRT(1.06))</f>
        <v>2.9563014098699991E-2</v>
      </c>
      <c r="F299" s="5" cm="1">
        <f t="array" ref="F299">Svensson(betas_pre,tbl_Bonds[[#This Row],[DU]])</f>
        <v>0.12124567367891287</v>
      </c>
      <c r="G299" s="49">
        <f>IF(curve_type="Simulada",_xlfn.XLOOKUP(tbl_Bonds[[#This Row],[Coupon]],Simulador!$B$5:$B$147,Simulador!$H$5:$H$147),0)</f>
        <v>0</v>
      </c>
      <c r="H299" s="5" cm="1">
        <f t="array" ref="H29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0.12124567367891287</v>
      </c>
      <c r="I299" s="5" cm="1">
        <f t="array" ref="I299">Interpola_FF(tbl_Bonds[[#This Row],[DU]],dus_svensson,svensson_implicita)</f>
        <v>5.8992638071407866E-2</v>
      </c>
      <c r="J299" s="49">
        <f>IF(curve_type="Simulada",_xlfn.XLOOKUP(tbl_Bonds[[#This Row],[Coupon]],Simulador!$B$5:$B$147,Simulador!$N$5:$N$147),0)</f>
        <v>0</v>
      </c>
      <c r="K299" s="5" cm="1">
        <f t="array" ref="K29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5.8992638071407866E-2</v>
      </c>
      <c r="L299" s="5" cm="1">
        <f t="array" ref="L299">Interpola_FF(tbl_Bonds[[#This Row],[DU]],dus_svensson,svensson_real_spot)</f>
        <v>5.8785144804037959E-2</v>
      </c>
      <c r="M299" s="49">
        <f>IF(curve_type="Simulada",_xlfn.XLOOKUP(tbl_Bonds[[#This Row],[Coupon]],Simulador!$B$5:$B$147,Simulador!$K$5:$K$147),0)</f>
        <v>0</v>
      </c>
      <c r="N299" s="5" cm="1">
        <f t="array" ref="N29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5.8785144804037959E-2</v>
      </c>
      <c r="O299" s="6">
        <f>IF(curve_type="Mercado",tbl_Bonds[[#This Row],[FC]]/(1+tbl_Bonds[[#This Row],[Real Mercado]])^(tbl_Bonds[[#This Row],[DU]]/252),tbl_Bonds[[#This Row],[FC]]/(1+tbl_Bonds[[#This Row],[Real Simulada]])^(tbl_Bonds[[#This Row],[DU]]/252))</f>
        <v>6.3074550825254014E-3</v>
      </c>
      <c r="P299" s="7">
        <f>tbl_Bonds[[#This Row],[Cotação]]*VNA</f>
        <v>24.947904210878903</v>
      </c>
      <c r="Q299" s="18">
        <f>tbl_Bonds[[#This Row],[Cotação]]%%*VNA</f>
        <v>2.4947904210878905E-3</v>
      </c>
      <c r="R29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-6.3722315412475E-2</v>
      </c>
      <c r="S29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-6.0172576343321599E-2</v>
      </c>
      <c r="T29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6.3709829958717878E-2</v>
      </c>
      <c r="U299" s="18">
        <f>IF(curve_type="Mercado",tbl_Bonds[[#This Row],[VP Cupom]]*LN(1+tbl_Bonds[[#This Row],[Real Mercado]])/252,tbl_Bonds[[#This Row],[VP Cupom]]*LN(1+tbl_Bonds[[#This Row],[Real Simulada]])/252)</f>
        <v>5.655072231254922E-3</v>
      </c>
      <c r="V299" s="18">
        <f>SUMIF(Dashboard!$B$28:$B$42,tbl_Bonds[[#This Row],[Bond]],Dashboard!$C$28:$C$42)</f>
        <v>6381</v>
      </c>
      <c r="W299" s="18">
        <f>tbl_Bonds[[#This Row],[Quantidade]]*tbl_Bonds[[#This Row],[𝛿P/𝛿VNA]]</f>
        <v>15.919257676961829</v>
      </c>
      <c r="X299" s="18">
        <f>+tbl_Bonds[[#This Row],[Quantidade]]*tbl_Bonds[[#This Row],[𝛿P/𝛿r_real]]</f>
        <v>-406.61209464700295</v>
      </c>
      <c r="Y299" s="18">
        <f>tbl_Bonds[[#This Row],[Quantidade]]*tbl_Bonds[[#This Row],[𝛿P/𝛿r_pre]]</f>
        <v>-383.96120964673514</v>
      </c>
      <c r="Z299" s="18">
        <f>tbl_Bonds[[#This Row],[Quantidade]]*tbl_Bonds[[#This Row],[𝛿P/𝛿r_implicita]]</f>
        <v>406.53242496657879</v>
      </c>
      <c r="AA299" s="18">
        <f>tbl_Bonds[[#This Row],[Quantidade]]*tbl_Bonds[[#This Row],[𝛿P/𝛿du]]</f>
        <v>36.085015907637654</v>
      </c>
    </row>
    <row r="300" spans="1:27">
      <c r="A300" s="2" t="s">
        <v>88</v>
      </c>
      <c r="B300" s="3">
        <v>56751</v>
      </c>
      <c r="C300" s="3">
        <v>54924</v>
      </c>
      <c r="D300" s="4">
        <f>NETWORKDAYS(Dashboard!$C$10,bonds!C300,feriados)-1</f>
        <v>6940</v>
      </c>
      <c r="E300" s="2">
        <f>IF(tbl_Bonds[[#This Row],[Coupon]]&lt;tbl_Bonds[[#This Row],[Maturity]],SQRT(1.06)-1,SQRT(1.06))</f>
        <v>2.9563014098699991E-2</v>
      </c>
      <c r="F300" s="5" cm="1">
        <f t="array" ref="F300">Svensson(betas_pre,tbl_Bonds[[#This Row],[DU]])</f>
        <v>0.12126592032088651</v>
      </c>
      <c r="G300" s="49">
        <f>IF(curve_type="Simulada",_xlfn.XLOOKUP(tbl_Bonds[[#This Row],[Coupon]],Simulador!$B$5:$B$147,Simulador!$H$5:$H$147),0)</f>
        <v>0</v>
      </c>
      <c r="H300" s="5" cm="1">
        <f t="array" ref="H30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0.12126592032088651</v>
      </c>
      <c r="I300" s="5" cm="1">
        <f t="array" ref="I300">Interpola_FF(tbl_Bonds[[#This Row],[DU]],dus_svensson,svensson_implicita)</f>
        <v>5.9016945962957701E-2</v>
      </c>
      <c r="J300" s="49">
        <f>IF(curve_type="Simulada",_xlfn.XLOOKUP(tbl_Bonds[[#This Row],[Coupon]],Simulador!$B$5:$B$147,Simulador!$N$5:$N$147),0)</f>
        <v>0</v>
      </c>
      <c r="K300" s="5" cm="1">
        <f t="array" ref="K30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5.9016945962957701E-2</v>
      </c>
      <c r="L300" s="5" cm="1">
        <f t="array" ref="L300">Interpola_FF(tbl_Bonds[[#This Row],[DU]],dus_svensson,svensson_real_spot)</f>
        <v>5.8779960573704049E-2</v>
      </c>
      <c r="M300" s="49">
        <f>IF(curve_type="Simulada",_xlfn.XLOOKUP(tbl_Bonds[[#This Row],[Coupon]],Simulador!$B$5:$B$147,Simulador!$K$5:$K$147),0)</f>
        <v>0</v>
      </c>
      <c r="N300" s="5" cm="1">
        <f t="array" ref="N30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5.8779960573704049E-2</v>
      </c>
      <c r="O300" s="6">
        <f>IF(curve_type="Mercado",tbl_Bonds[[#This Row],[FC]]/(1+tbl_Bonds[[#This Row],[Real Mercado]])^(tbl_Bonds[[#This Row],[DU]]/252),tbl_Bonds[[#This Row],[FC]]/(1+tbl_Bonds[[#This Row],[Real Simulada]])^(tbl_Bonds[[#This Row],[DU]]/252))</f>
        <v>6.1320721092413787E-3</v>
      </c>
      <c r="P300" s="7">
        <f>tbl_Bonds[[#This Row],[Cotação]]*VNA</f>
        <v>24.254211182476539</v>
      </c>
      <c r="Q300" s="18">
        <f>tbl_Bonds[[#This Row],[Cotação]]%%*VNA</f>
        <v>2.4254211182476539E-3</v>
      </c>
      <c r="R30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-6.3087072015784007E-2</v>
      </c>
      <c r="S30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-5.9571352670390924E-2</v>
      </c>
      <c r="T30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6.3072954433216755E-2</v>
      </c>
      <c r="U300" s="18">
        <f>IF(curve_type="Mercado",tbl_Bonds[[#This Row],[VP Cupom]]*LN(1+tbl_Bonds[[#This Row],[Real Mercado]])/252,tbl_Bonds[[#This Row],[VP Cupom]]*LN(1+tbl_Bonds[[#This Row],[Real Simulada]])/252)</f>
        <v>5.4973579321275865E-3</v>
      </c>
      <c r="V300" s="18">
        <f>SUMIF(Dashboard!$B$28:$B$42,tbl_Bonds[[#This Row],[Bond]],Dashboard!$C$28:$C$42)</f>
        <v>6381</v>
      </c>
      <c r="W300" s="18">
        <f>tbl_Bonds[[#This Row],[Quantidade]]*tbl_Bonds[[#This Row],[𝛿P/𝛿VNA]]</f>
        <v>15.47661215553828</v>
      </c>
      <c r="X300" s="18">
        <f>+tbl_Bonds[[#This Row],[Quantidade]]*tbl_Bonds[[#This Row],[𝛿P/𝛿r_real]]</f>
        <v>-402.55860653271776</v>
      </c>
      <c r="Y300" s="18">
        <f>tbl_Bonds[[#This Row],[Quantidade]]*tbl_Bonds[[#This Row],[𝛿P/𝛿r_pre]]</f>
        <v>-380.12480138976451</v>
      </c>
      <c r="Z300" s="18">
        <f>tbl_Bonds[[#This Row],[Quantidade]]*tbl_Bonds[[#This Row],[𝛿P/𝛿r_implicita]]</f>
        <v>402.46852223835612</v>
      </c>
      <c r="AA300" s="18">
        <f>tbl_Bonds[[#This Row],[Quantidade]]*tbl_Bonds[[#This Row],[𝛿P/𝛿du]]</f>
        <v>35.078640964906128</v>
      </c>
    </row>
    <row r="301" spans="1:27">
      <c r="A301" s="2" t="s">
        <v>88</v>
      </c>
      <c r="B301" s="3">
        <v>56751</v>
      </c>
      <c r="C301" s="3">
        <v>55108</v>
      </c>
      <c r="D301" s="4">
        <f>NETWORKDAYS(Dashboard!$C$10,bonds!C301,feriados)-1</f>
        <v>7067</v>
      </c>
      <c r="E301" s="2">
        <f>IF(tbl_Bonds[[#This Row],[Coupon]]&lt;tbl_Bonds[[#This Row],[Maturity]],SQRT(1.06)-1,SQRT(1.06))</f>
        <v>2.9563014098699991E-2</v>
      </c>
      <c r="F301" s="5" cm="1">
        <f t="array" ref="F301">Svensson(betas_pre,tbl_Bonds[[#This Row],[DU]])</f>
        <v>0.12128575699122889</v>
      </c>
      <c r="G301" s="49">
        <f>IF(curve_type="Simulada",_xlfn.XLOOKUP(tbl_Bonds[[#This Row],[Coupon]],Simulador!$B$5:$B$147,Simulador!$H$5:$H$147),0)</f>
        <v>0</v>
      </c>
      <c r="H301" s="5" cm="1">
        <f t="array" ref="H30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0.12128575699122889</v>
      </c>
      <c r="I301" s="5" cm="1">
        <f t="array" ref="I301">Interpola_FF(tbl_Bonds[[#This Row],[DU]],dus_svensson,svensson_implicita)</f>
        <v>5.9040897327267139E-2</v>
      </c>
      <c r="J301" s="49">
        <f>IF(curve_type="Simulada",_xlfn.XLOOKUP(tbl_Bonds[[#This Row],[Coupon]],Simulador!$B$5:$B$147,Simulador!$N$5:$N$147),0)</f>
        <v>0</v>
      </c>
      <c r="K301" s="5" cm="1">
        <f t="array" ref="K30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5.9040897327267139E-2</v>
      </c>
      <c r="L301" s="5" cm="1">
        <f t="array" ref="L301">Interpola_FF(tbl_Bonds[[#This Row],[DU]],dus_svensson,svensson_real_spot)</f>
        <v>5.8774745898205305E-2</v>
      </c>
      <c r="M301" s="49">
        <f>IF(curve_type="Simulada",_xlfn.XLOOKUP(tbl_Bonds[[#This Row],[Coupon]],Simulador!$B$5:$B$147,Simulador!$K$5:$K$147),0)</f>
        <v>0</v>
      </c>
      <c r="N301" s="5" cm="1">
        <f t="array" ref="N30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5.8774745898205305E-2</v>
      </c>
      <c r="O301" s="6">
        <f>IF(curve_type="Mercado",tbl_Bonds[[#This Row],[FC]]/(1+tbl_Bonds[[#This Row],[Real Mercado]])^(tbl_Bonds[[#This Row],[DU]]/252),tbl_Bonds[[#This Row],[FC]]/(1+tbl_Bonds[[#This Row],[Real Simulada]])^(tbl_Bonds[[#This Row],[DU]]/252))</f>
        <v>5.9588979275975781E-3</v>
      </c>
      <c r="P301" s="7">
        <f>tbl_Bonds[[#This Row],[Cotação]]*VNA</f>
        <v>23.56925459714687</v>
      </c>
      <c r="Q301" s="18">
        <f>tbl_Bonds[[#This Row],[Cotação]]%%*VNA</f>
        <v>2.3569254597146866E-3</v>
      </c>
      <c r="R30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-6.2427626645770368E-2</v>
      </c>
      <c r="S30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-5.8947323713803762E-2</v>
      </c>
      <c r="T30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6.2411937688006097E-2</v>
      </c>
      <c r="U301" s="18">
        <f>IF(curve_type="Mercado",tbl_Bonds[[#This Row],[VP Cupom]]*LN(1+tbl_Bonds[[#This Row],[Real Mercado]])/252,tbl_Bonds[[#This Row],[VP Cupom]]*LN(1+tbl_Bonds[[#This Row],[Real Simulada]])/252)</f>
        <v>5.3416478943477657E-3</v>
      </c>
      <c r="V301" s="18">
        <f>SUMIF(Dashboard!$B$28:$B$42,tbl_Bonds[[#This Row],[Bond]],Dashboard!$C$28:$C$42)</f>
        <v>6381</v>
      </c>
      <c r="W301" s="18">
        <f>tbl_Bonds[[#This Row],[Quantidade]]*tbl_Bonds[[#This Row],[𝛿P/𝛿VNA]]</f>
        <v>15.039541358439415</v>
      </c>
      <c r="X301" s="18">
        <f>+tbl_Bonds[[#This Row],[Quantidade]]*tbl_Bonds[[#This Row],[𝛿P/𝛿r_real]]</f>
        <v>-398.35068562666072</v>
      </c>
      <c r="Y301" s="18">
        <f>tbl_Bonds[[#This Row],[Quantidade]]*tbl_Bonds[[#This Row],[𝛿P/𝛿r_pre]]</f>
        <v>-376.14287261778179</v>
      </c>
      <c r="Z301" s="18">
        <f>tbl_Bonds[[#This Row],[Quantidade]]*tbl_Bonds[[#This Row],[𝛿P/𝛿r_implicita]]</f>
        <v>398.25057438716692</v>
      </c>
      <c r="AA301" s="18">
        <f>tbl_Bonds[[#This Row],[Quantidade]]*tbl_Bonds[[#This Row],[𝛿P/𝛿du]]</f>
        <v>34.085055213833094</v>
      </c>
    </row>
    <row r="302" spans="1:27">
      <c r="A302" s="2" t="s">
        <v>88</v>
      </c>
      <c r="B302" s="3">
        <v>56751</v>
      </c>
      <c r="C302" s="3">
        <v>55288</v>
      </c>
      <c r="D302" s="4">
        <f>NETWORKDAYS(Dashboard!$C$10,bonds!C302,feriados)-1</f>
        <v>7190</v>
      </c>
      <c r="E302" s="2">
        <f>IF(tbl_Bonds[[#This Row],[Coupon]]&lt;tbl_Bonds[[#This Row],[Maturity]],SQRT(1.06)-1,SQRT(1.06))</f>
        <v>2.9563014098699991E-2</v>
      </c>
      <c r="F302" s="5" cm="1">
        <f t="array" ref="F302">Svensson(betas_pre,tbl_Bonds[[#This Row],[DU]])</f>
        <v>0.12130430052127988</v>
      </c>
      <c r="G302" s="49">
        <f>IF(curve_type="Simulada",_xlfn.XLOOKUP(tbl_Bonds[[#This Row],[Coupon]],Simulador!$B$5:$B$147,Simulador!$H$5:$H$147),0)</f>
        <v>0</v>
      </c>
      <c r="H302" s="5" cm="1">
        <f t="array" ref="H30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0.12130430052127988</v>
      </c>
      <c r="I302" s="5" cm="1">
        <f t="array" ref="I302">Interpola_FF(tbl_Bonds[[#This Row],[DU]],dus_svensson,svensson_implicita)</f>
        <v>5.9063396879898145E-2</v>
      </c>
      <c r="J302" s="49">
        <f>IF(curve_type="Simulada",_xlfn.XLOOKUP(tbl_Bonds[[#This Row],[Coupon]],Simulador!$B$5:$B$147,Simulador!$N$5:$N$147),0)</f>
        <v>0</v>
      </c>
      <c r="K302" s="5" cm="1">
        <f t="array" ref="K30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5.9063396879898145E-2</v>
      </c>
      <c r="L302" s="5" cm="1">
        <f t="array" ref="L302">Interpola_FF(tbl_Bonds[[#This Row],[DU]],dus_svensson,svensson_real_spot)</f>
        <v>5.8769761853198155E-2</v>
      </c>
      <c r="M302" s="49">
        <f>IF(curve_type="Simulada",_xlfn.XLOOKUP(tbl_Bonds[[#This Row],[Coupon]],Simulador!$B$5:$B$147,Simulador!$K$5:$K$147),0)</f>
        <v>0</v>
      </c>
      <c r="N302" s="5" cm="1">
        <f t="array" ref="N30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5.8769761853198155E-2</v>
      </c>
      <c r="O302" s="6">
        <f>IF(curve_type="Mercado",tbl_Bonds[[#This Row],[FC]]/(1+tbl_Bonds[[#This Row],[Real Mercado]])^(tbl_Bonds[[#This Row],[DU]]/252),tbl_Bonds[[#This Row],[FC]]/(1+tbl_Bonds[[#This Row],[Real Simulada]])^(tbl_Bonds[[#This Row],[DU]]/252))</f>
        <v>5.7958584456290485E-3</v>
      </c>
      <c r="P302" s="7">
        <f>tbl_Bonds[[#This Row],[Cotação]]*VNA</f>
        <v>22.924383833023466</v>
      </c>
      <c r="Q302" s="18">
        <f>tbl_Bonds[[#This Row],[Cotação]]%%*VNA</f>
        <v>2.2924383833023468E-3</v>
      </c>
      <c r="R30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-6.1776669586147415E-2</v>
      </c>
      <c r="S30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-5.8331417870476888E-2</v>
      </c>
      <c r="T30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6.1759541408347857E-2</v>
      </c>
      <c r="U302" s="18">
        <f>IF(curve_type="Mercado",tbl_Bonds[[#This Row],[VP Cupom]]*LN(1+tbl_Bonds[[#This Row],[Real Mercado]])/252,tbl_Bonds[[#This Row],[VP Cupom]]*LN(1+tbl_Bonds[[#This Row],[Real Simulada]])/252)</f>
        <v>5.1950685617652686E-3</v>
      </c>
      <c r="V302" s="18">
        <f>SUMIF(Dashboard!$B$28:$B$42,tbl_Bonds[[#This Row],[Bond]],Dashboard!$C$28:$C$42)</f>
        <v>6381</v>
      </c>
      <c r="W302" s="18">
        <f>tbl_Bonds[[#This Row],[Quantidade]]*tbl_Bonds[[#This Row],[𝛿P/𝛿VNA]]</f>
        <v>14.628049323852276</v>
      </c>
      <c r="X302" s="18">
        <f>+tbl_Bonds[[#This Row],[Quantidade]]*tbl_Bonds[[#This Row],[𝛿P/𝛿r_real]]</f>
        <v>-394.19692862920664</v>
      </c>
      <c r="Y302" s="18">
        <f>tbl_Bonds[[#This Row],[Quantidade]]*tbl_Bonds[[#This Row],[𝛿P/𝛿r_pre]]</f>
        <v>-372.21277743151302</v>
      </c>
      <c r="Z302" s="18">
        <f>tbl_Bonds[[#This Row],[Quantidade]]*tbl_Bonds[[#This Row],[𝛿P/𝛿r_implicita]]</f>
        <v>394.08763372666766</v>
      </c>
      <c r="AA302" s="18">
        <f>tbl_Bonds[[#This Row],[Quantidade]]*tbl_Bonds[[#This Row],[𝛿P/𝛿du]]</f>
        <v>33.149732492624182</v>
      </c>
    </row>
    <row r="303" spans="1:27">
      <c r="A303" s="2" t="s">
        <v>88</v>
      </c>
      <c r="B303" s="3">
        <v>56751</v>
      </c>
      <c r="C303" s="3">
        <v>55473</v>
      </c>
      <c r="D303" s="4">
        <f>NETWORKDAYS(Dashboard!$C$10,bonds!C303,feriados)-1</f>
        <v>7318</v>
      </c>
      <c r="E303" s="2">
        <f>IF(tbl_Bonds[[#This Row],[Coupon]]&lt;tbl_Bonds[[#This Row],[Maturity]],SQRT(1.06)-1,SQRT(1.06))</f>
        <v>2.9563014098699991E-2</v>
      </c>
      <c r="F303" s="5" cm="1">
        <f t="array" ref="F303">Svensson(betas_pre,tbl_Bonds[[#This Row],[DU]])</f>
        <v>0.12132293562797121</v>
      </c>
      <c r="G303" s="49">
        <f>IF(curve_type="Simulada",_xlfn.XLOOKUP(tbl_Bonds[[#This Row],[Coupon]],Simulador!$B$5:$B$147,Simulador!$H$5:$H$147),0)</f>
        <v>0</v>
      </c>
      <c r="H303" s="5" cm="1">
        <f t="array" ref="H30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0.12132293562797121</v>
      </c>
      <c r="I303" s="5" cm="1">
        <f t="array" ref="I303">Interpola_FF(tbl_Bonds[[#This Row],[DU]],dus_svensson,svensson_implicita)</f>
        <v>5.9086108247865088E-2</v>
      </c>
      <c r="J303" s="49">
        <f>IF(curve_type="Simulada",_xlfn.XLOOKUP(tbl_Bonds[[#This Row],[Coupon]],Simulador!$B$5:$B$147,Simulador!$N$5:$N$147),0)</f>
        <v>0</v>
      </c>
      <c r="K303" s="5" cm="1">
        <f t="array" ref="K30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5.9086108247865088E-2</v>
      </c>
      <c r="L303" s="5" cm="1">
        <f t="array" ref="L303">Interpola_FF(tbl_Bonds[[#This Row],[DU]],dus_svensson,svensson_real_spot)</f>
        <v>5.8764652725868061E-2</v>
      </c>
      <c r="M303" s="49">
        <f>IF(curve_type="Simulada",_xlfn.XLOOKUP(tbl_Bonds[[#This Row],[Coupon]],Simulador!$B$5:$B$147,Simulador!$K$5:$K$147),0)</f>
        <v>0</v>
      </c>
      <c r="N303" s="5" cm="1">
        <f t="array" ref="N30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5.8764652725868061E-2</v>
      </c>
      <c r="O303" s="6">
        <f>IF(curve_type="Mercado",tbl_Bonds[[#This Row],[FC]]/(1+tbl_Bonds[[#This Row],[Real Mercado]])^(tbl_Bonds[[#This Row],[DU]]/252),tbl_Bonds[[#This Row],[FC]]/(1+tbl_Bonds[[#This Row],[Real Simulada]])^(tbl_Bonds[[#This Row],[DU]]/252))</f>
        <v>5.6309416415100616E-3</v>
      </c>
      <c r="P303" s="7">
        <f>tbl_Bonds[[#This Row],[Cotação]]*VNA</f>
        <v>22.272087688525605</v>
      </c>
      <c r="Q303" s="18">
        <f>tbl_Bonds[[#This Row],[Cotação]]%%*VNA</f>
        <v>2.2272087688525602E-3</v>
      </c>
      <c r="R30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-6.1087641555239595E-2</v>
      </c>
      <c r="S30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-5.7679579633130362E-2</v>
      </c>
      <c r="T30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6.106910010085053E-2</v>
      </c>
      <c r="U303" s="18">
        <f>IF(curve_type="Mercado",tbl_Bonds[[#This Row],[VP Cupom]]*LN(1+tbl_Bonds[[#This Row],[Real Mercado]])/252,tbl_Bonds[[#This Row],[VP Cupom]]*LN(1+tbl_Bonds[[#This Row],[Real Simulada]])/252)</f>
        <v>5.0468202952705602E-3</v>
      </c>
      <c r="V303" s="18">
        <f>SUMIF(Dashboard!$B$28:$B$42,tbl_Bonds[[#This Row],[Bond]],Dashboard!$C$28:$C$42)</f>
        <v>6381</v>
      </c>
      <c r="W303" s="18">
        <f>tbl_Bonds[[#This Row],[Quantidade]]*tbl_Bonds[[#This Row],[𝛿P/𝛿VNA]]</f>
        <v>14.211819154048186</v>
      </c>
      <c r="X303" s="18">
        <f>+tbl_Bonds[[#This Row],[Quantidade]]*tbl_Bonds[[#This Row],[𝛿P/𝛿r_real]]</f>
        <v>-389.80024076398388</v>
      </c>
      <c r="Y303" s="18">
        <f>tbl_Bonds[[#This Row],[Quantidade]]*tbl_Bonds[[#This Row],[𝛿P/𝛿r_pre]]</f>
        <v>-368.05339763900486</v>
      </c>
      <c r="Z303" s="18">
        <f>tbl_Bonds[[#This Row],[Quantidade]]*tbl_Bonds[[#This Row],[𝛿P/𝛿r_implicita]]</f>
        <v>389.68192774352724</v>
      </c>
      <c r="AA303" s="18">
        <f>tbl_Bonds[[#This Row],[Quantidade]]*tbl_Bonds[[#This Row],[𝛿P/𝛿du]]</f>
        <v>32.203760304121445</v>
      </c>
    </row>
    <row r="304" spans="1:27">
      <c r="A304" s="2" t="s">
        <v>88</v>
      </c>
      <c r="B304" s="3">
        <v>56751</v>
      </c>
      <c r="C304" s="3">
        <v>55654</v>
      </c>
      <c r="D304" s="4">
        <f>NETWORKDAYS(Dashboard!$C$10,bonds!C304,feriados)-1</f>
        <v>7441</v>
      </c>
      <c r="E304" s="2">
        <f>IF(tbl_Bonds[[#This Row],[Coupon]]&lt;tbl_Bonds[[#This Row],[Maturity]],SQRT(1.06)-1,SQRT(1.06))</f>
        <v>2.9563014098699991E-2</v>
      </c>
      <c r="F304" s="5" cm="1">
        <f t="array" ref="F304">Svensson(betas_pre,tbl_Bonds[[#This Row],[DU]])</f>
        <v>0.12134023844468485</v>
      </c>
      <c r="G304" s="49">
        <f>IF(curve_type="Simulada",_xlfn.XLOOKUP(tbl_Bonds[[#This Row],[Coupon]],Simulador!$B$5:$B$147,Simulador!$H$5:$H$147),0)</f>
        <v>0</v>
      </c>
      <c r="H304" s="5" cm="1">
        <f t="array" ref="H30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0.12134023844468485</v>
      </c>
      <c r="I304" s="5" cm="1">
        <f t="array" ref="I304">Interpola_FF(tbl_Bonds[[#This Row],[DU]],dus_svensson,svensson_implicita)</f>
        <v>5.9107276027694944E-2</v>
      </c>
      <c r="J304" s="49">
        <f>IF(curve_type="Simulada",_xlfn.XLOOKUP(tbl_Bonds[[#This Row],[Coupon]],Simulador!$B$5:$B$147,Simulador!$N$5:$N$147),0)</f>
        <v>0</v>
      </c>
      <c r="K304" s="5" cm="1">
        <f t="array" ref="K30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5.9107276027694944E-2</v>
      </c>
      <c r="L304" s="5" cm="1">
        <f t="array" ref="L304">Interpola_FF(tbl_Bonds[[#This Row],[DU]],dus_svensson,svensson_real_spot)</f>
        <v>5.8759828971758798E-2</v>
      </c>
      <c r="M304" s="49">
        <f>IF(curve_type="Simulada",_xlfn.XLOOKUP(tbl_Bonds[[#This Row],[Coupon]],Simulador!$B$5:$B$147,Simulador!$K$5:$K$147),0)</f>
        <v>0</v>
      </c>
      <c r="N304" s="5" cm="1">
        <f t="array" ref="N30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5.8759828971758798E-2</v>
      </c>
      <c r="O304" s="6">
        <f>IF(curve_type="Mercado",tbl_Bonds[[#This Row],[FC]]/(1+tbl_Bonds[[#This Row],[Real Mercado]])^(tbl_Bonds[[#This Row],[DU]]/252),tbl_Bonds[[#This Row],[FC]]/(1+tbl_Bonds[[#This Row],[Real Simulada]])^(tbl_Bonds[[#This Row],[DU]]/252))</f>
        <v>5.4769019525164513E-3</v>
      </c>
      <c r="P304" s="7">
        <f>tbl_Bonds[[#This Row],[Cotação]]*VNA</f>
        <v>21.662813844256306</v>
      </c>
      <c r="Q304" s="18">
        <f>tbl_Bonds[[#This Row],[Cotação]]%%*VNA</f>
        <v>2.166281384425631E-3</v>
      </c>
      <c r="R30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-6.0415472492546758E-2</v>
      </c>
      <c r="S30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-5.7043770575068882E-2</v>
      </c>
      <c r="T30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6.039565277876438E-2</v>
      </c>
      <c r="U304" s="18">
        <f>IF(curve_type="Mercado",tbl_Bonds[[#This Row],[VP Cupom]]*LN(1+tbl_Bonds[[#This Row],[Real Mercado]])/252,tbl_Bonds[[#This Row],[VP Cupom]]*LN(1+tbl_Bonds[[#This Row],[Real Simulada]])/252)</f>
        <v>4.9083681408333951E-3</v>
      </c>
      <c r="V304" s="18">
        <f>SUMIF(Dashboard!$B$28:$B$42,tbl_Bonds[[#This Row],[Bond]],Dashboard!$C$28:$C$42)</f>
        <v>6381</v>
      </c>
      <c r="W304" s="18">
        <f>tbl_Bonds[[#This Row],[Quantidade]]*tbl_Bonds[[#This Row],[𝛿P/𝛿VNA]]</f>
        <v>13.823041514019952</v>
      </c>
      <c r="X304" s="18">
        <f>+tbl_Bonds[[#This Row],[Quantidade]]*tbl_Bonds[[#This Row],[𝛿P/𝛿r_real]]</f>
        <v>-385.51112997494084</v>
      </c>
      <c r="Y304" s="18">
        <f>tbl_Bonds[[#This Row],[Quantidade]]*tbl_Bonds[[#This Row],[𝛿P/𝛿r_pre]]</f>
        <v>-363.99630003951455</v>
      </c>
      <c r="Z304" s="18">
        <f>tbl_Bonds[[#This Row],[Quantidade]]*tbl_Bonds[[#This Row],[𝛿P/𝛿r_implicita]]</f>
        <v>385.38466038129553</v>
      </c>
      <c r="AA304" s="18">
        <f>tbl_Bonds[[#This Row],[Quantidade]]*tbl_Bonds[[#This Row],[𝛿P/𝛿du]]</f>
        <v>31.320297106657893</v>
      </c>
    </row>
    <row r="305" spans="1:27">
      <c r="A305" s="2" t="s">
        <v>88</v>
      </c>
      <c r="B305" s="3">
        <v>56751</v>
      </c>
      <c r="C305" s="3">
        <v>55841</v>
      </c>
      <c r="D305" s="4">
        <f>NETWORKDAYS(Dashboard!$C$10,bonds!C305,feriados)-1</f>
        <v>7572</v>
      </c>
      <c r="E305" s="2">
        <f>IF(tbl_Bonds[[#This Row],[Coupon]]&lt;tbl_Bonds[[#This Row],[Maturity]],SQRT(1.06)-1,SQRT(1.06))</f>
        <v>2.9563014098699991E-2</v>
      </c>
      <c r="F305" s="5" cm="1">
        <f t="array" ref="F305">Svensson(betas_pre,tbl_Bonds[[#This Row],[DU]])</f>
        <v>0.12135804816776932</v>
      </c>
      <c r="G305" s="49">
        <f>IF(curve_type="Simulada",_xlfn.XLOOKUP(tbl_Bonds[[#This Row],[Coupon]],Simulador!$B$5:$B$147,Simulador!$H$5:$H$147),0)</f>
        <v>0</v>
      </c>
      <c r="H305" s="5" cm="1">
        <f t="array" ref="H30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0.12135804816776932</v>
      </c>
      <c r="I305" s="5" cm="1">
        <f t="array" ref="I305">Interpola_FF(tbl_Bonds[[#This Row],[DU]],dus_svensson,svensson_implicita)</f>
        <v>5.9129140582113937E-2</v>
      </c>
      <c r="J305" s="49">
        <f>IF(curve_type="Simulada",_xlfn.XLOOKUP(tbl_Bonds[[#This Row],[Coupon]],Simulador!$B$5:$B$147,Simulador!$N$5:$N$147),0)</f>
        <v>0</v>
      </c>
      <c r="K305" s="5" cm="1">
        <f t="array" ref="K30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5.9129140582113937E-2</v>
      </c>
      <c r="L305" s="5" cm="1">
        <f t="array" ref="L305">Interpola_FF(tbl_Bonds[[#This Row],[DU]],dus_svensson,svensson_real_spot)</f>
        <v>5.8754787474419201E-2</v>
      </c>
      <c r="M305" s="49">
        <f>IF(curve_type="Simulada",_xlfn.XLOOKUP(tbl_Bonds[[#This Row],[Coupon]],Simulador!$B$5:$B$147,Simulador!$K$5:$K$147),0)</f>
        <v>0</v>
      </c>
      <c r="N305" s="5" cm="1">
        <f t="array" ref="N30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5.8754787474419201E-2</v>
      </c>
      <c r="O305" s="6">
        <f>IF(curve_type="Mercado",tbl_Bonds[[#This Row],[FC]]/(1+tbl_Bonds[[#This Row],[Real Mercado]])^(tbl_Bonds[[#This Row],[DU]]/252),tbl_Bonds[[#This Row],[FC]]/(1+tbl_Bonds[[#This Row],[Real Simulada]])^(tbl_Bonds[[#This Row],[DU]]/252))</f>
        <v>5.3174861050287667E-3</v>
      </c>
      <c r="P305" s="7">
        <f>tbl_Bonds[[#This Row],[Cotação]]*VNA</f>
        <v>21.032275657177141</v>
      </c>
      <c r="Q305" s="18">
        <f>tbl_Bonds[[#This Row],[Cotação]]%%*VNA</f>
        <v>2.103227565717714E-3</v>
      </c>
      <c r="R30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-5.9689912539511364E-2</v>
      </c>
      <c r="S30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-5.6357539618862813E-2</v>
      </c>
      <c r="T30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5.9668814882962884E-2</v>
      </c>
      <c r="U305" s="18">
        <f>IF(curve_type="Mercado",tbl_Bonds[[#This Row],[VP Cupom]]*LN(1+tbl_Bonds[[#This Row],[Real Mercado]])/252,tbl_Bonds[[#This Row],[VP Cupom]]*LN(1+tbl_Bonds[[#This Row],[Real Simulada]])/252)</f>
        <v>4.7651031527522168E-3</v>
      </c>
      <c r="V305" s="18">
        <f>SUMIF(Dashboard!$B$28:$B$42,tbl_Bonds[[#This Row],[Bond]],Dashboard!$C$28:$C$42)</f>
        <v>6381</v>
      </c>
      <c r="W305" s="18">
        <f>tbl_Bonds[[#This Row],[Quantidade]]*tbl_Bonds[[#This Row],[𝛿P/𝛿VNA]]</f>
        <v>13.420695096844733</v>
      </c>
      <c r="X305" s="18">
        <f>+tbl_Bonds[[#This Row],[Quantidade]]*tbl_Bonds[[#This Row],[𝛿P/𝛿r_real]]</f>
        <v>-380.88133191462202</v>
      </c>
      <c r="Y305" s="18">
        <f>tbl_Bonds[[#This Row],[Quantidade]]*tbl_Bonds[[#This Row],[𝛿P/𝛿r_pre]]</f>
        <v>-359.6174603079636</v>
      </c>
      <c r="Z305" s="18">
        <f>tbl_Bonds[[#This Row],[Quantidade]]*tbl_Bonds[[#This Row],[𝛿P/𝛿r_implicita]]</f>
        <v>380.74670776818618</v>
      </c>
      <c r="AA305" s="18">
        <f>tbl_Bonds[[#This Row],[Quantidade]]*tbl_Bonds[[#This Row],[𝛿P/𝛿du]]</f>
        <v>30.406123217711894</v>
      </c>
    </row>
    <row r="306" spans="1:27">
      <c r="A306" s="2" t="s">
        <v>88</v>
      </c>
      <c r="B306" s="3">
        <v>56751</v>
      </c>
      <c r="C306" s="3">
        <v>56019</v>
      </c>
      <c r="D306" s="4">
        <f>NETWORKDAYS(Dashboard!$C$10,bonds!C306,feriados)-1</f>
        <v>7693</v>
      </c>
      <c r="E306" s="2">
        <f>IF(tbl_Bonds[[#This Row],[Coupon]]&lt;tbl_Bonds[[#This Row],[Maturity]],SQRT(1.06)-1,SQRT(1.06))</f>
        <v>2.9563014098699991E-2</v>
      </c>
      <c r="F306" s="5" cm="1">
        <f t="array" ref="F306">Svensson(betas_pre,tbl_Bonds[[#This Row],[DU]])</f>
        <v>0.12137395924161033</v>
      </c>
      <c r="G306" s="49">
        <f>IF(curve_type="Simulada",_xlfn.XLOOKUP(tbl_Bonds[[#This Row],[Coupon]],Simulador!$B$5:$B$147,Simulador!$H$5:$H$147),0)</f>
        <v>0</v>
      </c>
      <c r="H306" s="5" cm="1">
        <f t="array" ref="H30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0.12137395924161033</v>
      </c>
      <c r="I306" s="5" cm="1">
        <f t="array" ref="I306">Interpola_FF(tbl_Bonds[[#This Row],[DU]],dus_svensson,svensson_implicita)</f>
        <v>5.9148730934770466E-2</v>
      </c>
      <c r="J306" s="49">
        <f>IF(curve_type="Simulada",_xlfn.XLOOKUP(tbl_Bonds[[#This Row],[Coupon]],Simulador!$B$5:$B$147,Simulador!$N$5:$N$147),0)</f>
        <v>0</v>
      </c>
      <c r="K306" s="5" cm="1">
        <f t="array" ref="K30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5.9148730934770466E-2</v>
      </c>
      <c r="L306" s="5" cm="1">
        <f t="array" ref="L306">Interpola_FF(tbl_Bonds[[#This Row],[DU]],dus_svensson,svensson_real_spot)</f>
        <v>5.8750226928858895E-2</v>
      </c>
      <c r="M306" s="49">
        <f>IF(curve_type="Simulada",_xlfn.XLOOKUP(tbl_Bonds[[#This Row],[Coupon]],Simulador!$B$5:$B$147,Simulador!$K$5:$K$147),0)</f>
        <v>0</v>
      </c>
      <c r="N306" s="5" cm="1">
        <f t="array" ref="N30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5.8750226928858895E-2</v>
      </c>
      <c r="O306" s="6">
        <f>IF(curve_type="Mercado",tbl_Bonds[[#This Row],[FC]]/(1+tbl_Bonds[[#This Row],[Real Mercado]])^(tbl_Bonds[[#This Row],[DU]]/252),tbl_Bonds[[#This Row],[FC]]/(1+tbl_Bonds[[#This Row],[Real Simulada]])^(tbl_Bonds[[#This Row],[DU]]/252))</f>
        <v>5.1743732228489514E-3</v>
      </c>
      <c r="P306" s="7">
        <f>tbl_Bonds[[#This Row],[Cotação]]*VNA</f>
        <v>20.466220658885291</v>
      </c>
      <c r="Q306" s="18">
        <f>tbl_Bonds[[#This Row],[Cotação]]%%*VNA</f>
        <v>2.0466220658885291E-3</v>
      </c>
      <c r="R30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-5.901186326427079E-2</v>
      </c>
      <c r="S30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-5.5716313978495552E-2</v>
      </c>
      <c r="T30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5.8989660069056087E-2</v>
      </c>
      <c r="U306" s="18">
        <f>IF(curve_type="Mercado",tbl_Bonds[[#This Row],[VP Cupom]]*LN(1+tbl_Bonds[[#This Row],[Real Mercado]])/252,tbl_Bonds[[#This Row],[VP Cupom]]*LN(1+tbl_Bonds[[#This Row],[Real Simulada]])/252)</f>
        <v>4.6365070720012971E-3</v>
      </c>
      <c r="V306" s="18">
        <f>SUMIF(Dashboard!$B$28:$B$42,tbl_Bonds[[#This Row],[Bond]],Dashboard!$C$28:$C$42)</f>
        <v>6381</v>
      </c>
      <c r="W306" s="18">
        <f>tbl_Bonds[[#This Row],[Quantidade]]*tbl_Bonds[[#This Row],[𝛿P/𝛿VNA]]</f>
        <v>13.059495402434704</v>
      </c>
      <c r="X306" s="18">
        <f>+tbl_Bonds[[#This Row],[Quantidade]]*tbl_Bonds[[#This Row],[𝛿P/𝛿r_real]]</f>
        <v>-376.55469948931193</v>
      </c>
      <c r="Y306" s="18">
        <f>tbl_Bonds[[#This Row],[Quantidade]]*tbl_Bonds[[#This Row],[𝛿P/𝛿r_pre]]</f>
        <v>-355.52579949678011</v>
      </c>
      <c r="Z306" s="18">
        <f>tbl_Bonds[[#This Row],[Quantidade]]*tbl_Bonds[[#This Row],[𝛿P/𝛿r_implicita]]</f>
        <v>376.41302090064687</v>
      </c>
      <c r="AA306" s="18">
        <f>tbl_Bonds[[#This Row],[Quantidade]]*tbl_Bonds[[#This Row],[𝛿P/𝛿du]]</f>
        <v>29.585551626440278</v>
      </c>
    </row>
    <row r="307" spans="1:27">
      <c r="A307" s="2" t="s">
        <v>88</v>
      </c>
      <c r="B307" s="3">
        <v>56751</v>
      </c>
      <c r="C307" s="3">
        <v>56205</v>
      </c>
      <c r="D307" s="4">
        <f>NETWORKDAYS(Dashboard!$C$10,bonds!C307,feriados)-1</f>
        <v>7824</v>
      </c>
      <c r="E307" s="2">
        <f>IF(tbl_Bonds[[#This Row],[Coupon]]&lt;tbl_Bonds[[#This Row],[Maturity]],SQRT(1.06)-1,SQRT(1.06))</f>
        <v>2.9563014098699991E-2</v>
      </c>
      <c r="F307" s="5" cm="1">
        <f t="array" ref="F307">Svensson(betas_pre,tbl_Bonds[[#This Row],[DU]])</f>
        <v>0.12139063018224593</v>
      </c>
      <c r="G307" s="49">
        <f>IF(curve_type="Simulada",_xlfn.XLOOKUP(tbl_Bonds[[#This Row],[Coupon]],Simulador!$B$5:$B$147,Simulador!$H$5:$H$147),0)</f>
        <v>0</v>
      </c>
      <c r="H307" s="5" cm="1">
        <f t="array" ref="H30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0.12139063018224593</v>
      </c>
      <c r="I307" s="5" cm="1">
        <f t="array" ref="I307">Interpola_FF(tbl_Bonds[[#This Row],[DU]],dus_svensson,svensson_implicita)</f>
        <v>5.9169312630432236E-2</v>
      </c>
      <c r="J307" s="49">
        <f>IF(curve_type="Simulada",_xlfn.XLOOKUP(tbl_Bonds[[#This Row],[Coupon]],Simulador!$B$5:$B$147,Simulador!$N$5:$N$147),0)</f>
        <v>0</v>
      </c>
      <c r="K307" s="5" cm="1">
        <f t="array" ref="K30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5.9169312630432236E-2</v>
      </c>
      <c r="L307" s="5" cm="1">
        <f t="array" ref="L307">Interpola_FF(tbl_Bonds[[#This Row],[DU]],dus_svensson,svensson_real_spot)</f>
        <v>5.8745393007364699E-2</v>
      </c>
      <c r="M307" s="49">
        <f>IF(curve_type="Simulada",_xlfn.XLOOKUP(tbl_Bonds[[#This Row],[Coupon]],Simulador!$B$5:$B$147,Simulador!$K$5:$K$147),0)</f>
        <v>0</v>
      </c>
      <c r="N307" s="5" cm="1">
        <f t="array" ref="N30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5.8745393007364699E-2</v>
      </c>
      <c r="O307" s="6">
        <f>IF(curve_type="Mercado",tbl_Bonds[[#This Row],[FC]]/(1+tbl_Bonds[[#This Row],[Real Mercado]])^(tbl_Bonds[[#This Row],[DU]]/252),tbl_Bonds[[#This Row],[FC]]/(1+tbl_Bonds[[#This Row],[Real Simulada]])^(tbl_Bonds[[#This Row],[DU]]/252))</f>
        <v>5.0237800932592209E-3</v>
      </c>
      <c r="P307" s="7">
        <f>tbl_Bonds[[#This Row],[Cotação]]*VNA</f>
        <v>19.870579005846864</v>
      </c>
      <c r="Q307" s="18">
        <f>tbl_Bonds[[#This Row],[Cotação]]%%*VNA</f>
        <v>1.9870579005846862E-3</v>
      </c>
      <c r="R30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-5.8270304768623327E-2</v>
      </c>
      <c r="S30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-5.5015099135195637E-2</v>
      </c>
      <c r="T30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5.8246982756270618E-2</v>
      </c>
      <c r="U307" s="18">
        <f>IF(curve_type="Mercado",tbl_Bonds[[#This Row],[VP Cupom]]*LN(1+tbl_Bonds[[#This Row],[Real Mercado]])/252,tbl_Bonds[[#This Row],[VP Cupom]]*LN(1+tbl_Bonds[[#This Row],[Real Simulada]])/252)</f>
        <v>4.5012077967173146E-3</v>
      </c>
      <c r="V307" s="18">
        <f>SUMIF(Dashboard!$B$28:$B$42,tbl_Bonds[[#This Row],[Bond]],Dashboard!$C$28:$C$42)</f>
        <v>6381</v>
      </c>
      <c r="W307" s="18">
        <f>tbl_Bonds[[#This Row],[Quantidade]]*tbl_Bonds[[#This Row],[𝛿P/𝛿VNA]]</f>
        <v>12.679416463630883</v>
      </c>
      <c r="X307" s="18">
        <f>+tbl_Bonds[[#This Row],[Quantidade]]*tbl_Bonds[[#This Row],[𝛿P/𝛿r_real]]</f>
        <v>-371.82281472858546</v>
      </c>
      <c r="Y307" s="18">
        <f>tbl_Bonds[[#This Row],[Quantidade]]*tbl_Bonds[[#This Row],[𝛿P/𝛿r_pre]]</f>
        <v>-351.05134758168339</v>
      </c>
      <c r="Z307" s="18">
        <f>tbl_Bonds[[#This Row],[Quantidade]]*tbl_Bonds[[#This Row],[𝛿P/𝛿r_implicita]]</f>
        <v>371.67399696776283</v>
      </c>
      <c r="AA307" s="18">
        <f>tbl_Bonds[[#This Row],[Quantidade]]*tbl_Bonds[[#This Row],[𝛿P/𝛿du]]</f>
        <v>28.722206950853185</v>
      </c>
    </row>
    <row r="308" spans="1:27">
      <c r="A308" s="2" t="s">
        <v>88</v>
      </c>
      <c r="B308" s="3">
        <v>56751</v>
      </c>
      <c r="C308" s="3">
        <v>56384</v>
      </c>
      <c r="D308" s="4">
        <f>NETWORKDAYS(Dashboard!$C$10,bonds!C308,feriados)-1</f>
        <v>7946</v>
      </c>
      <c r="E308" s="2">
        <f>IF(tbl_Bonds[[#This Row],[Coupon]]&lt;tbl_Bonds[[#This Row],[Maturity]],SQRT(1.06)-1,SQRT(1.06))</f>
        <v>2.9563014098699991E-2</v>
      </c>
      <c r="F308" s="5" cm="1">
        <f t="array" ref="F308">Svensson(betas_pre,tbl_Bonds[[#This Row],[DU]])</f>
        <v>0.12140566121868858</v>
      </c>
      <c r="G308" s="49">
        <f>IF(curve_type="Simulada",_xlfn.XLOOKUP(tbl_Bonds[[#This Row],[Coupon]],Simulador!$B$5:$B$147,Simulador!$H$5:$H$147),0)</f>
        <v>0</v>
      </c>
      <c r="H308" s="5" cm="1">
        <f t="array" ref="H30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0.12140566121868858</v>
      </c>
      <c r="I308" s="5" cm="1">
        <f t="array" ref="I308">Interpola_FF(tbl_Bonds[[#This Row],[DU]],dus_svensson,svensson_implicita)</f>
        <v>5.9187911643766133E-2</v>
      </c>
      <c r="J308" s="49">
        <f>IF(curve_type="Simulada",_xlfn.XLOOKUP(tbl_Bonds[[#This Row],[Coupon]],Simulador!$B$5:$B$147,Simulador!$N$5:$N$147),0)</f>
        <v>0</v>
      </c>
      <c r="K308" s="5" cm="1">
        <f t="array" ref="K30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5.9187911643766133E-2</v>
      </c>
      <c r="L308" s="5" cm="1">
        <f t="array" ref="L308">Interpola_FF(tbl_Bonds[[#This Row],[DU]],dus_svensson,svensson_real_spot)</f>
        <v>5.8740992866322284E-2</v>
      </c>
      <c r="M308" s="49">
        <f>IF(curve_type="Simulada",_xlfn.XLOOKUP(tbl_Bonds[[#This Row],[Coupon]],Simulador!$B$5:$B$147,Simulador!$K$5:$K$147),0)</f>
        <v>0</v>
      </c>
      <c r="N308" s="5" cm="1">
        <f t="array" ref="N30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5.8740992866322284E-2</v>
      </c>
      <c r="O308" s="6">
        <f>IF(curve_type="Mercado",tbl_Bonds[[#This Row],[FC]]/(1+tbl_Bonds[[#This Row],[Real Mercado]])^(tbl_Bonds[[#This Row],[DU]]/252),tbl_Bonds[[#This Row],[FC]]/(1+tbl_Bonds[[#This Row],[Real Simulada]])^(tbl_Bonds[[#This Row],[DU]]/252))</f>
        <v>4.8874832599196385E-3</v>
      </c>
      <c r="P308" s="7">
        <f>tbl_Bonds[[#This Row],[Cotação]]*VNA</f>
        <v>19.33148355484278</v>
      </c>
      <c r="Q308" s="18">
        <f>tbl_Bonds[[#This Row],[Cotação]]%%*VNA</f>
        <v>1.9331483554842783E-3</v>
      </c>
      <c r="R30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-5.7573611863080153E-2</v>
      </c>
      <c r="S30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-5.4356371715084124E-2</v>
      </c>
      <c r="T30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5.7549318958904222E-2</v>
      </c>
      <c r="U308" s="18">
        <f>IF(curve_type="Mercado",tbl_Bonds[[#This Row],[VP Cupom]]*LN(1+tbl_Bonds[[#This Row],[Real Mercado]])/252,tbl_Bonds[[#This Row],[VP Cupom]]*LN(1+tbl_Bonds[[#This Row],[Real Simulada]])/252)</f>
        <v>4.378769708106545E-3</v>
      </c>
      <c r="V308" s="18">
        <f>SUMIF(Dashboard!$B$28:$B$42,tbl_Bonds[[#This Row],[Bond]],Dashboard!$C$28:$C$42)</f>
        <v>6381</v>
      </c>
      <c r="W308" s="18">
        <f>tbl_Bonds[[#This Row],[Quantidade]]*tbl_Bonds[[#This Row],[𝛿P/𝛿VNA]]</f>
        <v>12.335419656345179</v>
      </c>
      <c r="X308" s="18">
        <f>+tbl_Bonds[[#This Row],[Quantidade]]*tbl_Bonds[[#This Row],[𝛿P/𝛿r_real]]</f>
        <v>-367.37721729831446</v>
      </c>
      <c r="Y308" s="18">
        <f>tbl_Bonds[[#This Row],[Quantidade]]*tbl_Bonds[[#This Row],[𝛿P/𝛿r_pre]]</f>
        <v>-346.84800791395179</v>
      </c>
      <c r="Z308" s="18">
        <f>tbl_Bonds[[#This Row],[Quantidade]]*tbl_Bonds[[#This Row],[𝛿P/𝛿r_implicita]]</f>
        <v>367.22220427676785</v>
      </c>
      <c r="AA308" s="18">
        <f>tbl_Bonds[[#This Row],[Quantidade]]*tbl_Bonds[[#This Row],[𝛿P/𝛿du]]</f>
        <v>27.940929507427864</v>
      </c>
    </row>
    <row r="309" spans="1:27">
      <c r="A309" s="2" t="s">
        <v>88</v>
      </c>
      <c r="B309" s="3">
        <v>56751</v>
      </c>
      <c r="C309" s="3">
        <v>56569</v>
      </c>
      <c r="D309" s="4">
        <f>NETWORKDAYS(Dashboard!$C$10,bonds!C309,feriados)-1</f>
        <v>8073</v>
      </c>
      <c r="E309" s="2">
        <f>IF(tbl_Bonds[[#This Row],[Coupon]]&lt;tbl_Bonds[[#This Row],[Maturity]],SQRT(1.06)-1,SQRT(1.06))</f>
        <v>2.9563014098699991E-2</v>
      </c>
      <c r="F309" s="5" cm="1">
        <f t="array" ref="F309">Svensson(betas_pre,tbl_Bonds[[#This Row],[DU]])</f>
        <v>0.12142082544127344</v>
      </c>
      <c r="G309" s="49">
        <f>IF(curve_type="Simulada",_xlfn.XLOOKUP(tbl_Bonds[[#This Row],[Coupon]],Simulador!$B$5:$B$147,Simulador!$H$5:$H$147),0)</f>
        <v>0</v>
      </c>
      <c r="H309" s="5" cm="1">
        <f t="array" ref="H30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0.12142082544127344</v>
      </c>
      <c r="I309" s="5" cm="1">
        <f t="array" ref="I309">Interpola_FF(tbl_Bonds[[#This Row],[DU]],dus_svensson,svensson_implicita)</f>
        <v>5.9206713820925794E-2</v>
      </c>
      <c r="J309" s="49">
        <f>IF(curve_type="Simulada",_xlfn.XLOOKUP(tbl_Bonds[[#This Row],[Coupon]],Simulador!$B$5:$B$147,Simulador!$N$5:$N$147),0)</f>
        <v>0</v>
      </c>
      <c r="K309" s="5" cm="1">
        <f t="array" ref="K30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5.9206713820925794E-2</v>
      </c>
      <c r="L309" s="5" cm="1">
        <f t="array" ref="L309">Interpola_FF(tbl_Bonds[[#This Row],[DU]],dus_svensson,svensson_real_spot)</f>
        <v>5.8736515540337653E-2</v>
      </c>
      <c r="M309" s="49">
        <f>IF(curve_type="Simulada",_xlfn.XLOOKUP(tbl_Bonds[[#This Row],[Coupon]],Simulador!$B$5:$B$147,Simulador!$K$5:$K$147),0)</f>
        <v>0</v>
      </c>
      <c r="N309" s="5" cm="1">
        <f t="array" ref="N30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5.8736515540337653E-2</v>
      </c>
      <c r="O309" s="6">
        <f>IF(curve_type="Mercado",tbl_Bonds[[#This Row],[FC]]/(1+tbl_Bonds[[#This Row],[Real Mercado]])^(tbl_Bonds[[#This Row],[DU]]/252),tbl_Bonds[[#This Row],[FC]]/(1+tbl_Bonds[[#This Row],[Real Simulada]])^(tbl_Bonds[[#This Row],[DU]]/252))</f>
        <v>4.7495327142679537E-3</v>
      </c>
      <c r="P309" s="7">
        <f>tbl_Bonds[[#This Row],[Cotação]]*VNA</f>
        <v>18.785847168419437</v>
      </c>
      <c r="Q309" s="18">
        <f>tbl_Bonds[[#This Row],[Cotação]]%%*VNA</f>
        <v>1.8785847168419436E-3</v>
      </c>
      <c r="R30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-5.684304108425272E-2</v>
      </c>
      <c r="S30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-5.3665672922775125E-2</v>
      </c>
      <c r="T30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5.6817807555074158E-2</v>
      </c>
      <c r="U309" s="18">
        <f>IF(curve_type="Mercado",tbl_Bonds[[#This Row],[VP Cupom]]*LN(1+tbl_Bonds[[#This Row],[Real Mercado]])/252,tbl_Bonds[[#This Row],[VP Cupom]]*LN(1+tbl_Bonds[[#This Row],[Real Simulada]])/252)</f>
        <v>4.2548624872857455E-3</v>
      </c>
      <c r="V309" s="18">
        <f>SUMIF(Dashboard!$B$28:$B$42,tbl_Bonds[[#This Row],[Bond]],Dashboard!$C$28:$C$42)</f>
        <v>6381</v>
      </c>
      <c r="W309" s="18">
        <f>tbl_Bonds[[#This Row],[Quantidade]]*tbl_Bonds[[#This Row],[𝛿P/𝛿VNA]]</f>
        <v>11.987249078168443</v>
      </c>
      <c r="X309" s="18">
        <f>+tbl_Bonds[[#This Row],[Quantidade]]*tbl_Bonds[[#This Row],[𝛿P/𝛿r_real]]</f>
        <v>-362.7154451586166</v>
      </c>
      <c r="Y309" s="18">
        <f>tbl_Bonds[[#This Row],[Quantidade]]*tbl_Bonds[[#This Row],[𝛿P/𝛿r_pre]]</f>
        <v>-342.44065892022809</v>
      </c>
      <c r="Z309" s="18">
        <f>tbl_Bonds[[#This Row],[Quantidade]]*tbl_Bonds[[#This Row],[𝛿P/𝛿r_implicita]]</f>
        <v>362.55443000892819</v>
      </c>
      <c r="AA309" s="18">
        <f>tbl_Bonds[[#This Row],[Quantidade]]*tbl_Bonds[[#This Row],[𝛿P/𝛿du]]</f>
        <v>27.150277531370342</v>
      </c>
    </row>
    <row r="310" spans="1:27">
      <c r="A310" s="2" t="s">
        <v>88</v>
      </c>
      <c r="B310" s="3">
        <v>56751</v>
      </c>
      <c r="C310" s="3">
        <v>56751</v>
      </c>
      <c r="D310" s="4">
        <f>NETWORKDAYS(Dashboard!$C$10,bonds!C310,feriados)-1</f>
        <v>8197</v>
      </c>
      <c r="E310" s="2">
        <f>IF(tbl_Bonds[[#This Row],[Coupon]]&lt;tbl_Bonds[[#This Row],[Maturity]],SQRT(1.06)-1,SQRT(1.06))</f>
        <v>1.0295630140987</v>
      </c>
      <c r="F310" s="5" cm="1">
        <f t="array" ref="F310">Svensson(betas_pre,tbl_Bonds[[#This Row],[DU]])</f>
        <v>0.12143517786775368</v>
      </c>
      <c r="G310" s="49">
        <f>IF(curve_type="Simulada",_xlfn.XLOOKUP(tbl_Bonds[[#This Row],[Coupon]],Simulador!$B$5:$B$147,Simulador!$H$5:$H$147),0)</f>
        <v>0</v>
      </c>
      <c r="H310" s="5" cm="1">
        <f t="array" ref="H31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0.12143517786775368</v>
      </c>
      <c r="I310" s="5" cm="1">
        <f t="array" ref="I310">Interpola_FF(tbl_Bonds[[#This Row],[DU]],dus_svensson,svensson_implicita)</f>
        <v>5.9224540838497486E-2</v>
      </c>
      <c r="J310" s="49">
        <f>IF(curve_type="Simulada",_xlfn.XLOOKUP(tbl_Bonds[[#This Row],[Coupon]],Simulador!$B$5:$B$147,Simulador!$N$5:$N$147),0)</f>
        <v>0</v>
      </c>
      <c r="K310" s="5" cm="1">
        <f t="array" ref="K31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5.9224540838497486E-2</v>
      </c>
      <c r="L310" s="5" cm="1">
        <f t="array" ref="L310">Interpola_FF(tbl_Bonds[[#This Row],[DU]],dus_svensson,svensson_real_spot)</f>
        <v>5.8732246677280608E-2</v>
      </c>
      <c r="M310" s="49">
        <f>IF(curve_type="Simulada",_xlfn.XLOOKUP(tbl_Bonds[[#This Row],[Coupon]],Simulador!$B$5:$B$147,Simulador!$K$5:$K$147),0)</f>
        <v>0</v>
      </c>
      <c r="N310" s="5" cm="1">
        <f t="array" ref="N31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5.8732246677280608E-2</v>
      </c>
      <c r="O310" s="6">
        <f>IF(curve_type="Mercado",tbl_Bonds[[#This Row],[FC]]/(1+tbl_Bonds[[#This Row],[Real Mercado]])^(tbl_Bonds[[#This Row],[DU]]/252),tbl_Bonds[[#This Row],[FC]]/(1+tbl_Bonds[[#This Row],[Real Simulada]])^(tbl_Bonds[[#This Row],[DU]]/252))</f>
        <v>0.16084769733861481</v>
      </c>
      <c r="P310" s="7">
        <f>tbl_Bonds[[#This Row],[Cotação]]*VNA</f>
        <v>636.20158895171073</v>
      </c>
      <c r="Q310" s="18">
        <f>tbl_Bonds[[#This Row],[Cotação]]%%*VNA</f>
        <v>6.3620158895171072E-2</v>
      </c>
      <c r="R31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-1.9546229910571822</v>
      </c>
      <c r="S31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-1.8453339354464373</v>
      </c>
      <c r="T31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1.9537145433626313</v>
      </c>
      <c r="U310" s="18">
        <f>IF(curve_type="Mercado",tbl_Bonds[[#This Row],[VP Cupom]]*LN(1+tbl_Bonds[[#This Row],[Real Mercado]])/252,tbl_Bonds[[#This Row],[VP Cupom]]*LN(1+tbl_Bonds[[#This Row],[Real Simulada]])/252)</f>
        <v>0.14408501375957905</v>
      </c>
      <c r="V310" s="18">
        <f>SUMIF(Dashboard!$B$28:$B$42,tbl_Bonds[[#This Row],[Bond]],Dashboard!$C$28:$C$42)</f>
        <v>6381</v>
      </c>
      <c r="W310" s="18">
        <f>tbl_Bonds[[#This Row],[Quantidade]]*tbl_Bonds[[#This Row],[𝛿P/𝛿VNA]]</f>
        <v>405.96023391008663</v>
      </c>
      <c r="X310" s="18">
        <f>+tbl_Bonds[[#This Row],[Quantidade]]*tbl_Bonds[[#This Row],[𝛿P/𝛿r_real]]</f>
        <v>-12472.449305935879</v>
      </c>
      <c r="Y310" s="18">
        <f>tbl_Bonds[[#This Row],[Quantidade]]*tbl_Bonds[[#This Row],[𝛿P/𝛿r_pre]]</f>
        <v>-11775.075842083717</v>
      </c>
      <c r="Z310" s="18">
        <f>tbl_Bonds[[#This Row],[Quantidade]]*tbl_Bonds[[#This Row],[𝛿P/𝛿r_implicita]]</f>
        <v>12466.65250119695</v>
      </c>
      <c r="AA310" s="18">
        <f>tbl_Bonds[[#This Row],[Quantidade]]*tbl_Bonds[[#This Row],[𝛿P/𝛿du]]</f>
        <v>919.40647279987388</v>
      </c>
    </row>
    <row r="311" spans="1:27">
      <c r="A311" s="2" t="s">
        <v>89</v>
      </c>
      <c r="B311" s="3">
        <v>58669</v>
      </c>
      <c r="C311" s="3">
        <v>44972</v>
      </c>
      <c r="D311" s="4">
        <f>NETWORKDAYS(Dashboard!$C$10,bonds!C311,feriados)-1</f>
        <v>99</v>
      </c>
      <c r="E311" s="2">
        <f>IF(tbl_Bonds[[#This Row],[Coupon]]&lt;tbl_Bonds[[#This Row],[Maturity]],SQRT(1.06)-1,SQRT(1.06))</f>
        <v>2.9563014098699991E-2</v>
      </c>
      <c r="F311" s="5" cm="1">
        <f t="array" ref="F311">Svensson(betas_pre,tbl_Bonds[[#This Row],[DU]])</f>
        <v>0.13824476901041258</v>
      </c>
      <c r="G311" s="49">
        <f>IF(curve_type="Simulada",_xlfn.XLOOKUP(tbl_Bonds[[#This Row],[Coupon]],Simulador!$B$5:$B$147,Simulador!$H$5:$H$147),0)</f>
        <v>0</v>
      </c>
      <c r="H311" s="5" cm="1">
        <f t="array" ref="H31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0.13824476901041258</v>
      </c>
      <c r="I311" s="5" cm="1">
        <f t="array" ref="I311">Interpola_FF(tbl_Bonds[[#This Row],[DU]],dus_svensson,svensson_implicita)</f>
        <v>4.5724704287595008E-2</v>
      </c>
      <c r="J311" s="49">
        <f>IF(curve_type="Simulada",_xlfn.XLOOKUP(tbl_Bonds[[#This Row],[Coupon]],Simulador!$B$5:$B$147,Simulador!$N$5:$N$147),0)</f>
        <v>0</v>
      </c>
      <c r="K311" s="5" cm="1">
        <f t="array" ref="K31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4.5724704287595008E-2</v>
      </c>
      <c r="L311" s="5" cm="1">
        <f t="array" ref="L311">Interpola_FF(tbl_Bonds[[#This Row],[DU]],dus_svensson,svensson_real_spot)</f>
        <v>8.8437815039086765E-2</v>
      </c>
      <c r="M311" s="49">
        <f>IF(curve_type="Simulada",_xlfn.XLOOKUP(tbl_Bonds[[#This Row],[Coupon]],Simulador!$B$5:$B$147,Simulador!$K$5:$K$147),0)</f>
        <v>0</v>
      </c>
      <c r="N311" s="5" cm="1">
        <f t="array" ref="N31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8.8437815039086765E-2</v>
      </c>
      <c r="O311" s="6">
        <f>IF(curve_type="Mercado",tbl_Bonds[[#This Row],[FC]]/(1+tbl_Bonds[[#This Row],[Real Mercado]])^(tbl_Bonds[[#This Row],[DU]]/252),tbl_Bonds[[#This Row],[FC]]/(1+tbl_Bonds[[#This Row],[Real Simulada]])^(tbl_Bonds[[#This Row],[DU]]/252))</f>
        <v>2.8595002889922921E-2</v>
      </c>
      <c r="P311" s="7">
        <f>tbl_Bonds[[#This Row],[Cotação]]*VNA</f>
        <v>113.10193789314702</v>
      </c>
      <c r="Q311" s="18">
        <f>tbl_Bonds[[#This Row],[Cotação]]%%*VNA</f>
        <v>1.1310193789314704E-2</v>
      </c>
      <c r="R31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-4.0822639160797754E-3</v>
      </c>
      <c r="S31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-3.9035816912818782E-3</v>
      </c>
      <c r="T31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4.248949481913014E-3</v>
      </c>
      <c r="U311" s="18">
        <f>IF(curve_type="Mercado",tbl_Bonds[[#This Row],[VP Cupom]]*LN(1+tbl_Bonds[[#This Row],[Real Mercado]])/252,tbl_Bonds[[#This Row],[VP Cupom]]*LN(1+tbl_Bonds[[#This Row],[Real Simulada]])/252)</f>
        <v>3.8034328556047631E-2</v>
      </c>
      <c r="V311" s="18">
        <f>SUMIF(Dashboard!$B$28:$B$42,tbl_Bonds[[#This Row],[Bond]],Dashboard!$C$28:$C$42)</f>
        <v>9853</v>
      </c>
      <c r="W311" s="18">
        <f>tbl_Bonds[[#This Row],[Quantidade]]*tbl_Bonds[[#This Row],[𝛿P/𝛿VNA]]</f>
        <v>111.43933940611777</v>
      </c>
      <c r="X311" s="18">
        <f>+tbl_Bonds[[#This Row],[Quantidade]]*tbl_Bonds[[#This Row],[𝛿P/𝛿r_real]]</f>
        <v>-40.222546365134029</v>
      </c>
      <c r="Y311" s="18">
        <f>tbl_Bonds[[#This Row],[Quantidade]]*tbl_Bonds[[#This Row],[𝛿P/𝛿r_pre]]</f>
        <v>-38.46199040420035</v>
      </c>
      <c r="Z311" s="18">
        <f>tbl_Bonds[[#This Row],[Quantidade]]*tbl_Bonds[[#This Row],[𝛿P/𝛿r_implicita]]</f>
        <v>41.864899245288925</v>
      </c>
      <c r="AA311" s="18">
        <f>tbl_Bonds[[#This Row],[Quantidade]]*tbl_Bonds[[#This Row],[𝛿P/𝛿du]]</f>
        <v>374.75223926273731</v>
      </c>
    </row>
    <row r="312" spans="1:27">
      <c r="A312" s="2" t="s">
        <v>89</v>
      </c>
      <c r="B312" s="3">
        <v>58669</v>
      </c>
      <c r="C312" s="3">
        <v>45153</v>
      </c>
      <c r="D312" s="4">
        <f>NETWORKDAYS(Dashboard!$C$10,bonds!C312,feriados)-1</f>
        <v>222</v>
      </c>
      <c r="E312" s="2">
        <f>IF(tbl_Bonds[[#This Row],[Coupon]]&lt;tbl_Bonds[[#This Row],[Maturity]],SQRT(1.06)-1,SQRT(1.06))</f>
        <v>2.9563014098699991E-2</v>
      </c>
      <c r="F312" s="5" cm="1">
        <f t="array" ref="F312">Svensson(betas_pre,tbl_Bonds[[#This Row],[DU]])</f>
        <v>0.13372890379553737</v>
      </c>
      <c r="G312" s="49">
        <f>IF(curve_type="Simulada",_xlfn.XLOOKUP(tbl_Bonds[[#This Row],[Coupon]],Simulador!$B$5:$B$147,Simulador!$H$5:$H$147),0)</f>
        <v>0</v>
      </c>
      <c r="H312" s="5" cm="1">
        <f t="array" ref="H31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0.13372890379553737</v>
      </c>
      <c r="I312" s="5" cm="1">
        <f t="array" ref="I312">Interpola_FF(tbl_Bonds[[#This Row],[DU]],dus_svensson,svensson_implicita)</f>
        <v>5.0400974841755763E-2</v>
      </c>
      <c r="J312" s="49">
        <f>IF(curve_type="Simulada",_xlfn.XLOOKUP(tbl_Bonds[[#This Row],[Coupon]],Simulador!$B$5:$B$147,Simulador!$N$5:$N$147),0)</f>
        <v>0</v>
      </c>
      <c r="K312" s="5" cm="1">
        <f t="array" ref="K31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5.0400974841755763E-2</v>
      </c>
      <c r="L312" s="5" cm="1">
        <f t="array" ref="L312">Interpola_FF(tbl_Bonds[[#This Row],[DU]],dus_svensson,svensson_real_spot)</f>
        <v>7.9302041272826251E-2</v>
      </c>
      <c r="M312" s="49">
        <f>IF(curve_type="Simulada",_xlfn.XLOOKUP(tbl_Bonds[[#This Row],[Coupon]],Simulador!$B$5:$B$147,Simulador!$K$5:$K$147),0)</f>
        <v>0</v>
      </c>
      <c r="N312" s="5" cm="1">
        <f t="array" ref="N31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7.9302041272826251E-2</v>
      </c>
      <c r="O312" s="6">
        <f>IF(curve_type="Mercado",tbl_Bonds[[#This Row],[FC]]/(1+tbl_Bonds[[#This Row],[Real Mercado]])^(tbl_Bonds[[#This Row],[DU]]/252),tbl_Bonds[[#This Row],[FC]]/(1+tbl_Bonds[[#This Row],[Real Simulada]])^(tbl_Bonds[[#This Row],[DU]]/252))</f>
        <v>2.7640844460278355E-2</v>
      </c>
      <c r="P312" s="7">
        <f>tbl_Bonds[[#This Row],[Cotação]]*VNA</f>
        <v>109.32795095335507</v>
      </c>
      <c r="Q312" s="18">
        <f>tbl_Bonds[[#This Row],[Cotação]]%%*VNA</f>
        <v>1.0932795095335505E-2</v>
      </c>
      <c r="R31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-8.9236112796952736E-3</v>
      </c>
      <c r="S31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-8.4950246026016599E-3</v>
      </c>
      <c r="T31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9.1689318280332253E-3</v>
      </c>
      <c r="U312" s="18">
        <f>IF(curve_type="Mercado",tbl_Bonds[[#This Row],[VP Cupom]]*LN(1+tbl_Bonds[[#This Row],[Real Mercado]])/252,tbl_Bonds[[#This Row],[VP Cupom]]*LN(1+tbl_Bonds[[#This Row],[Real Simulada]])/252)</f>
        <v>3.310839689950245E-2</v>
      </c>
      <c r="V312" s="18">
        <f>SUMIF(Dashboard!$B$28:$B$42,tbl_Bonds[[#This Row],[Bond]],Dashboard!$C$28:$C$42)</f>
        <v>9853</v>
      </c>
      <c r="W312" s="18">
        <f>tbl_Bonds[[#This Row],[Quantidade]]*tbl_Bonds[[#This Row],[𝛿P/𝛿VNA]]</f>
        <v>107.72083007434074</v>
      </c>
      <c r="X312" s="18">
        <f>+tbl_Bonds[[#This Row],[Quantidade]]*tbl_Bonds[[#This Row],[𝛿P/𝛿r_real]]</f>
        <v>-87.924341938837529</v>
      </c>
      <c r="Y312" s="18">
        <f>tbl_Bonds[[#This Row],[Quantidade]]*tbl_Bonds[[#This Row],[𝛿P/𝛿r_pre]]</f>
        <v>-83.701477409434148</v>
      </c>
      <c r="Z312" s="18">
        <f>tbl_Bonds[[#This Row],[Quantidade]]*tbl_Bonds[[#This Row],[𝛿P/𝛿r_implicita]]</f>
        <v>90.341485301611371</v>
      </c>
      <c r="AA312" s="18">
        <f>tbl_Bonds[[#This Row],[Quantidade]]*tbl_Bonds[[#This Row],[𝛿P/𝛿du]]</f>
        <v>326.21703465079764</v>
      </c>
    </row>
    <row r="313" spans="1:27">
      <c r="A313" s="2" t="s">
        <v>89</v>
      </c>
      <c r="B313" s="3">
        <v>58669</v>
      </c>
      <c r="C313" s="3">
        <v>45337</v>
      </c>
      <c r="D313" s="4">
        <f>NETWORKDAYS(Dashboard!$C$10,bonds!C313,feriados)-1</f>
        <v>346</v>
      </c>
      <c r="E313" s="2">
        <f>IF(tbl_Bonds[[#This Row],[Coupon]]&lt;tbl_Bonds[[#This Row],[Maturity]],SQRT(1.06)-1,SQRT(1.06))</f>
        <v>2.9563014098699991E-2</v>
      </c>
      <c r="F313" s="5" cm="1">
        <f t="array" ref="F313">Svensson(betas_pre,tbl_Bonds[[#This Row],[DU]])</f>
        <v>0.12747368770436204</v>
      </c>
      <c r="G313" s="49">
        <f>IF(curve_type="Simulada",_xlfn.XLOOKUP(tbl_Bonds[[#This Row],[Coupon]],Simulador!$B$5:$B$147,Simulador!$H$5:$H$147),0)</f>
        <v>0</v>
      </c>
      <c r="H313" s="5" cm="1">
        <f t="array" ref="H31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0.12747368770436204</v>
      </c>
      <c r="I313" s="5" cm="1">
        <f t="array" ref="I313">Interpola_FF(tbl_Bonds[[#This Row],[DU]],dus_svensson,svensson_implicita)</f>
        <v>5.1308537686221012E-2</v>
      </c>
      <c r="J313" s="49">
        <f>IF(curve_type="Simulada",_xlfn.XLOOKUP(tbl_Bonds[[#This Row],[Coupon]],Simulador!$B$5:$B$147,Simulador!$N$5:$N$147),0)</f>
        <v>0</v>
      </c>
      <c r="K313" s="5" cm="1">
        <f t="array" ref="K31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5.1308537686221012E-2</v>
      </c>
      <c r="L313" s="5" cm="1">
        <f t="array" ref="L313">Interpola_FF(tbl_Bonds[[#This Row],[DU]],dus_svensson,svensson_real_spot)</f>
        <v>7.2438747759168143E-2</v>
      </c>
      <c r="M313" s="49">
        <f>IF(curve_type="Simulada",_xlfn.XLOOKUP(tbl_Bonds[[#This Row],[Coupon]],Simulador!$B$5:$B$147,Simulador!$K$5:$K$147),0)</f>
        <v>0</v>
      </c>
      <c r="N313" s="5" cm="1">
        <f t="array" ref="N31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7.2438747759168143E-2</v>
      </c>
      <c r="O313" s="6">
        <f>IF(curve_type="Mercado",tbl_Bonds[[#This Row],[FC]]/(1+tbl_Bonds[[#This Row],[Real Mercado]])^(tbl_Bonds[[#This Row],[DU]]/252),tbl_Bonds[[#This Row],[FC]]/(1+tbl_Bonds[[#This Row],[Real Simulada]])^(tbl_Bonds[[#This Row],[DU]]/252))</f>
        <v>2.6856337759066942E-2</v>
      </c>
      <c r="P313" s="7">
        <f>tbl_Bonds[[#This Row],[Cotação]]*VNA</f>
        <v>106.22498822456166</v>
      </c>
      <c r="Q313" s="18">
        <f>tbl_Bonds[[#This Row],[Cotação]]%%*VNA</f>
        <v>1.0622498822456167E-2</v>
      </c>
      <c r="R31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-1.3599713293462592E-2</v>
      </c>
      <c r="S31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-1.2935723286440097E-2</v>
      </c>
      <c r="T31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1.3872889940554092E-2</v>
      </c>
      <c r="U313" s="18">
        <f>IF(curve_type="Mercado",tbl_Bonds[[#This Row],[VP Cupom]]*LN(1+tbl_Bonds[[#This Row],[Real Mercado]])/252,tbl_Bonds[[#This Row],[VP Cupom]]*LN(1+tbl_Bonds[[#This Row],[Real Simulada]])/252)</f>
        <v>2.947965085386333E-2</v>
      </c>
      <c r="V313" s="18">
        <f>SUMIF(Dashboard!$B$28:$B$42,tbl_Bonds[[#This Row],[Bond]],Dashboard!$C$28:$C$42)</f>
        <v>9853</v>
      </c>
      <c r="W313" s="18">
        <f>tbl_Bonds[[#This Row],[Quantidade]]*tbl_Bonds[[#This Row],[𝛿P/𝛿VNA]]</f>
        <v>104.66348089766061</v>
      </c>
      <c r="X313" s="18">
        <f>+tbl_Bonds[[#This Row],[Quantidade]]*tbl_Bonds[[#This Row],[𝛿P/𝛿r_real]]</f>
        <v>-133.99797508048692</v>
      </c>
      <c r="Y313" s="18">
        <f>tbl_Bonds[[#This Row],[Quantidade]]*tbl_Bonds[[#This Row],[𝛿P/𝛿r_pre]]</f>
        <v>-127.45568154129428</v>
      </c>
      <c r="Z313" s="18">
        <f>tbl_Bonds[[#This Row],[Quantidade]]*tbl_Bonds[[#This Row],[𝛿P/𝛿r_implicita]]</f>
        <v>136.68958458427946</v>
      </c>
      <c r="AA313" s="18">
        <f>tbl_Bonds[[#This Row],[Quantidade]]*tbl_Bonds[[#This Row],[𝛿P/𝛿du]]</f>
        <v>290.46299986311539</v>
      </c>
    </row>
    <row r="314" spans="1:27">
      <c r="A314" s="2" t="s">
        <v>89</v>
      </c>
      <c r="B314" s="3">
        <v>58669</v>
      </c>
      <c r="C314" s="3">
        <v>45519</v>
      </c>
      <c r="D314" s="4">
        <f>NETWORKDAYS(Dashboard!$C$10,bonds!C314,feriados)-1</f>
        <v>473</v>
      </c>
      <c r="E314" s="2">
        <f>IF(tbl_Bonds[[#This Row],[Coupon]]&lt;tbl_Bonds[[#This Row],[Maturity]],SQRT(1.06)-1,SQRT(1.06))</f>
        <v>2.9563014098699991E-2</v>
      </c>
      <c r="F314" s="5" cm="1">
        <f t="array" ref="F314">Svensson(betas_pre,tbl_Bonds[[#This Row],[DU]])</f>
        <v>0.12241457710811354</v>
      </c>
      <c r="G314" s="49">
        <f>IF(curve_type="Simulada",_xlfn.XLOOKUP(tbl_Bonds[[#This Row],[Coupon]],Simulador!$B$5:$B$147,Simulador!$H$5:$H$147),0)</f>
        <v>0</v>
      </c>
      <c r="H314" s="5" cm="1">
        <f t="array" ref="H31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0.12241457710811354</v>
      </c>
      <c r="I314" s="5" cm="1">
        <f t="array" ref="I314">Interpola_FF(tbl_Bonds[[#This Row],[DU]],dus_svensson,svensson_implicita)</f>
        <v>5.1636418386285854E-2</v>
      </c>
      <c r="J314" s="49">
        <f>IF(curve_type="Simulada",_xlfn.XLOOKUP(tbl_Bonds[[#This Row],[Coupon]],Simulador!$B$5:$B$147,Simulador!$N$5:$N$147),0)</f>
        <v>0</v>
      </c>
      <c r="K314" s="5" cm="1">
        <f t="array" ref="K31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5.1636418386285854E-2</v>
      </c>
      <c r="L314" s="5" cm="1">
        <f t="array" ref="L314">Interpola_FF(tbl_Bonds[[#This Row],[DU]],dus_svensson,svensson_real_spot)</f>
        <v>6.730173834988129E-2</v>
      </c>
      <c r="M314" s="49">
        <f>IF(curve_type="Simulada",_xlfn.XLOOKUP(tbl_Bonds[[#This Row],[Coupon]],Simulador!$B$5:$B$147,Simulador!$K$5:$K$147),0)</f>
        <v>0</v>
      </c>
      <c r="N314" s="5" cm="1">
        <f t="array" ref="N31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6.730173834988129E-2</v>
      </c>
      <c r="O314" s="6">
        <f>IF(curve_type="Mercado",tbl_Bonds[[#This Row],[FC]]/(1+tbl_Bonds[[#This Row],[Real Mercado]])^(tbl_Bonds[[#This Row],[DU]]/252),tbl_Bonds[[#This Row],[FC]]/(1+tbl_Bonds[[#This Row],[Real Simulada]])^(tbl_Bonds[[#This Row],[DU]]/252))</f>
        <v>2.6160982699978276E-2</v>
      </c>
      <c r="P314" s="7">
        <f>tbl_Bonds[[#This Row],[Cotação]]*VNA</f>
        <v>103.47464736922124</v>
      </c>
      <c r="Q314" s="18">
        <f>tbl_Bonds[[#This Row],[Cotação]]%%*VNA</f>
        <v>1.0347464736922126E-2</v>
      </c>
      <c r="R31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-1.8197316061490301E-2</v>
      </c>
      <c r="S31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-1.7303756115098563E-2</v>
      </c>
      <c r="T31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1.8468348720856322E-2</v>
      </c>
      <c r="U314" s="18">
        <f>IF(curve_type="Mercado",tbl_Bonds[[#This Row],[VP Cupom]]*LN(1+tbl_Bonds[[#This Row],[Real Mercado]])/252,tbl_Bonds[[#This Row],[VP Cupom]]*LN(1+tbl_Bonds[[#This Row],[Real Simulada]])/252)</f>
        <v>2.6744797971613773E-2</v>
      </c>
      <c r="V314" s="18">
        <f>SUMIF(Dashboard!$B$28:$B$42,tbl_Bonds[[#This Row],[Bond]],Dashboard!$C$28:$C$42)</f>
        <v>9853</v>
      </c>
      <c r="W314" s="18">
        <f>tbl_Bonds[[#This Row],[Quantidade]]*tbl_Bonds[[#This Row],[𝛿P/𝛿VNA]]</f>
        <v>101.95357005289371</v>
      </c>
      <c r="X314" s="18">
        <f>+tbl_Bonds[[#This Row],[Quantidade]]*tbl_Bonds[[#This Row],[𝛿P/𝛿r_real]]</f>
        <v>-179.29815515386395</v>
      </c>
      <c r="Y314" s="18">
        <f>tbl_Bonds[[#This Row],[Quantidade]]*tbl_Bonds[[#This Row],[𝛿P/𝛿r_pre]]</f>
        <v>-170.49390900206615</v>
      </c>
      <c r="Z314" s="18">
        <f>tbl_Bonds[[#This Row],[Quantidade]]*tbl_Bonds[[#This Row],[𝛿P/𝛿r_implicita]]</f>
        <v>181.96863994659734</v>
      </c>
      <c r="AA314" s="18">
        <f>tbl_Bonds[[#This Row],[Quantidade]]*tbl_Bonds[[#This Row],[𝛿P/𝛿du]]</f>
        <v>263.5164944143105</v>
      </c>
    </row>
    <row r="315" spans="1:27">
      <c r="A315" s="2" t="s">
        <v>89</v>
      </c>
      <c r="B315" s="3">
        <v>58669</v>
      </c>
      <c r="C315" s="3">
        <v>45705</v>
      </c>
      <c r="D315" s="4">
        <f>NETWORKDAYS(Dashboard!$C$10,bonds!C315,feriados)-1</f>
        <v>602</v>
      </c>
      <c r="E315" s="2">
        <f>IF(tbl_Bonds[[#This Row],[Coupon]]&lt;tbl_Bonds[[#This Row],[Maturity]],SQRT(1.06)-1,SQRT(1.06))</f>
        <v>2.9563014098699991E-2</v>
      </c>
      <c r="F315" s="5" cm="1">
        <f t="array" ref="F315">Svensson(betas_pre,tbl_Bonds[[#This Row],[DU]])</f>
        <v>0.11913959507080539</v>
      </c>
      <c r="G315" s="49">
        <f>IF(curve_type="Simulada",_xlfn.XLOOKUP(tbl_Bonds[[#This Row],[Coupon]],Simulador!$B$5:$B$147,Simulador!$H$5:$H$147),0)</f>
        <v>0</v>
      </c>
      <c r="H315" s="5" cm="1">
        <f t="array" ref="H31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0.11913959507080539</v>
      </c>
      <c r="I315" s="5" cm="1">
        <f t="array" ref="I315">Interpola_FF(tbl_Bonds[[#This Row],[DU]],dus_svensson,svensson_implicita)</f>
        <v>5.2245707571055622E-2</v>
      </c>
      <c r="J315" s="49">
        <f>IF(curve_type="Simulada",_xlfn.XLOOKUP(tbl_Bonds[[#This Row],[Coupon]],Simulador!$B$5:$B$147,Simulador!$N$5:$N$147),0)</f>
        <v>0</v>
      </c>
      <c r="K315" s="5" cm="1">
        <f t="array" ref="K31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5.2245707571055622E-2</v>
      </c>
      <c r="L315" s="5" cm="1">
        <f t="array" ref="L315">Interpola_FF(tbl_Bonds[[#This Row],[DU]],dus_svensson,svensson_real_spot)</f>
        <v>6.3573730880697621E-2</v>
      </c>
      <c r="M315" s="49">
        <f>IF(curve_type="Simulada",_xlfn.XLOOKUP(tbl_Bonds[[#This Row],[Coupon]],Simulador!$B$5:$B$147,Simulador!$K$5:$K$147),0)</f>
        <v>0</v>
      </c>
      <c r="N315" s="5" cm="1">
        <f t="array" ref="N31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6.3573730880697621E-2</v>
      </c>
      <c r="O315" s="6">
        <f>IF(curve_type="Mercado",tbl_Bonds[[#This Row],[FC]]/(1+tbl_Bonds[[#This Row],[Real Mercado]])^(tbl_Bonds[[#This Row],[DU]]/252),tbl_Bonds[[#This Row],[FC]]/(1+tbl_Bonds[[#This Row],[Real Simulada]])^(tbl_Bonds[[#This Row],[DU]]/252))</f>
        <v>2.5515488243228496E-2</v>
      </c>
      <c r="P315" s="7">
        <f>tbl_Bonds[[#This Row],[Cotação]]*VNA</f>
        <v>100.92152036871961</v>
      </c>
      <c r="Q315" s="18">
        <f>tbl_Bonds[[#This Row],[Cotação]]%%*VNA</f>
        <v>1.0092152036871962E-2</v>
      </c>
      <c r="R31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-2.2667944088744268E-2</v>
      </c>
      <c r="S31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-2.1542528534510597E-2</v>
      </c>
      <c r="T31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2.2912040873576508E-2</v>
      </c>
      <c r="U315" s="18">
        <f>IF(curve_type="Mercado",tbl_Bonds[[#This Row],[VP Cupom]]*LN(1+tbl_Bonds[[#This Row],[Real Mercado]])/252,tbl_Bonds[[#This Row],[VP Cupom]]*LN(1+tbl_Bonds[[#This Row],[Real Simulada]])/252)</f>
        <v>2.4683594413289961E-2</v>
      </c>
      <c r="V315" s="18">
        <f>SUMIF(Dashboard!$B$28:$B$42,tbl_Bonds[[#This Row],[Bond]],Dashboard!$C$28:$C$42)</f>
        <v>9853</v>
      </c>
      <c r="W315" s="18">
        <f>tbl_Bonds[[#This Row],[Quantidade]]*tbl_Bonds[[#This Row],[𝛿P/𝛿VNA]]</f>
        <v>99.437974019299446</v>
      </c>
      <c r="X315" s="18">
        <f>+tbl_Bonds[[#This Row],[Quantidade]]*tbl_Bonds[[#This Row],[𝛿P/𝛿r_real]]</f>
        <v>-223.34725310639726</v>
      </c>
      <c r="Y315" s="18">
        <f>tbl_Bonds[[#This Row],[Quantidade]]*tbl_Bonds[[#This Row],[𝛿P/𝛿r_pre]]</f>
        <v>-212.25853365053291</v>
      </c>
      <c r="Z315" s="18">
        <f>tbl_Bonds[[#This Row],[Quantidade]]*tbl_Bonds[[#This Row],[𝛿P/𝛿r_implicita]]</f>
        <v>225.75233872734933</v>
      </c>
      <c r="AA315" s="18">
        <f>tbl_Bonds[[#This Row],[Quantidade]]*tbl_Bonds[[#This Row],[𝛿P/𝛿du]]</f>
        <v>243.207455754146</v>
      </c>
    </row>
    <row r="316" spans="1:27">
      <c r="A316" s="2" t="s">
        <v>89</v>
      </c>
      <c r="B316" s="3">
        <v>58669</v>
      </c>
      <c r="C316" s="3">
        <v>45884</v>
      </c>
      <c r="D316" s="4">
        <f>NETWORKDAYS(Dashboard!$C$10,bonds!C316,feriados)-1</f>
        <v>725</v>
      </c>
      <c r="E316" s="2">
        <f>IF(tbl_Bonds[[#This Row],[Coupon]]&lt;tbl_Bonds[[#This Row],[Maturity]],SQRT(1.06)-1,SQRT(1.06))</f>
        <v>2.9563014098699991E-2</v>
      </c>
      <c r="F316" s="5" cm="1">
        <f t="array" ref="F316">Svensson(betas_pre,tbl_Bonds[[#This Row],[DU]])</f>
        <v>0.11741710508794967</v>
      </c>
      <c r="G316" s="49">
        <f>IF(curve_type="Simulada",_xlfn.XLOOKUP(tbl_Bonds[[#This Row],[Coupon]],Simulador!$B$5:$B$147,Simulador!$H$5:$H$147),0)</f>
        <v>0</v>
      </c>
      <c r="H316" s="5" cm="1">
        <f t="array" ref="H31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0.11741710508794967</v>
      </c>
      <c r="I316" s="5" cm="1">
        <f t="array" ref="I316">Interpola_FF(tbl_Bonds[[#This Row],[DU]],dus_svensson,svensson_implicita)</f>
        <v>5.3104968591759505E-2</v>
      </c>
      <c r="J316" s="49">
        <f>IF(curve_type="Simulada",_xlfn.XLOOKUP(tbl_Bonds[[#This Row],[Coupon]],Simulador!$B$5:$B$147,Simulador!$N$5:$N$147),0)</f>
        <v>0</v>
      </c>
      <c r="K316" s="5" cm="1">
        <f t="array" ref="K31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5.3104968591759505E-2</v>
      </c>
      <c r="L316" s="5" cm="1">
        <f t="array" ref="L316">Interpola_FF(tbl_Bonds[[#This Row],[DU]],dus_svensson,svensson_real_spot)</f>
        <v>6.1070807198248644E-2</v>
      </c>
      <c r="M316" s="49">
        <f>IF(curve_type="Simulada",_xlfn.XLOOKUP(tbl_Bonds[[#This Row],[Coupon]],Simulador!$B$5:$B$147,Simulador!$K$5:$K$147),0)</f>
        <v>0</v>
      </c>
      <c r="N316" s="5" cm="1">
        <f t="array" ref="N31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6.1070807198248644E-2</v>
      </c>
      <c r="O316" s="6">
        <f>IF(curve_type="Mercado",tbl_Bonds[[#This Row],[FC]]/(1+tbl_Bonds[[#This Row],[Real Mercado]])^(tbl_Bonds[[#This Row],[DU]]/252),tbl_Bonds[[#This Row],[FC]]/(1+tbl_Bonds[[#This Row],[Real Simulada]])^(tbl_Bonds[[#This Row],[DU]]/252))</f>
        <v>2.4927721145174282E-2</v>
      </c>
      <c r="P316" s="7">
        <f>tbl_Bonds[[#This Row],[Cotação]]*VNA</f>
        <v>98.596722638302523</v>
      </c>
      <c r="Q316" s="18">
        <f>tbl_Bonds[[#This Row],[Cotação]]%%*VNA</f>
        <v>9.8596722638302527E-3</v>
      </c>
      <c r="R31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-2.6733485086830221E-2</v>
      </c>
      <c r="S31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-2.5385556042411363E-2</v>
      </c>
      <c r="T31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2.6935828231720655E-2</v>
      </c>
      <c r="U316" s="18">
        <f>IF(curve_type="Mercado",tbl_Bonds[[#This Row],[VP Cupom]]*LN(1+tbl_Bonds[[#This Row],[Real Mercado]])/252,tbl_Bonds[[#This Row],[VP Cupom]]*LN(1+tbl_Bonds[[#This Row],[Real Simulada]])/252)</f>
        <v>2.3193155001732964E-2</v>
      </c>
      <c r="V316" s="18">
        <f>SUMIF(Dashboard!$B$28:$B$42,tbl_Bonds[[#This Row],[Bond]],Dashboard!$C$28:$C$42)</f>
        <v>9853</v>
      </c>
      <c r="W316" s="18">
        <f>tbl_Bonds[[#This Row],[Quantidade]]*tbl_Bonds[[#This Row],[𝛿P/𝛿VNA]]</f>
        <v>97.147350815519474</v>
      </c>
      <c r="X316" s="18">
        <f>+tbl_Bonds[[#This Row],[Quantidade]]*tbl_Bonds[[#This Row],[𝛿P/𝛿r_real]]</f>
        <v>-263.4050285605382</v>
      </c>
      <c r="Y316" s="18">
        <f>tbl_Bonds[[#This Row],[Quantidade]]*tbl_Bonds[[#This Row],[𝛿P/𝛿r_pre]]</f>
        <v>-250.12388368587915</v>
      </c>
      <c r="Z316" s="18">
        <f>tbl_Bonds[[#This Row],[Quantidade]]*tbl_Bonds[[#This Row],[𝛿P/𝛿r_implicita]]</f>
        <v>265.3987155671436</v>
      </c>
      <c r="AA316" s="18">
        <f>tbl_Bonds[[#This Row],[Quantidade]]*tbl_Bonds[[#This Row],[𝛿P/𝛿du]]</f>
        <v>228.52215623207491</v>
      </c>
    </row>
    <row r="317" spans="1:27">
      <c r="A317" s="2" t="s">
        <v>89</v>
      </c>
      <c r="B317" s="3">
        <v>58669</v>
      </c>
      <c r="C317" s="3">
        <v>46071</v>
      </c>
      <c r="D317" s="4">
        <f>NETWORKDAYS(Dashboard!$C$10,bonds!C317,feriados)-1</f>
        <v>854</v>
      </c>
      <c r="E317" s="2">
        <f>IF(tbl_Bonds[[#This Row],[Coupon]]&lt;tbl_Bonds[[#This Row],[Maturity]],SQRT(1.06)-1,SQRT(1.06))</f>
        <v>2.9563014098699991E-2</v>
      </c>
      <c r="F317" s="5" cm="1">
        <f t="array" ref="F317">Svensson(betas_pre,tbl_Bonds[[#This Row],[DU]])</f>
        <v>0.11659182503244317</v>
      </c>
      <c r="G317" s="49">
        <f>IF(curve_type="Simulada",_xlfn.XLOOKUP(tbl_Bonds[[#This Row],[Coupon]],Simulador!$B$5:$B$147,Simulador!$H$5:$H$147),0)</f>
        <v>0</v>
      </c>
      <c r="H317" s="5" cm="1">
        <f t="array" ref="H31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0.11659182503244317</v>
      </c>
      <c r="I317" s="5" cm="1">
        <f t="array" ref="I317">Interpola_FF(tbl_Bonds[[#This Row],[DU]],dus_svensson,svensson_implicita)</f>
        <v>5.4141996542348858E-2</v>
      </c>
      <c r="J317" s="49">
        <f>IF(curve_type="Simulada",_xlfn.XLOOKUP(tbl_Bonds[[#This Row],[Coupon]],Simulador!$B$5:$B$147,Simulador!$N$5:$N$147),0)</f>
        <v>0</v>
      </c>
      <c r="K317" s="5" cm="1">
        <f t="array" ref="K31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5.4141996542348858E-2</v>
      </c>
      <c r="L317" s="5" cm="1">
        <f t="array" ref="L317">Interpola_FF(tbl_Bonds[[#This Row],[DU]],dus_svensson,svensson_real_spot)</f>
        <v>5.927838770503624E-2</v>
      </c>
      <c r="M317" s="49">
        <f>IF(curve_type="Simulada",_xlfn.XLOOKUP(tbl_Bonds[[#This Row],[Coupon]],Simulador!$B$5:$B$147,Simulador!$K$5:$K$147),0)</f>
        <v>0</v>
      </c>
      <c r="N317" s="5" cm="1">
        <f t="array" ref="N31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5.927838770503624E-2</v>
      </c>
      <c r="O317" s="6">
        <f>IF(curve_type="Mercado",tbl_Bonds[[#This Row],[FC]]/(1+tbl_Bonds[[#This Row],[Real Mercado]])^(tbl_Bonds[[#This Row],[DU]]/252),tbl_Bonds[[#This Row],[FC]]/(1+tbl_Bonds[[#This Row],[Real Simulada]])^(tbl_Bonds[[#This Row],[DU]]/252))</f>
        <v>2.4321604466759829E-2</v>
      </c>
      <c r="P317" s="7">
        <f>tbl_Bonds[[#This Row],[Cotação]]*VNA</f>
        <v>96.199346733780743</v>
      </c>
      <c r="Q317" s="18">
        <f>tbl_Bonds[[#This Row],[Cotação]]%%*VNA</f>
        <v>9.6199346733780756E-3</v>
      </c>
      <c r="R31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-3.0776507955646001E-2</v>
      </c>
      <c r="S31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-2.9200151732275033E-2</v>
      </c>
      <c r="T31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3.0930036770103562E-2</v>
      </c>
      <c r="U317" s="18">
        <f>IF(curve_type="Mercado",tbl_Bonds[[#This Row],[VP Cupom]]*LN(1+tbl_Bonds[[#This Row],[Real Mercado]])/252,tbl_Bonds[[#This Row],[VP Cupom]]*LN(1+tbl_Bonds[[#This Row],[Real Simulada]])/252)</f>
        <v>2.1983806825281928E-2</v>
      </c>
      <c r="V317" s="18">
        <f>SUMIF(Dashboard!$B$28:$B$42,tbl_Bonds[[#This Row],[Bond]],Dashboard!$C$28:$C$42)</f>
        <v>9853</v>
      </c>
      <c r="W317" s="18">
        <f>tbl_Bonds[[#This Row],[Quantidade]]*tbl_Bonds[[#This Row],[𝛿P/𝛿VNA]]</f>
        <v>94.785216336794178</v>
      </c>
      <c r="X317" s="18">
        <f>+tbl_Bonds[[#This Row],[Quantidade]]*tbl_Bonds[[#This Row],[𝛿P/𝛿r_real]]</f>
        <v>-303.24093288698003</v>
      </c>
      <c r="Y317" s="18">
        <f>tbl_Bonds[[#This Row],[Quantidade]]*tbl_Bonds[[#This Row],[𝛿P/𝛿r_pre]]</f>
        <v>-287.70909501810593</v>
      </c>
      <c r="Z317" s="18">
        <f>tbl_Bonds[[#This Row],[Quantidade]]*tbl_Bonds[[#This Row],[𝛿P/𝛿r_implicita]]</f>
        <v>304.75365229583042</v>
      </c>
      <c r="AA317" s="18">
        <f>tbl_Bonds[[#This Row],[Quantidade]]*tbl_Bonds[[#This Row],[𝛿P/𝛿du]]</f>
        <v>216.60644864950282</v>
      </c>
    </row>
    <row r="318" spans="1:27">
      <c r="A318" s="2" t="s">
        <v>89</v>
      </c>
      <c r="B318" s="3">
        <v>58669</v>
      </c>
      <c r="C318" s="3">
        <v>46251</v>
      </c>
      <c r="D318" s="4">
        <f>NETWORKDAYS(Dashboard!$C$10,bonds!C318,feriados)-1</f>
        <v>978</v>
      </c>
      <c r="E318" s="2">
        <f>IF(tbl_Bonds[[#This Row],[Coupon]]&lt;tbl_Bonds[[#This Row],[Maturity]],SQRT(1.06)-1,SQRT(1.06))</f>
        <v>2.9563014098699991E-2</v>
      </c>
      <c r="F318" s="5" cm="1">
        <f t="array" ref="F318">Svensson(betas_pre,tbl_Bonds[[#This Row],[DU]])</f>
        <v>0.11637191467183143</v>
      </c>
      <c r="G318" s="49">
        <f>IF(curve_type="Simulada",_xlfn.XLOOKUP(tbl_Bonds[[#This Row],[Coupon]],Simulador!$B$5:$B$147,Simulador!$H$5:$H$147),0)</f>
        <v>0</v>
      </c>
      <c r="H318" s="5" cm="1">
        <f t="array" ref="H31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0.11637191467183143</v>
      </c>
      <c r="I318" s="5" cm="1">
        <f t="array" ref="I318">Interpola_FF(tbl_Bonds[[#This Row],[DU]],dus_svensson,svensson_implicita)</f>
        <v>5.5066564562549658E-2</v>
      </c>
      <c r="J318" s="49">
        <f>IF(curve_type="Simulada",_xlfn.XLOOKUP(tbl_Bonds[[#This Row],[Coupon]],Simulador!$B$5:$B$147,Simulador!$N$5:$N$147),0)</f>
        <v>0</v>
      </c>
      <c r="K318" s="5" cm="1">
        <f t="array" ref="K31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5.5066564562549658E-2</v>
      </c>
      <c r="L318" s="5" cm="1">
        <f t="array" ref="L318">Interpola_FF(tbl_Bonds[[#This Row],[DU]],dus_svensson,svensson_real_spot)</f>
        <v>5.8133069907817969E-2</v>
      </c>
      <c r="M318" s="49">
        <f>IF(curve_type="Simulada",_xlfn.XLOOKUP(tbl_Bonds[[#This Row],[Coupon]],Simulador!$B$5:$B$147,Simulador!$K$5:$K$147),0)</f>
        <v>0</v>
      </c>
      <c r="N318" s="5" cm="1">
        <f t="array" ref="N31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5.8133069907817969E-2</v>
      </c>
      <c r="O318" s="6">
        <f>IF(curve_type="Mercado",tbl_Bonds[[#This Row],[FC]]/(1+tbl_Bonds[[#This Row],[Real Mercado]])^(tbl_Bonds[[#This Row],[DU]]/252),tbl_Bonds[[#This Row],[FC]]/(1+tbl_Bonds[[#This Row],[Real Simulada]])^(tbl_Bonds[[#This Row],[DU]]/252))</f>
        <v>2.3741547469357031E-2</v>
      </c>
      <c r="P318" s="7">
        <f>tbl_Bonds[[#This Row],[Cotação]]*VNA</f>
        <v>93.90504479762474</v>
      </c>
      <c r="Q318" s="18">
        <f>tbl_Bonds[[#This Row],[Cotação]]%%*VNA</f>
        <v>9.3905044797624737E-3</v>
      </c>
      <c r="R31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-3.4441888034227201E-2</v>
      </c>
      <c r="S31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-3.2648405861038642E-2</v>
      </c>
      <c r="T31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3.4545463372903575E-2</v>
      </c>
      <c r="U318" s="18">
        <f>IF(curve_type="Mercado",tbl_Bonds[[#This Row],[VP Cupom]]*LN(1+tbl_Bonds[[#This Row],[Real Mercado]])/252,tbl_Bonds[[#This Row],[VP Cupom]]*LN(1+tbl_Bonds[[#This Row],[Real Simulada]])/252)</f>
        <v>2.1056380546002E-2</v>
      </c>
      <c r="V318" s="18">
        <f>SUMIF(Dashboard!$B$28:$B$42,tbl_Bonds[[#This Row],[Bond]],Dashboard!$C$28:$C$42)</f>
        <v>9853</v>
      </c>
      <c r="W318" s="18">
        <f>tbl_Bonds[[#This Row],[Quantidade]]*tbl_Bonds[[#This Row],[𝛿P/𝛿VNA]]</f>
        <v>92.524640639099658</v>
      </c>
      <c r="X318" s="18">
        <f>+tbl_Bonds[[#This Row],[Quantidade]]*tbl_Bonds[[#This Row],[𝛿P/𝛿r_real]]</f>
        <v>-339.35592280124064</v>
      </c>
      <c r="Y318" s="18">
        <f>tbl_Bonds[[#This Row],[Quantidade]]*tbl_Bonds[[#This Row],[𝛿P/𝛿r_pre]]</f>
        <v>-321.68474294881372</v>
      </c>
      <c r="Z318" s="18">
        <f>tbl_Bonds[[#This Row],[Quantidade]]*tbl_Bonds[[#This Row],[𝛿P/𝛿r_implicita]]</f>
        <v>340.37645061321894</v>
      </c>
      <c r="AA318" s="18">
        <f>tbl_Bonds[[#This Row],[Quantidade]]*tbl_Bonds[[#This Row],[𝛿P/𝛿du]]</f>
        <v>207.46851751975771</v>
      </c>
    </row>
    <row r="319" spans="1:27">
      <c r="A319" s="2" t="s">
        <v>89</v>
      </c>
      <c r="B319" s="3">
        <v>58669</v>
      </c>
      <c r="C319" s="3">
        <v>46433</v>
      </c>
      <c r="D319" s="4">
        <f>NETWORKDAYS(Dashboard!$C$10,bonds!C319,feriados)-1</f>
        <v>1101</v>
      </c>
      <c r="E319" s="2">
        <f>IF(tbl_Bonds[[#This Row],[Coupon]]&lt;tbl_Bonds[[#This Row],[Maturity]],SQRT(1.06)-1,SQRT(1.06))</f>
        <v>2.9563014098699991E-2</v>
      </c>
      <c r="F319" s="5" cm="1">
        <f t="array" ref="F319">Svensson(betas_pre,tbl_Bonds[[#This Row],[DU]])</f>
        <v>0.11646160743294708</v>
      </c>
      <c r="G319" s="49">
        <f>IF(curve_type="Simulada",_xlfn.XLOOKUP(tbl_Bonds[[#This Row],[Coupon]],Simulador!$B$5:$B$147,Simulador!$H$5:$H$147),0)</f>
        <v>0</v>
      </c>
      <c r="H319" s="5" cm="1">
        <f t="array" ref="H31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0.11646160743294708</v>
      </c>
      <c r="I319" s="5" cm="1">
        <f t="array" ref="I319">Interpola_FF(tbl_Bonds[[#This Row],[DU]],dus_svensson,svensson_implicita)</f>
        <v>5.5866933897950277E-2</v>
      </c>
      <c r="J319" s="49">
        <f>IF(curve_type="Simulada",_xlfn.XLOOKUP(tbl_Bonds[[#This Row],[Coupon]],Simulador!$B$5:$B$147,Simulador!$N$5:$N$147),0)</f>
        <v>0</v>
      </c>
      <c r="K319" s="5" cm="1">
        <f t="array" ref="K31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5.5866933897950277E-2</v>
      </c>
      <c r="L319" s="5" cm="1">
        <f t="array" ref="L319">Interpola_FF(tbl_Bonds[[#This Row],[DU]],dus_svensson,svensson_real_spot)</f>
        <v>5.7407981869316727E-2</v>
      </c>
      <c r="M319" s="49">
        <f>IF(curve_type="Simulada",_xlfn.XLOOKUP(tbl_Bonds[[#This Row],[Coupon]],Simulador!$B$5:$B$147,Simulador!$K$5:$K$147),0)</f>
        <v>0</v>
      </c>
      <c r="N319" s="5" cm="1">
        <f t="array" ref="N31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5.7407981869316727E-2</v>
      </c>
      <c r="O319" s="6">
        <f>IF(curve_type="Mercado",tbl_Bonds[[#This Row],[FC]]/(1+tbl_Bonds[[#This Row],[Real Mercado]])^(tbl_Bonds[[#This Row],[DU]]/252),tbl_Bonds[[#This Row],[FC]]/(1+tbl_Bonds[[#This Row],[Real Simulada]])^(tbl_Bonds[[#This Row],[DU]]/252))</f>
        <v>2.3164968021171791E-2</v>
      </c>
      <c r="P319" s="7">
        <f>tbl_Bonds[[#This Row],[Cotação]]*VNA</f>
        <v>91.62449762684291</v>
      </c>
      <c r="Q319" s="18">
        <f>tbl_Bonds[[#This Row],[Cotação]]%%*VNA</f>
        <v>9.1624497626842921E-3</v>
      </c>
      <c r="R31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-3.7857837283893893E-2</v>
      </c>
      <c r="S31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-3.5858280398520265E-2</v>
      </c>
      <c r="T31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3.7916135157029754E-2</v>
      </c>
      <c r="U319" s="18">
        <f>IF(curve_type="Mercado",tbl_Bonds[[#This Row],[VP Cupom]]*LN(1+tbl_Bonds[[#This Row],[Real Mercado]])/252,tbl_Bonds[[#This Row],[VP Cupom]]*LN(1+tbl_Bonds[[#This Row],[Real Simulada]])/252)</f>
        <v>2.0295776418198942E-2</v>
      </c>
      <c r="V319" s="18">
        <f>SUMIF(Dashboard!$B$28:$B$42,tbl_Bonds[[#This Row],[Bond]],Dashboard!$C$28:$C$42)</f>
        <v>9853</v>
      </c>
      <c r="W319" s="18">
        <f>tbl_Bonds[[#This Row],[Quantidade]]*tbl_Bonds[[#This Row],[𝛿P/𝛿VNA]]</f>
        <v>90.277617511728323</v>
      </c>
      <c r="X319" s="18">
        <f>+tbl_Bonds[[#This Row],[Quantidade]]*tbl_Bonds[[#This Row],[𝛿P/𝛿r_real]]</f>
        <v>-373.01327075820654</v>
      </c>
      <c r="Y319" s="18">
        <f>tbl_Bonds[[#This Row],[Quantidade]]*tbl_Bonds[[#This Row],[𝛿P/𝛿r_pre]]</f>
        <v>-353.31163676662015</v>
      </c>
      <c r="Z319" s="18">
        <f>tbl_Bonds[[#This Row],[Quantidade]]*tbl_Bonds[[#This Row],[𝛿P/𝛿r_implicita]]</f>
        <v>373.58767970221419</v>
      </c>
      <c r="AA319" s="18">
        <f>tbl_Bonds[[#This Row],[Quantidade]]*tbl_Bonds[[#This Row],[𝛿P/𝛿du]]</f>
        <v>199.97428504851419</v>
      </c>
    </row>
    <row r="320" spans="1:27">
      <c r="A320" s="2" t="s">
        <v>89</v>
      </c>
      <c r="B320" s="3">
        <v>58669</v>
      </c>
      <c r="C320" s="3">
        <v>46615</v>
      </c>
      <c r="D320" s="4">
        <f>NETWORKDAYS(Dashboard!$C$10,bonds!C320,feriados)-1</f>
        <v>1228</v>
      </c>
      <c r="E320" s="2">
        <f>IF(tbl_Bonds[[#This Row],[Coupon]]&lt;tbl_Bonds[[#This Row],[Maturity]],SQRT(1.06)-1,SQRT(1.06))</f>
        <v>2.9563014098699991E-2</v>
      </c>
      <c r="F320" s="5" cm="1">
        <f t="array" ref="F320">Svensson(betas_pre,tbl_Bonds[[#This Row],[DU]])</f>
        <v>0.11671586421546679</v>
      </c>
      <c r="G320" s="49">
        <f>IF(curve_type="Simulada",_xlfn.XLOOKUP(tbl_Bonds[[#This Row],[Coupon]],Simulador!$B$5:$B$147,Simulador!$H$5:$H$147),0)</f>
        <v>0</v>
      </c>
      <c r="H320" s="5" cm="1">
        <f t="array" ref="H32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0.11671586421546679</v>
      </c>
      <c r="I320" s="5" cm="1">
        <f t="array" ref="I320">Interpola_FF(tbl_Bonds[[#This Row],[DU]],dus_svensson,svensson_implicita)</f>
        <v>5.6538828426135002E-2</v>
      </c>
      <c r="J320" s="49">
        <f>IF(curve_type="Simulada",_xlfn.XLOOKUP(tbl_Bonds[[#This Row],[Coupon]],Simulador!$B$5:$B$147,Simulador!$N$5:$N$147),0)</f>
        <v>0</v>
      </c>
      <c r="K320" s="5" cm="1">
        <f t="array" ref="K32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5.6538828426135002E-2</v>
      </c>
      <c r="L320" s="5" cm="1">
        <f t="array" ref="L320">Interpola_FF(tbl_Bonds[[#This Row],[DU]],dus_svensson,svensson_real_spot)</f>
        <v>5.6968724466762044E-2</v>
      </c>
      <c r="M320" s="49">
        <f>IF(curve_type="Simulada",_xlfn.XLOOKUP(tbl_Bonds[[#This Row],[Coupon]],Simulador!$B$5:$B$147,Simulador!$K$5:$K$147),0)</f>
        <v>0</v>
      </c>
      <c r="N320" s="5" cm="1">
        <f t="array" ref="N32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5.6968724466762044E-2</v>
      </c>
      <c r="O320" s="6">
        <f>IF(curve_type="Mercado",tbl_Bonds[[#This Row],[FC]]/(1+tbl_Bonds[[#This Row],[Real Mercado]])^(tbl_Bonds[[#This Row],[DU]]/252),tbl_Bonds[[#This Row],[FC]]/(1+tbl_Bonds[[#This Row],[Real Simulada]])^(tbl_Bonds[[#This Row],[DU]]/252))</f>
        <v>2.2568024049985532E-2</v>
      </c>
      <c r="P320" s="7">
        <f>tbl_Bonds[[#This Row],[Cotação]]*VNA</f>
        <v>89.263402570664766</v>
      </c>
      <c r="Q320" s="18">
        <f>tbl_Bonds[[#This Row],[Cotação]]%%*VNA</f>
        <v>8.9263402570664754E-3</v>
      </c>
      <c r="R32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-4.1153722672892003E-2</v>
      </c>
      <c r="S32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-3.8954041250868057E-2</v>
      </c>
      <c r="T32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4.1172737498865408E-2</v>
      </c>
      <c r="U320" s="18">
        <f>IF(curve_type="Mercado",tbl_Bonds[[#This Row],[VP Cupom]]*LN(1+tbl_Bonds[[#This Row],[Real Mercado]])/252,tbl_Bonds[[#This Row],[VP Cupom]]*LN(1+tbl_Bonds[[#This Row],[Real Simulada]])/252)</f>
        <v>1.9625592487311244E-2</v>
      </c>
      <c r="V320" s="18">
        <f>SUMIF(Dashboard!$B$28:$B$42,tbl_Bonds[[#This Row],[Bond]],Dashboard!$C$28:$C$42)</f>
        <v>9853</v>
      </c>
      <c r="W320" s="18">
        <f>tbl_Bonds[[#This Row],[Quantidade]]*tbl_Bonds[[#This Row],[𝛿P/𝛿VNA]]</f>
        <v>87.951230552875984</v>
      </c>
      <c r="X320" s="18">
        <f>+tbl_Bonds[[#This Row],[Quantidade]]*tbl_Bonds[[#This Row],[𝛿P/𝛿r_real]]</f>
        <v>-405.4876294960049</v>
      </c>
      <c r="Y320" s="18">
        <f>tbl_Bonds[[#This Row],[Quantidade]]*tbl_Bonds[[#This Row],[𝛿P/𝛿r_pre]]</f>
        <v>-383.81416844480299</v>
      </c>
      <c r="Z320" s="18">
        <f>tbl_Bonds[[#This Row],[Quantidade]]*tbl_Bonds[[#This Row],[𝛿P/𝛿r_implicita]]</f>
        <v>405.67498257632087</v>
      </c>
      <c r="AA320" s="18">
        <f>tbl_Bonds[[#This Row],[Quantidade]]*tbl_Bonds[[#This Row],[𝛿P/𝛿du]]</f>
        <v>193.3709627774777</v>
      </c>
    </row>
    <row r="321" spans="1:27">
      <c r="A321" s="2" t="s">
        <v>89</v>
      </c>
      <c r="B321" s="3">
        <v>58669</v>
      </c>
      <c r="C321" s="3">
        <v>46798</v>
      </c>
      <c r="D321" s="4">
        <f>NETWORKDAYS(Dashboard!$C$10,bonds!C321,feriados)-1</f>
        <v>1355</v>
      </c>
      <c r="E321" s="2">
        <f>IF(tbl_Bonds[[#This Row],[Coupon]]&lt;tbl_Bonds[[#This Row],[Maturity]],SQRT(1.06)-1,SQRT(1.06))</f>
        <v>2.9563014098699991E-2</v>
      </c>
      <c r="F321" s="5" cm="1">
        <f t="array" ref="F321">Svensson(betas_pre,tbl_Bonds[[#This Row],[DU]])</f>
        <v>0.11703860353993888</v>
      </c>
      <c r="G321" s="49">
        <f>IF(curve_type="Simulada",_xlfn.XLOOKUP(tbl_Bonds[[#This Row],[Coupon]],Simulador!$B$5:$B$147,Simulador!$H$5:$H$147),0)</f>
        <v>0</v>
      </c>
      <c r="H321" s="5" cm="1">
        <f t="array" ref="H32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0.11703860353993888</v>
      </c>
      <c r="I321" s="5" cm="1">
        <f t="array" ref="I321">Interpola_FF(tbl_Bonds[[#This Row],[DU]],dus_svensson,svensson_implicita)</f>
        <v>5.7054164176732813E-2</v>
      </c>
      <c r="J321" s="49">
        <f>IF(curve_type="Simulada",_xlfn.XLOOKUP(tbl_Bonds[[#This Row],[Coupon]],Simulador!$B$5:$B$147,Simulador!$N$5:$N$147),0)</f>
        <v>0</v>
      </c>
      <c r="K321" s="5" cm="1">
        <f t="array" ref="K32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5.7054164176732813E-2</v>
      </c>
      <c r="L321" s="5" cm="1">
        <f t="array" ref="L321">Interpola_FF(tbl_Bonds[[#This Row],[DU]],dus_svensson,svensson_real_spot)</f>
        <v>5.675390529669766E-2</v>
      </c>
      <c r="M321" s="49">
        <f>IF(curve_type="Simulada",_xlfn.XLOOKUP(tbl_Bonds[[#This Row],[Coupon]],Simulador!$B$5:$B$147,Simulador!$K$5:$K$147),0)</f>
        <v>0</v>
      </c>
      <c r="N321" s="5" cm="1">
        <f t="array" ref="N32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5.675390529669766E-2</v>
      </c>
      <c r="O321" s="6">
        <f>IF(curve_type="Mercado",tbl_Bonds[[#This Row],[FC]]/(1+tbl_Bonds[[#This Row],[Real Mercado]])^(tbl_Bonds[[#This Row],[DU]]/252),tbl_Bonds[[#This Row],[FC]]/(1+tbl_Bonds[[#This Row],[Real Simulada]])^(tbl_Bonds[[#This Row],[DU]]/252))</f>
        <v>2.1970585865922678E-2</v>
      </c>
      <c r="P321" s="7">
        <f>tbl_Bonds[[#This Row],[Cotação]]*VNA</f>
        <v>86.900352752170633</v>
      </c>
      <c r="Q321" s="18">
        <f>tbl_Bonds[[#This Row],[Cotação]]%%*VNA</f>
        <v>8.6900352752170631E-3</v>
      </c>
      <c r="R32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-4.4216710724769265E-2</v>
      </c>
      <c r="S32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-4.1831921789729297E-2</v>
      </c>
      <c r="T32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4.4205749414727782E-2</v>
      </c>
      <c r="U321" s="18">
        <f>IF(curve_type="Mercado",tbl_Bonds[[#This Row],[VP Cupom]]*LN(1+tbl_Bonds[[#This Row],[Real Mercado]])/252,tbl_Bonds[[#This Row],[VP Cupom]]*LN(1+tbl_Bonds[[#This Row],[Real Simulada]])/252)</f>
        <v>1.9035955403400421E-2</v>
      </c>
      <c r="V321" s="18">
        <f>SUMIF(Dashboard!$B$28:$B$42,tbl_Bonds[[#This Row],[Bond]],Dashboard!$C$28:$C$42)</f>
        <v>9853</v>
      </c>
      <c r="W321" s="18">
        <f>tbl_Bonds[[#This Row],[Quantidade]]*tbl_Bonds[[#This Row],[𝛿P/𝛿VNA]]</f>
        <v>85.622917566713724</v>
      </c>
      <c r="X321" s="18">
        <f>+tbl_Bonds[[#This Row],[Quantidade]]*tbl_Bonds[[#This Row],[𝛿P/𝛿r_real]]</f>
        <v>-435.66725077115154</v>
      </c>
      <c r="Y321" s="18">
        <f>tbl_Bonds[[#This Row],[Quantidade]]*tbl_Bonds[[#This Row],[𝛿P/𝛿r_pre]]</f>
        <v>-412.16992539420278</v>
      </c>
      <c r="Z321" s="18">
        <f>tbl_Bonds[[#This Row],[Quantidade]]*tbl_Bonds[[#This Row],[𝛿P/𝛿r_implicita]]</f>
        <v>435.55924898331284</v>
      </c>
      <c r="AA321" s="18">
        <f>tbl_Bonds[[#This Row],[Quantidade]]*tbl_Bonds[[#This Row],[𝛿P/𝛿du]]</f>
        <v>187.56126858970435</v>
      </c>
    </row>
    <row r="322" spans="1:27">
      <c r="A322" s="2" t="s">
        <v>89</v>
      </c>
      <c r="B322" s="3">
        <v>58669</v>
      </c>
      <c r="C322" s="3">
        <v>46980</v>
      </c>
      <c r="D322" s="4">
        <f>NETWORKDAYS(Dashboard!$C$10,bonds!C322,feriados)-1</f>
        <v>1479</v>
      </c>
      <c r="E322" s="2">
        <f>IF(tbl_Bonds[[#This Row],[Coupon]]&lt;tbl_Bonds[[#This Row],[Maturity]],SQRT(1.06)-1,SQRT(1.06))</f>
        <v>2.9563014098699991E-2</v>
      </c>
      <c r="F322" s="5" cm="1">
        <f t="array" ref="F322">Svensson(betas_pre,tbl_Bonds[[#This Row],[DU]])</f>
        <v>0.11736890213289761</v>
      </c>
      <c r="G322" s="49">
        <f>IF(curve_type="Simulada",_xlfn.XLOOKUP(tbl_Bonds[[#This Row],[Coupon]],Simulador!$B$5:$B$147,Simulador!$H$5:$H$147),0)</f>
        <v>0</v>
      </c>
      <c r="H322" s="5" cm="1">
        <f t="array" ref="H32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0.11736890213289761</v>
      </c>
      <c r="I322" s="5" cm="1">
        <f t="array" ref="I322">Interpola_FF(tbl_Bonds[[#This Row],[DU]],dus_svensson,svensson_implicita)</f>
        <v>5.742304317837621E-2</v>
      </c>
      <c r="J322" s="49">
        <f>IF(curve_type="Simulada",_xlfn.XLOOKUP(tbl_Bonds[[#This Row],[Coupon]],Simulador!$B$5:$B$147,Simulador!$N$5:$N$147),0)</f>
        <v>0</v>
      </c>
      <c r="K322" s="5" cm="1">
        <f t="array" ref="K32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5.742304317837621E-2</v>
      </c>
      <c r="L322" s="5" cm="1">
        <f t="array" ref="L322">Interpola_FF(tbl_Bonds[[#This Row],[DU]],dus_svensson,svensson_real_spot)</f>
        <v>5.6694932019935917E-2</v>
      </c>
      <c r="M322" s="49">
        <f>IF(curve_type="Simulada",_xlfn.XLOOKUP(tbl_Bonds[[#This Row],[Coupon]],Simulador!$B$5:$B$147,Simulador!$K$5:$K$147),0)</f>
        <v>0</v>
      </c>
      <c r="N322" s="5" cm="1">
        <f t="array" ref="N32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5.6694932019935917E-2</v>
      </c>
      <c r="O322" s="6">
        <f>IF(curve_type="Mercado",tbl_Bonds[[#This Row],[FC]]/(1+tbl_Bonds[[#This Row],[Real Mercado]])^(tbl_Bonds[[#This Row],[DU]]/252),tbl_Bonds[[#This Row],[FC]]/(1+tbl_Bonds[[#This Row],[Real Simulada]])^(tbl_Bonds[[#This Row],[DU]]/252))</f>
        <v>2.1388839605212852E-2</v>
      </c>
      <c r="P322" s="7">
        <f>tbl_Bonds[[#This Row],[Cotação]]*VNA</f>
        <v>84.599369265592273</v>
      </c>
      <c r="Q322" s="18">
        <f>tbl_Bonds[[#This Row],[Cotação]]%%*VNA</f>
        <v>8.4599369265592264E-3</v>
      </c>
      <c r="R32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-4.6987802412568697E-2</v>
      </c>
      <c r="S32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-4.4437419153390778E-2</v>
      </c>
      <c r="T32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4.6956599417200047E-2</v>
      </c>
      <c r="U322" s="18">
        <f>IF(curve_type="Mercado",tbl_Bonds[[#This Row],[VP Cupom]]*LN(1+tbl_Bonds[[#This Row],[Real Mercado]])/252,tbl_Bonds[[#This Row],[VP Cupom]]*LN(1+tbl_Bonds[[#This Row],[Real Simulada]])/252)</f>
        <v>1.851317822575797E-2</v>
      </c>
      <c r="V322" s="18">
        <f>SUMIF(Dashboard!$B$28:$B$42,tbl_Bonds[[#This Row],[Bond]],Dashboard!$C$28:$C$42)</f>
        <v>9853</v>
      </c>
      <c r="W322" s="18">
        <f>tbl_Bonds[[#This Row],[Quantidade]]*tbl_Bonds[[#This Row],[𝛿P/𝛿VNA]]</f>
        <v>83.355758537388056</v>
      </c>
      <c r="X322" s="18">
        <f>+tbl_Bonds[[#This Row],[Quantidade]]*tbl_Bonds[[#This Row],[𝛿P/𝛿r_real]]</f>
        <v>-462.97081717103936</v>
      </c>
      <c r="Y322" s="18">
        <f>tbl_Bonds[[#This Row],[Quantidade]]*tbl_Bonds[[#This Row],[𝛿P/𝛿r_pre]]</f>
        <v>-437.84189091835935</v>
      </c>
      <c r="Z322" s="18">
        <f>tbl_Bonds[[#This Row],[Quantidade]]*tbl_Bonds[[#This Row],[𝛿P/𝛿r_implicita]]</f>
        <v>462.66337405767206</v>
      </c>
      <c r="AA322" s="18">
        <f>tbl_Bonds[[#This Row],[Quantidade]]*tbl_Bonds[[#This Row],[𝛿P/𝛿du]]</f>
        <v>182.41034505839326</v>
      </c>
    </row>
    <row r="323" spans="1:27">
      <c r="A323" s="2" t="s">
        <v>89</v>
      </c>
      <c r="B323" s="3">
        <v>58669</v>
      </c>
      <c r="C323" s="3">
        <v>47164</v>
      </c>
      <c r="D323" s="4">
        <f>NETWORKDAYS(Dashboard!$C$10,bonds!C323,feriados)-1</f>
        <v>1603</v>
      </c>
      <c r="E323" s="2">
        <f>IF(tbl_Bonds[[#This Row],[Coupon]]&lt;tbl_Bonds[[#This Row],[Maturity]],SQRT(1.06)-1,SQRT(1.06))</f>
        <v>2.9563014098699991E-2</v>
      </c>
      <c r="F323" s="5" cm="1">
        <f t="array" ref="F323">Svensson(betas_pre,tbl_Bonds[[#This Row],[DU]])</f>
        <v>0.11768880617970637</v>
      </c>
      <c r="G323" s="49">
        <f>IF(curve_type="Simulada",_xlfn.XLOOKUP(tbl_Bonds[[#This Row],[Coupon]],Simulador!$B$5:$B$147,Simulador!$H$5:$H$147),0)</f>
        <v>0</v>
      </c>
      <c r="H323" s="5" cm="1">
        <f t="array" ref="H32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0.11768880617970637</v>
      </c>
      <c r="I323" s="5" cm="1">
        <f t="array" ref="I323">Interpola_FF(tbl_Bonds[[#This Row],[DU]],dus_svensson,svensson_implicita)</f>
        <v>5.7683163424037343E-2</v>
      </c>
      <c r="J323" s="49">
        <f>IF(curve_type="Simulada",_xlfn.XLOOKUP(tbl_Bonds[[#This Row],[Coupon]],Simulador!$B$5:$B$147,Simulador!$N$5:$N$147),0)</f>
        <v>0</v>
      </c>
      <c r="K323" s="5" cm="1">
        <f t="array" ref="K32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5.7683163424037343E-2</v>
      </c>
      <c r="L323" s="5" cm="1">
        <f t="array" ref="L323">Interpola_FF(tbl_Bonds[[#This Row],[DU]],dus_svensson,svensson_real_spot)</f>
        <v>5.6735781893983983E-2</v>
      </c>
      <c r="M323" s="49">
        <f>IF(curve_type="Simulada",_xlfn.XLOOKUP(tbl_Bonds[[#This Row],[Coupon]],Simulador!$B$5:$B$147,Simulador!$K$5:$K$147),0)</f>
        <v>0</v>
      </c>
      <c r="N323" s="5" cm="1">
        <f t="array" ref="N32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5.6735781893983983E-2</v>
      </c>
      <c r="O323" s="6">
        <f>IF(curve_type="Mercado",tbl_Bonds[[#This Row],[FC]]/(1+tbl_Bonds[[#This Row],[Real Mercado]])^(tbl_Bonds[[#This Row],[DU]]/252),tbl_Bonds[[#This Row],[FC]]/(1+tbl_Bonds[[#This Row],[Real Simulada]])^(tbl_Bonds[[#This Row],[DU]]/252))</f>
        <v>2.0811131483075736E-2</v>
      </c>
      <c r="P323" s="7">
        <f>tbl_Bonds[[#This Row],[Cotação]]*VNA</f>
        <v>82.314357845875122</v>
      </c>
      <c r="Q323" s="18">
        <f>tbl_Bonds[[#This Row],[Cotação]]%%*VNA</f>
        <v>8.2314357845875118E-3</v>
      </c>
      <c r="R32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-4.9549829320523861E-2</v>
      </c>
      <c r="S32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-4.6848392175617516E-2</v>
      </c>
      <c r="T32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4.9506246608571704E-2</v>
      </c>
      <c r="U323" s="18">
        <f>IF(curve_type="Mercado",tbl_Bonds[[#This Row],[VP Cupom]]*LN(1+tbl_Bonds[[#This Row],[Real Mercado]])/252,tbl_Bonds[[#This Row],[VP Cupom]]*LN(1+tbl_Bonds[[#This Row],[Real Simulada]])/252)</f>
        <v>1.8025768341404708E-2</v>
      </c>
      <c r="V323" s="18">
        <f>SUMIF(Dashboard!$B$28:$B$42,tbl_Bonds[[#This Row],[Bond]],Dashboard!$C$28:$C$42)</f>
        <v>9853</v>
      </c>
      <c r="W323" s="18">
        <f>tbl_Bonds[[#This Row],[Quantidade]]*tbl_Bonds[[#This Row],[𝛿P/𝛿VNA]]</f>
        <v>81.104336785540752</v>
      </c>
      <c r="X323" s="18">
        <f>+tbl_Bonds[[#This Row],[Quantidade]]*tbl_Bonds[[#This Row],[𝛿P/𝛿r_real]]</f>
        <v>-488.21446829512161</v>
      </c>
      <c r="Y323" s="18">
        <f>tbl_Bonds[[#This Row],[Quantidade]]*tbl_Bonds[[#This Row],[𝛿P/𝛿r_pre]]</f>
        <v>-461.5972081063594</v>
      </c>
      <c r="Z323" s="18">
        <f>tbl_Bonds[[#This Row],[Quantidade]]*tbl_Bonds[[#This Row],[𝛿P/𝛿r_implicita]]</f>
        <v>487.785047834257</v>
      </c>
      <c r="AA323" s="18">
        <f>tbl_Bonds[[#This Row],[Quantidade]]*tbl_Bonds[[#This Row],[𝛿P/𝛿du]]</f>
        <v>177.60789546786057</v>
      </c>
    </row>
    <row r="324" spans="1:27">
      <c r="A324" s="2" t="s">
        <v>89</v>
      </c>
      <c r="B324" s="3">
        <v>58669</v>
      </c>
      <c r="C324" s="3">
        <v>47345</v>
      </c>
      <c r="D324" s="4">
        <f>NETWORKDAYS(Dashboard!$C$10,bonds!C324,feriados)-1</f>
        <v>1729</v>
      </c>
      <c r="E324" s="2">
        <f>IF(tbl_Bonds[[#This Row],[Coupon]]&lt;tbl_Bonds[[#This Row],[Maturity]],SQRT(1.06)-1,SQRT(1.06))</f>
        <v>2.9563014098699991E-2</v>
      </c>
      <c r="F324" s="5" cm="1">
        <f t="array" ref="F324">Svensson(betas_pre,tbl_Bonds[[#This Row],[DU]])</f>
        <v>0.11799146123194351</v>
      </c>
      <c r="G324" s="49">
        <f>IF(curve_type="Simulada",_xlfn.XLOOKUP(tbl_Bonds[[#This Row],[Coupon]],Simulador!$B$5:$B$147,Simulador!$H$5:$H$147),0)</f>
        <v>0</v>
      </c>
      <c r="H324" s="5" cm="1">
        <f t="array" ref="H32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0.11799146123194351</v>
      </c>
      <c r="I324" s="5" cm="1">
        <f t="array" ref="I324">Interpola_FF(tbl_Bonds[[#This Row],[DU]],dus_svensson,svensson_implicita)</f>
        <v>5.7860887908244507E-2</v>
      </c>
      <c r="J324" s="49">
        <f>IF(curve_type="Simulada",_xlfn.XLOOKUP(tbl_Bonds[[#This Row],[Coupon]],Simulador!$B$5:$B$147,Simulador!$N$5:$N$147),0)</f>
        <v>0</v>
      </c>
      <c r="K324" s="5" cm="1">
        <f t="array" ref="K32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5.7860887908244507E-2</v>
      </c>
      <c r="L324" s="5" cm="1">
        <f t="array" ref="L324">Interpola_FF(tbl_Bonds[[#This Row],[DU]],dus_svensson,svensson_real_spot)</f>
        <v>5.6843208866909523E-2</v>
      </c>
      <c r="M324" s="49">
        <f>IF(curve_type="Simulada",_xlfn.XLOOKUP(tbl_Bonds[[#This Row],[Coupon]],Simulador!$B$5:$B$147,Simulador!$K$5:$K$147),0)</f>
        <v>0</v>
      </c>
      <c r="N324" s="5" cm="1">
        <f t="array" ref="N32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5.6843208866909523E-2</v>
      </c>
      <c r="O324" s="6">
        <f>IF(curve_type="Mercado",tbl_Bonds[[#This Row],[FC]]/(1+tbl_Bonds[[#This Row],[Real Mercado]])^(tbl_Bonds[[#This Row],[DU]]/252),tbl_Bonds[[#This Row],[FC]]/(1+tbl_Bonds[[#This Row],[Real Simulada]])^(tbl_Bonds[[#This Row],[DU]]/252))</f>
        <v>2.0230638204419435E-2</v>
      </c>
      <c r="P324" s="7">
        <f>tbl_Bonds[[#This Row],[Cotação]]*VNA</f>
        <v>80.018330284601063</v>
      </c>
      <c r="Q324" s="18">
        <f>tbl_Bonds[[#This Row],[Cotação]]%%*VNA</f>
        <v>8.0018330284601074E-3</v>
      </c>
      <c r="R32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-5.1948543587355685E-2</v>
      </c>
      <c r="S32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-4.910772396550566E-2</v>
      </c>
      <c r="T32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5.1899088719057192E-2</v>
      </c>
      <c r="U324" s="18">
        <f>IF(curve_type="Mercado",tbl_Bonds[[#This Row],[VP Cupom]]*LN(1+tbl_Bonds[[#This Row],[Real Mercado]])/252,tbl_Bonds[[#This Row],[VP Cupom]]*LN(1+tbl_Bonds[[#This Row],[Real Simulada]])/252)</f>
        <v>1.7555246853020717E-2</v>
      </c>
      <c r="V324" s="18">
        <f>SUMIF(Dashboard!$B$28:$B$42,tbl_Bonds[[#This Row],[Bond]],Dashboard!$C$28:$C$42)</f>
        <v>9853</v>
      </c>
      <c r="W324" s="18">
        <f>tbl_Bonds[[#This Row],[Quantidade]]*tbl_Bonds[[#This Row],[𝛿P/𝛿VNA]]</f>
        <v>78.842060829417434</v>
      </c>
      <c r="X324" s="18">
        <f>+tbl_Bonds[[#This Row],[Quantidade]]*tbl_Bonds[[#This Row],[𝛿P/𝛿r_real]]</f>
        <v>-511.84899996621556</v>
      </c>
      <c r="Y324" s="18">
        <f>tbl_Bonds[[#This Row],[Quantidade]]*tbl_Bonds[[#This Row],[𝛿P/𝛿r_pre]]</f>
        <v>-483.85840423212727</v>
      </c>
      <c r="Z324" s="18">
        <f>tbl_Bonds[[#This Row],[Quantidade]]*tbl_Bonds[[#This Row],[𝛿P/𝛿r_implicita]]</f>
        <v>511.36172114887052</v>
      </c>
      <c r="AA324" s="18">
        <f>tbl_Bonds[[#This Row],[Quantidade]]*tbl_Bonds[[#This Row],[𝛿P/𝛿du]]</f>
        <v>172.97184724281311</v>
      </c>
    </row>
    <row r="325" spans="1:27">
      <c r="A325" s="2" t="s">
        <v>89</v>
      </c>
      <c r="B325" s="3">
        <v>58669</v>
      </c>
      <c r="C325" s="3">
        <v>47529</v>
      </c>
      <c r="D325" s="4">
        <f>NETWORKDAYS(Dashboard!$C$10,bonds!C325,feriados)-1</f>
        <v>1855</v>
      </c>
      <c r="E325" s="2">
        <f>IF(tbl_Bonds[[#This Row],[Coupon]]&lt;tbl_Bonds[[#This Row],[Maturity]],SQRT(1.06)-1,SQRT(1.06))</f>
        <v>2.9563014098699991E-2</v>
      </c>
      <c r="F325" s="5" cm="1">
        <f t="array" ref="F325">Svensson(betas_pre,tbl_Bonds[[#This Row],[DU]])</f>
        <v>0.11826738921135904</v>
      </c>
      <c r="G325" s="49">
        <f>IF(curve_type="Simulada",_xlfn.XLOOKUP(tbl_Bonds[[#This Row],[Coupon]],Simulador!$B$5:$B$147,Simulador!$H$5:$H$147),0)</f>
        <v>0</v>
      </c>
      <c r="H325" s="5" cm="1">
        <f t="array" ref="H32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0.11826738921135904</v>
      </c>
      <c r="I325" s="5" cm="1">
        <f t="array" ref="I325">Interpola_FF(tbl_Bonds[[#This Row],[DU]],dus_svensson,svensson_implicita)</f>
        <v>5.7973532188232424E-2</v>
      </c>
      <c r="J325" s="49">
        <f>IF(curve_type="Simulada",_xlfn.XLOOKUP(tbl_Bonds[[#This Row],[Coupon]],Simulador!$B$5:$B$147,Simulador!$N$5:$N$147),0)</f>
        <v>0</v>
      </c>
      <c r="K325" s="5" cm="1">
        <f t="array" ref="K32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5.7973532188232424E-2</v>
      </c>
      <c r="L325" s="5" cm="1">
        <f t="array" ref="L325">Interpola_FF(tbl_Bonds[[#This Row],[DU]],dus_svensson,svensson_real_spot)</f>
        <v>5.699082751972151E-2</v>
      </c>
      <c r="M325" s="49">
        <f>IF(curve_type="Simulada",_xlfn.XLOOKUP(tbl_Bonds[[#This Row],[Coupon]],Simulador!$B$5:$B$147,Simulador!$K$5:$K$147),0)</f>
        <v>0</v>
      </c>
      <c r="N325" s="5" cm="1">
        <f t="array" ref="N32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5.699082751972151E-2</v>
      </c>
      <c r="O325" s="6">
        <f>IF(curve_type="Mercado",tbl_Bonds[[#This Row],[FC]]/(1+tbl_Bonds[[#This Row],[Real Mercado]])^(tbl_Bonds[[#This Row],[DU]]/252),tbl_Bonds[[#This Row],[FC]]/(1+tbl_Bonds[[#This Row],[Real Simulada]])^(tbl_Bonds[[#This Row],[DU]]/252))</f>
        <v>1.9658835840888039E-2</v>
      </c>
      <c r="P325" s="7">
        <f>tbl_Bonds[[#This Row],[Cotação]]*VNA</f>
        <v>77.756677937292736</v>
      </c>
      <c r="Q325" s="18">
        <f>tbl_Bonds[[#This Row],[Cotação]]%%*VNA</f>
        <v>7.7756677937292733E-3</v>
      </c>
      <c r="R32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-5.415142033639022E-2</v>
      </c>
      <c r="S32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-5.1184453352055591E-2</v>
      </c>
      <c r="T32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5.4101452708204559E-2</v>
      </c>
      <c r="U325" s="18">
        <f>IF(curve_type="Mercado",tbl_Bonds[[#This Row],[VP Cupom]]*LN(1+tbl_Bonds[[#This Row],[Real Mercado]])/252,tbl_Bonds[[#This Row],[VP Cupom]]*LN(1+tbl_Bonds[[#This Row],[Real Simulada]])/252)</f>
        <v>1.7102158281184266E-2</v>
      </c>
      <c r="V325" s="18">
        <f>SUMIF(Dashboard!$B$28:$B$42,tbl_Bonds[[#This Row],[Bond]],Dashboard!$C$28:$C$42)</f>
        <v>9853</v>
      </c>
      <c r="W325" s="18">
        <f>tbl_Bonds[[#This Row],[Quantidade]]*tbl_Bonds[[#This Row],[𝛿P/𝛿VNA]]</f>
        <v>76.613654771614534</v>
      </c>
      <c r="X325" s="18">
        <f>+tbl_Bonds[[#This Row],[Quantidade]]*tbl_Bonds[[#This Row],[𝛿P/𝛿r_real]]</f>
        <v>-533.55394457445288</v>
      </c>
      <c r="Y325" s="18">
        <f>tbl_Bonds[[#This Row],[Quantidade]]*tbl_Bonds[[#This Row],[𝛿P/𝛿r_pre]]</f>
        <v>-504.32041887780372</v>
      </c>
      <c r="Z325" s="18">
        <f>tbl_Bonds[[#This Row],[Quantidade]]*tbl_Bonds[[#This Row],[𝛿P/𝛿r_implicita]]</f>
        <v>533.06161353393952</v>
      </c>
      <c r="AA325" s="18">
        <f>tbl_Bonds[[#This Row],[Quantidade]]*tbl_Bonds[[#This Row],[𝛿P/𝛿du]]</f>
        <v>168.50756554450857</v>
      </c>
    </row>
    <row r="326" spans="1:27">
      <c r="A326" s="2" t="s">
        <v>89</v>
      </c>
      <c r="B326" s="3">
        <v>58669</v>
      </c>
      <c r="C326" s="3">
        <v>47710</v>
      </c>
      <c r="D326" s="4">
        <f>NETWORKDAYS(Dashboard!$C$10,bonds!C326,feriados)-1</f>
        <v>1979</v>
      </c>
      <c r="E326" s="2">
        <f>IF(tbl_Bonds[[#This Row],[Coupon]]&lt;tbl_Bonds[[#This Row],[Maturity]],SQRT(1.06)-1,SQRT(1.06))</f>
        <v>2.9563014098699991E-2</v>
      </c>
      <c r="F326" s="5" cm="1">
        <f t="array" ref="F326">Svensson(betas_pre,tbl_Bonds[[#This Row],[DU]])</f>
        <v>0.11851270064571921</v>
      </c>
      <c r="G326" s="49">
        <f>IF(curve_type="Simulada",_xlfn.XLOOKUP(tbl_Bonds[[#This Row],[Coupon]],Simulador!$B$5:$B$147,Simulador!$H$5:$H$147),0)</f>
        <v>0</v>
      </c>
      <c r="H326" s="5" cm="1">
        <f t="array" ref="H32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0.11851270064571921</v>
      </c>
      <c r="I326" s="5" cm="1">
        <f t="array" ref="I326">Interpola_FF(tbl_Bonds[[#This Row],[DU]],dus_svensson,svensson_implicita)</f>
        <v>5.8039061744824538E-2</v>
      </c>
      <c r="J326" s="49">
        <f>IF(curve_type="Simulada",_xlfn.XLOOKUP(tbl_Bonds[[#This Row],[Coupon]],Simulador!$B$5:$B$147,Simulador!$N$5:$N$147),0)</f>
        <v>0</v>
      </c>
      <c r="K326" s="5" cm="1">
        <f t="array" ref="K32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5.8039061744824538E-2</v>
      </c>
      <c r="L326" s="5" cm="1">
        <f t="array" ref="L326">Interpola_FF(tbl_Bonds[[#This Row],[DU]],dus_svensson,svensson_real_spot)</f>
        <v>5.7156852715572137E-2</v>
      </c>
      <c r="M326" s="49">
        <f>IF(curve_type="Simulada",_xlfn.XLOOKUP(tbl_Bonds[[#This Row],[Coupon]],Simulador!$B$5:$B$147,Simulador!$K$5:$K$147),0)</f>
        <v>0</v>
      </c>
      <c r="N326" s="5" cm="1">
        <f t="array" ref="N32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5.7156852715572137E-2</v>
      </c>
      <c r="O326" s="6">
        <f>IF(curve_type="Mercado",tbl_Bonds[[#This Row],[FC]]/(1+tbl_Bonds[[#This Row],[Real Mercado]])^(tbl_Bonds[[#This Row],[DU]]/252),tbl_Bonds[[#This Row],[FC]]/(1+tbl_Bonds[[#This Row],[Real Simulada]])^(tbl_Bonds[[#This Row],[DU]]/252))</f>
        <v>1.9106342435482381E-2</v>
      </c>
      <c r="P326" s="7">
        <f>tbl_Bonds[[#This Row],[Cotação]]*VNA</f>
        <v>75.571398395090441</v>
      </c>
      <c r="Q326" s="18">
        <f>tbl_Bonds[[#This Row],[Cotação]]%%*VNA</f>
        <v>7.5571398395090448E-3</v>
      </c>
      <c r="R32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-5.6138820372608284E-2</v>
      </c>
      <c r="S32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-5.3059536354545626E-2</v>
      </c>
      <c r="T32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5.6092225182179427E-2</v>
      </c>
      <c r="U326" s="18">
        <f>IF(curve_type="Mercado",tbl_Bonds[[#This Row],[VP Cupom]]*LN(1+tbl_Bonds[[#This Row],[Real Mercado]])/252,tbl_Bonds[[#This Row],[VP Cupom]]*LN(1+tbl_Bonds[[#This Row],[Real Simulada]])/252)</f>
        <v>1.6668618443149198E-2</v>
      </c>
      <c r="V326" s="18">
        <f>SUMIF(Dashboard!$B$28:$B$42,tbl_Bonds[[#This Row],[Bond]],Dashboard!$C$28:$C$42)</f>
        <v>9853</v>
      </c>
      <c r="W326" s="18">
        <f>tbl_Bonds[[#This Row],[Quantidade]]*tbl_Bonds[[#This Row],[𝛿P/𝛿VNA]]</f>
        <v>74.460498838682625</v>
      </c>
      <c r="X326" s="18">
        <f>+tbl_Bonds[[#This Row],[Quantidade]]*tbl_Bonds[[#This Row],[𝛿P/𝛿r_real]]</f>
        <v>-553.13579713130946</v>
      </c>
      <c r="Y326" s="18">
        <f>tbl_Bonds[[#This Row],[Quantidade]]*tbl_Bonds[[#This Row],[𝛿P/𝛿r_pre]]</f>
        <v>-522.79561170133809</v>
      </c>
      <c r="Z326" s="18">
        <f>tbl_Bonds[[#This Row],[Quantidade]]*tbl_Bonds[[#This Row],[𝛿P/𝛿r_implicita]]</f>
        <v>552.67669472001387</v>
      </c>
      <c r="AA326" s="18">
        <f>tbl_Bonds[[#This Row],[Quantidade]]*tbl_Bonds[[#This Row],[𝛿P/𝛿du]]</f>
        <v>164.23589752034906</v>
      </c>
    </row>
    <row r="327" spans="1:27">
      <c r="A327" s="2" t="s">
        <v>89</v>
      </c>
      <c r="B327" s="3">
        <v>58669</v>
      </c>
      <c r="C327" s="3">
        <v>47896</v>
      </c>
      <c r="D327" s="4">
        <f>NETWORKDAYS(Dashboard!$C$10,bonds!C327,feriados)-1</f>
        <v>2108</v>
      </c>
      <c r="E327" s="2">
        <f>IF(tbl_Bonds[[#This Row],[Coupon]]&lt;tbl_Bonds[[#This Row],[Maturity]],SQRT(1.06)-1,SQRT(1.06))</f>
        <v>2.9563014098699991E-2</v>
      </c>
      <c r="F327" s="5" cm="1">
        <f t="array" ref="F327">Svensson(betas_pre,tbl_Bonds[[#This Row],[DU]])</f>
        <v>0.1187420783777112</v>
      </c>
      <c r="G327" s="49">
        <f>IF(curve_type="Simulada",_xlfn.XLOOKUP(tbl_Bonds[[#This Row],[Coupon]],Simulador!$B$5:$B$147,Simulador!$H$5:$H$147),0)</f>
        <v>0</v>
      </c>
      <c r="H327" s="5" cm="1">
        <f t="array" ref="H32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0.1187420783777112</v>
      </c>
      <c r="I327" s="5" cm="1">
        <f t="array" ref="I327">Interpola_FF(tbl_Bonds[[#This Row],[DU]],dus_svensson,svensson_implicita)</f>
        <v>5.8075178529090499E-2</v>
      </c>
      <c r="J327" s="49">
        <f>IF(curve_type="Simulada",_xlfn.XLOOKUP(tbl_Bonds[[#This Row],[Coupon]],Simulador!$B$5:$B$147,Simulador!$N$5:$N$147),0)</f>
        <v>0</v>
      </c>
      <c r="K327" s="5" cm="1">
        <f t="array" ref="K32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5.8075178529090499E-2</v>
      </c>
      <c r="L327" s="5" cm="1">
        <f t="array" ref="L327">Interpola_FF(tbl_Bonds[[#This Row],[DU]],dus_svensson,svensson_real_spot)</f>
        <v>5.7337312092009096E-2</v>
      </c>
      <c r="M327" s="49">
        <f>IF(curve_type="Simulada",_xlfn.XLOOKUP(tbl_Bonds[[#This Row],[Coupon]],Simulador!$B$5:$B$147,Simulador!$K$5:$K$147),0)</f>
        <v>0</v>
      </c>
      <c r="N327" s="5" cm="1">
        <f t="array" ref="N32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5.7337312092009096E-2</v>
      </c>
      <c r="O327" s="6">
        <f>IF(curve_type="Mercado",tbl_Bonds[[#This Row],[FC]]/(1+tbl_Bonds[[#This Row],[Real Mercado]])^(tbl_Bonds[[#This Row],[DU]]/252),tbl_Bonds[[#This Row],[FC]]/(1+tbl_Bonds[[#This Row],[Real Simulada]])^(tbl_Bonds[[#This Row],[DU]]/252))</f>
        <v>1.8543870024465087E-2</v>
      </c>
      <c r="P327" s="7">
        <f>tbl_Bonds[[#This Row],[Cotação]]*VNA</f>
        <v>73.346648849081291</v>
      </c>
      <c r="Q327" s="18">
        <f>tbl_Bonds[[#This Row],[Cotação]]%%*VNA</f>
        <v>7.3346648849081288E-3</v>
      </c>
      <c r="R32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-5.8027890604865094E-2</v>
      </c>
      <c r="S32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-5.4843012232040744E-2</v>
      </c>
      <c r="T32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5.7987548270683316E-2</v>
      </c>
      <c r="U327" s="18">
        <f>IF(curve_type="Mercado",tbl_Bonds[[#This Row],[VP Cupom]]*LN(1+tbl_Bonds[[#This Row],[Real Mercado]])/252,tbl_Bonds[[#This Row],[VP Cupom]]*LN(1+tbl_Bonds[[#This Row],[Real Simulada]])/252)</f>
        <v>1.622759041684927E-2</v>
      </c>
      <c r="V327" s="18">
        <f>SUMIF(Dashboard!$B$28:$B$42,tbl_Bonds[[#This Row],[Bond]],Dashboard!$C$28:$C$42)</f>
        <v>9853</v>
      </c>
      <c r="W327" s="18">
        <f>tbl_Bonds[[#This Row],[Quantidade]]*tbl_Bonds[[#This Row],[𝛿P/𝛿VNA]]</f>
        <v>72.268453110999786</v>
      </c>
      <c r="X327" s="18">
        <f>+tbl_Bonds[[#This Row],[Quantidade]]*tbl_Bonds[[#This Row],[𝛿P/𝛿r_real]]</f>
        <v>-571.74880612973573</v>
      </c>
      <c r="Y327" s="18">
        <f>tbl_Bonds[[#This Row],[Quantidade]]*tbl_Bonds[[#This Row],[𝛿P/𝛿r_pre]]</f>
        <v>-540.36819952229746</v>
      </c>
      <c r="Z327" s="18">
        <f>tbl_Bonds[[#This Row],[Quantidade]]*tbl_Bonds[[#This Row],[𝛿P/𝛿r_implicita]]</f>
        <v>571.35131311104271</v>
      </c>
      <c r="AA327" s="18">
        <f>tbl_Bonds[[#This Row],[Quantidade]]*tbl_Bonds[[#This Row],[𝛿P/𝛿du]]</f>
        <v>159.89044837721588</v>
      </c>
    </row>
    <row r="328" spans="1:27">
      <c r="A328" s="2" t="s">
        <v>89</v>
      </c>
      <c r="B328" s="3">
        <v>58669</v>
      </c>
      <c r="C328" s="3">
        <v>48075</v>
      </c>
      <c r="D328" s="4">
        <f>NETWORKDAYS(Dashboard!$C$10,bonds!C328,feriados)-1</f>
        <v>2231</v>
      </c>
      <c r="E328" s="2">
        <f>IF(tbl_Bonds[[#This Row],[Coupon]]&lt;tbl_Bonds[[#This Row],[Maturity]],SQRT(1.06)-1,SQRT(1.06))</f>
        <v>2.9563014098699991E-2</v>
      </c>
      <c r="F328" s="5" cm="1">
        <f t="array" ref="F328">Svensson(betas_pre,tbl_Bonds[[#This Row],[DU]])</f>
        <v>0.11893865889866469</v>
      </c>
      <c r="G328" s="49">
        <f>IF(curve_type="Simulada",_xlfn.XLOOKUP(tbl_Bonds[[#This Row],[Coupon]],Simulador!$B$5:$B$147,Simulador!$H$5:$H$147),0)</f>
        <v>0</v>
      </c>
      <c r="H328" s="5" cm="1">
        <f t="array" ref="H32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0.11893865889866469</v>
      </c>
      <c r="I328" s="5" cm="1">
        <f t="array" ref="I328">Interpola_FF(tbl_Bonds[[#This Row],[DU]],dus_svensson,svensson_implicita)</f>
        <v>5.8089895028151872E-2</v>
      </c>
      <c r="J328" s="49">
        <f>IF(curve_type="Simulada",_xlfn.XLOOKUP(tbl_Bonds[[#This Row],[Coupon]],Simulador!$B$5:$B$147,Simulador!$N$5:$N$147),0)</f>
        <v>0</v>
      </c>
      <c r="K328" s="5" cm="1">
        <f t="array" ref="K32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5.8089895028151872E-2</v>
      </c>
      <c r="L328" s="5" cm="1">
        <f t="array" ref="L328">Interpola_FF(tbl_Bonds[[#This Row],[DU]],dus_svensson,svensson_real_spot)</f>
        <v>5.7508281745383361E-2</v>
      </c>
      <c r="M328" s="49">
        <f>IF(curve_type="Simulada",_xlfn.XLOOKUP(tbl_Bonds[[#This Row],[Coupon]],Simulador!$B$5:$B$147,Simulador!$K$5:$K$147),0)</f>
        <v>0</v>
      </c>
      <c r="N328" s="5" cm="1">
        <f t="array" ref="N32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5.7508281745383361E-2</v>
      </c>
      <c r="O328" s="6">
        <f>IF(curve_type="Mercado",tbl_Bonds[[#This Row],[FC]]/(1+tbl_Bonds[[#This Row],[Real Mercado]])^(tbl_Bonds[[#This Row],[DU]]/252),tbl_Bonds[[#This Row],[FC]]/(1+tbl_Bonds[[#This Row],[Real Simulada]])^(tbl_Bonds[[#This Row],[DU]]/252))</f>
        <v>1.8020224244759638E-2</v>
      </c>
      <c r="P328" s="7">
        <f>tbl_Bonds[[#This Row],[Cotação]]*VNA</f>
        <v>71.275470444859977</v>
      </c>
      <c r="Q328" s="18">
        <f>tbl_Bonds[[#This Row],[Cotação]]%%*VNA</f>
        <v>7.1275470444859971E-3</v>
      </c>
      <c r="R32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-5.9669904781292853E-2</v>
      </c>
      <c r="S32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-5.6394067551843036E-2</v>
      </c>
      <c r="T32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5.963718452733266E-2</v>
      </c>
      <c r="U328" s="18">
        <f>IF(curve_type="Mercado",tbl_Bonds[[#This Row],[VP Cupom]]*LN(1+tbl_Bonds[[#This Row],[Real Mercado]])/252,tbl_Bonds[[#This Row],[VP Cupom]]*LN(1+tbl_Bonds[[#This Row],[Real Simulada]])/252)</f>
        <v>1.5815083155086521E-2</v>
      </c>
      <c r="V328" s="18">
        <f>SUMIF(Dashboard!$B$28:$B$42,tbl_Bonds[[#This Row],[Bond]],Dashboard!$C$28:$C$42)</f>
        <v>9853</v>
      </c>
      <c r="W328" s="18">
        <f>tbl_Bonds[[#This Row],[Quantidade]]*tbl_Bonds[[#This Row],[𝛿P/𝛿VNA]]</f>
        <v>70.227721029320534</v>
      </c>
      <c r="X328" s="18">
        <f>+tbl_Bonds[[#This Row],[Quantidade]]*tbl_Bonds[[#This Row],[𝛿P/𝛿r_real]]</f>
        <v>-587.92757181007846</v>
      </c>
      <c r="Y328" s="18">
        <f>tbl_Bonds[[#This Row],[Quantidade]]*tbl_Bonds[[#This Row],[𝛿P/𝛿r_pre]]</f>
        <v>-555.6507475883094</v>
      </c>
      <c r="Z328" s="18">
        <f>tbl_Bonds[[#This Row],[Quantidade]]*tbl_Bonds[[#This Row],[𝛿P/𝛿r_implicita]]</f>
        <v>587.60517914780871</v>
      </c>
      <c r="AA328" s="18">
        <f>tbl_Bonds[[#This Row],[Quantidade]]*tbl_Bonds[[#This Row],[𝛿P/𝛿du]]</f>
        <v>155.8260143270675</v>
      </c>
    </row>
    <row r="329" spans="1:27">
      <c r="A329" s="2" t="s">
        <v>89</v>
      </c>
      <c r="B329" s="3">
        <v>58669</v>
      </c>
      <c r="C329" s="3">
        <v>48260</v>
      </c>
      <c r="D329" s="4">
        <f>NETWORKDAYS(Dashboard!$C$10,bonds!C329,feriados)-1</f>
        <v>2358</v>
      </c>
      <c r="E329" s="2">
        <f>IF(tbl_Bonds[[#This Row],[Coupon]]&lt;tbl_Bonds[[#This Row],[Maturity]],SQRT(1.06)-1,SQRT(1.06))</f>
        <v>2.9563014098699991E-2</v>
      </c>
      <c r="F329" s="5" cm="1">
        <f t="array" ref="F329">Svensson(betas_pre,tbl_Bonds[[#This Row],[DU]])</f>
        <v>0.11912158088679581</v>
      </c>
      <c r="G329" s="49">
        <f>IF(curve_type="Simulada",_xlfn.XLOOKUP(tbl_Bonds[[#This Row],[Coupon]],Simulador!$B$5:$B$147,Simulador!$H$5:$H$147),0)</f>
        <v>0</v>
      </c>
      <c r="H329" s="5" cm="1">
        <f t="array" ref="H32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0.11912158088679581</v>
      </c>
      <c r="I329" s="5" cm="1">
        <f t="array" ref="I329">Interpola_FF(tbl_Bonds[[#This Row],[DU]],dus_svensson,svensson_implicita)</f>
        <v>5.8093588183373734E-2</v>
      </c>
      <c r="J329" s="49">
        <f>IF(curve_type="Simulada",_xlfn.XLOOKUP(tbl_Bonds[[#This Row],[Coupon]],Simulador!$B$5:$B$147,Simulador!$N$5:$N$147),0)</f>
        <v>0</v>
      </c>
      <c r="K329" s="5" cm="1">
        <f t="array" ref="K32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5.8093588183373734E-2</v>
      </c>
      <c r="L329" s="5" cm="1">
        <f t="array" ref="L329">Interpola_FF(tbl_Bonds[[#This Row],[DU]],dus_svensson,svensson_real_spot)</f>
        <v>5.7677395986454938E-2</v>
      </c>
      <c r="M329" s="49">
        <f>IF(curve_type="Simulada",_xlfn.XLOOKUP(tbl_Bonds[[#This Row],[Coupon]],Simulador!$B$5:$B$147,Simulador!$K$5:$K$147),0)</f>
        <v>0</v>
      </c>
      <c r="N329" s="5" cm="1">
        <f t="array" ref="N32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5.7677395986454938E-2</v>
      </c>
      <c r="O329" s="6">
        <f>IF(curve_type="Mercado",tbl_Bonds[[#This Row],[FC]]/(1+tbl_Bonds[[#This Row],[Real Mercado]])^(tbl_Bonds[[#This Row],[DU]]/252),tbl_Bonds[[#This Row],[FC]]/(1+tbl_Bonds[[#This Row],[Real Simulada]])^(tbl_Bonds[[#This Row],[DU]]/252))</f>
        <v>1.7493315301939292E-2</v>
      </c>
      <c r="P329" s="7">
        <f>tbl_Bonds[[#This Row],[Cotação]]*VNA</f>
        <v>69.191385237538242</v>
      </c>
      <c r="Q329" s="18">
        <f>tbl_Bonds[[#This Row],[Cotação]]%%*VNA</f>
        <v>6.9191385237538242E-3</v>
      </c>
      <c r="R32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-6.1212774198262425E-2</v>
      </c>
      <c r="S32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-5.7851995291766566E-2</v>
      </c>
      <c r="T32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6.1188742802547713E-2</v>
      </c>
      <c r="U329" s="18">
        <f>IF(curve_type="Mercado",tbl_Bonds[[#This Row],[VP Cupom]]*LN(1+tbl_Bonds[[#This Row],[Real Mercado]])/252,tbl_Bonds[[#This Row],[VP Cupom]]*LN(1+tbl_Bonds[[#This Row],[Real Simulada]])/252)</f>
        <v>1.5396557159779287E-2</v>
      </c>
      <c r="V329" s="18">
        <f>SUMIF(Dashboard!$B$28:$B$42,tbl_Bonds[[#This Row],[Bond]],Dashboard!$C$28:$C$42)</f>
        <v>9853</v>
      </c>
      <c r="W329" s="18">
        <f>tbl_Bonds[[#This Row],[Quantidade]]*tbl_Bonds[[#This Row],[𝛿P/𝛿VNA]]</f>
        <v>68.174271874546434</v>
      </c>
      <c r="X329" s="18">
        <f>+tbl_Bonds[[#This Row],[Quantidade]]*tbl_Bonds[[#This Row],[𝛿P/𝛿r_real]]</f>
        <v>-603.12946417547971</v>
      </c>
      <c r="Y329" s="18">
        <f>tbl_Bonds[[#This Row],[Quantidade]]*tbl_Bonds[[#This Row],[𝛿P/𝛿r_pre]]</f>
        <v>-570.01570960977597</v>
      </c>
      <c r="Z329" s="18">
        <f>tbl_Bonds[[#This Row],[Quantidade]]*tbl_Bonds[[#This Row],[𝛿P/𝛿r_implicita]]</f>
        <v>602.89268283350259</v>
      </c>
      <c r="AA329" s="18">
        <f>tbl_Bonds[[#This Row],[Quantidade]]*tbl_Bonds[[#This Row],[𝛿P/𝛿du]]</f>
        <v>151.70227769530533</v>
      </c>
    </row>
    <row r="330" spans="1:27">
      <c r="A330" s="2" t="s">
        <v>89</v>
      </c>
      <c r="B330" s="3">
        <v>58669</v>
      </c>
      <c r="C330" s="3">
        <v>48442</v>
      </c>
      <c r="D330" s="4">
        <f>NETWORKDAYS(Dashboard!$C$10,bonds!C330,feriados)-1</f>
        <v>2485</v>
      </c>
      <c r="E330" s="2">
        <f>IF(tbl_Bonds[[#This Row],[Coupon]]&lt;tbl_Bonds[[#This Row],[Maturity]],SQRT(1.06)-1,SQRT(1.06))</f>
        <v>2.9563014098699991E-2</v>
      </c>
      <c r="F330" s="5" cm="1">
        <f t="array" ref="F330">Svensson(betas_pre,tbl_Bonds[[#This Row],[DU]])</f>
        <v>0.11928663253884547</v>
      </c>
      <c r="G330" s="49">
        <f>IF(curve_type="Simulada",_xlfn.XLOOKUP(tbl_Bonds[[#This Row],[Coupon]],Simulador!$B$5:$B$147,Simulador!$H$5:$H$147),0)</f>
        <v>0</v>
      </c>
      <c r="H330" s="5" cm="1">
        <f t="array" ref="H33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0.11928663253884547</v>
      </c>
      <c r="I330" s="5" cm="1">
        <f t="array" ref="I330">Interpola_FF(tbl_Bonds[[#This Row],[DU]],dus_svensson,svensson_implicita)</f>
        <v>5.8091578017454903E-2</v>
      </c>
      <c r="J330" s="49">
        <f>IF(curve_type="Simulada",_xlfn.XLOOKUP(tbl_Bonds[[#This Row],[Coupon]],Simulador!$B$5:$B$147,Simulador!$N$5:$N$147),0)</f>
        <v>0</v>
      </c>
      <c r="K330" s="5" cm="1">
        <f t="array" ref="K33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5.8091578017454903E-2</v>
      </c>
      <c r="L330" s="5" cm="1">
        <f t="array" ref="L330">Interpola_FF(tbl_Bonds[[#This Row],[DU]],dus_svensson,svensson_real_spot)</f>
        <v>5.7835355150152479E-2</v>
      </c>
      <c r="M330" s="49">
        <f>IF(curve_type="Simulada",_xlfn.XLOOKUP(tbl_Bonds[[#This Row],[Coupon]],Simulador!$B$5:$B$147,Simulador!$K$5:$K$147),0)</f>
        <v>0</v>
      </c>
      <c r="N330" s="5" cm="1">
        <f t="array" ref="N33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5.7835355150152479E-2</v>
      </c>
      <c r="O330" s="6">
        <f>IF(curve_type="Mercado",tbl_Bonds[[#This Row],[FC]]/(1+tbl_Bonds[[#This Row],[Real Mercado]])^(tbl_Bonds[[#This Row],[DU]]/252),tbl_Bonds[[#This Row],[FC]]/(1+tbl_Bonds[[#This Row],[Real Simulada]])^(tbl_Bonds[[#This Row],[DU]]/252))</f>
        <v>1.6980846272611861E-2</v>
      </c>
      <c r="P330" s="7">
        <f>tbl_Bonds[[#This Row],[Cotação]]*VNA</f>
        <v>67.164414282148755</v>
      </c>
      <c r="Q330" s="18">
        <f>tbl_Bonds[[#This Row],[Cotação]]%%*VNA</f>
        <v>6.7164414282148751E-3</v>
      </c>
      <c r="R33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-6.261047607498009E-2</v>
      </c>
      <c r="S33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-5.9173049233493286E-2</v>
      </c>
      <c r="T33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6.2595340885058456E-2</v>
      </c>
      <c r="U330" s="18">
        <f>IF(curve_type="Mercado",tbl_Bonds[[#This Row],[VP Cupom]]*LN(1+tbl_Bonds[[#This Row],[Real Mercado]])/252,tbl_Bonds[[#This Row],[VP Cupom]]*LN(1+tbl_Bonds[[#This Row],[Real Simulada]])/252)</f>
        <v>1.4985314298570071E-2</v>
      </c>
      <c r="V330" s="18">
        <f>SUMIF(Dashboard!$B$28:$B$42,tbl_Bonds[[#This Row],[Bond]],Dashboard!$C$28:$C$42)</f>
        <v>9853</v>
      </c>
      <c r="W330" s="18">
        <f>tbl_Bonds[[#This Row],[Quantidade]]*tbl_Bonds[[#This Row],[𝛿P/𝛿VNA]]</f>
        <v>66.177097392201162</v>
      </c>
      <c r="X330" s="18">
        <f>+tbl_Bonds[[#This Row],[Quantidade]]*tbl_Bonds[[#This Row],[𝛿P/𝛿r_real]]</f>
        <v>-616.90102076677886</v>
      </c>
      <c r="Y330" s="18">
        <f>tbl_Bonds[[#This Row],[Quantidade]]*tbl_Bonds[[#This Row],[𝛿P/𝛿r_pre]]</f>
        <v>-583.03205409760938</v>
      </c>
      <c r="Z330" s="18">
        <f>tbl_Bonds[[#This Row],[Quantidade]]*tbl_Bonds[[#This Row],[𝛿P/𝛿r_implicita]]</f>
        <v>616.75189374048102</v>
      </c>
      <c r="AA330" s="18">
        <f>tbl_Bonds[[#This Row],[Quantidade]]*tbl_Bonds[[#This Row],[𝛿P/𝛿du]]</f>
        <v>147.6503017838109</v>
      </c>
    </row>
    <row r="331" spans="1:27">
      <c r="A331" s="2" t="s">
        <v>89</v>
      </c>
      <c r="B331" s="3">
        <v>58669</v>
      </c>
      <c r="C331" s="3">
        <v>48625</v>
      </c>
      <c r="D331" s="4">
        <f>NETWORKDAYS(Dashboard!$C$10,bonds!C331,feriados)-1</f>
        <v>2612</v>
      </c>
      <c r="E331" s="2">
        <f>IF(tbl_Bonds[[#This Row],[Coupon]]&lt;tbl_Bonds[[#This Row],[Maturity]],SQRT(1.06)-1,SQRT(1.06))</f>
        <v>2.9563014098699991E-2</v>
      </c>
      <c r="F331" s="5" cm="1">
        <f t="array" ref="F331">Svensson(betas_pre,tbl_Bonds[[#This Row],[DU]])</f>
        <v>0.11943608482042488</v>
      </c>
      <c r="G331" s="49">
        <f>IF(curve_type="Simulada",_xlfn.XLOOKUP(tbl_Bonds[[#This Row],[Coupon]],Simulador!$B$5:$B$147,Simulador!$H$5:$H$147),0)</f>
        <v>0</v>
      </c>
      <c r="H331" s="5" cm="1">
        <f t="array" ref="H33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0.11943608482042488</v>
      </c>
      <c r="I331" s="5" cm="1">
        <f t="array" ref="I331">Interpola_FF(tbl_Bonds[[#This Row],[DU]],dus_svensson,svensson_implicita)</f>
        <v>5.8088111866002823E-2</v>
      </c>
      <c r="J331" s="49">
        <f>IF(curve_type="Simulada",_xlfn.XLOOKUP(tbl_Bonds[[#This Row],[Coupon]],Simulador!$B$5:$B$147,Simulador!$N$5:$N$147),0)</f>
        <v>0</v>
      </c>
      <c r="K331" s="5" cm="1">
        <f t="array" ref="K33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5.8088111866002823E-2</v>
      </c>
      <c r="L331" s="5" cm="1">
        <f t="array" ref="L331">Interpola_FF(tbl_Bonds[[#This Row],[DU]],dus_svensson,svensson_real_spot)</f>
        <v>5.7980046197837254E-2</v>
      </c>
      <c r="M331" s="49">
        <f>IF(curve_type="Simulada",_xlfn.XLOOKUP(tbl_Bonds[[#This Row],[Coupon]],Simulador!$B$5:$B$147,Simulador!$K$5:$K$147),0)</f>
        <v>0</v>
      </c>
      <c r="N331" s="5" cm="1">
        <f t="array" ref="N33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5.7980046197837254E-2</v>
      </c>
      <c r="O331" s="6">
        <f>IF(curve_type="Mercado",tbl_Bonds[[#This Row],[FC]]/(1+tbl_Bonds[[#This Row],[Real Mercado]])^(tbl_Bonds[[#This Row],[DU]]/252),tbl_Bonds[[#This Row],[FC]]/(1+tbl_Bonds[[#This Row],[Real Simulada]])^(tbl_Bonds[[#This Row],[DU]]/252))</f>
        <v>1.6483055471411198E-2</v>
      </c>
      <c r="P331" s="7">
        <f>tbl_Bonds[[#This Row],[Cotação]]*VNA</f>
        <v>65.195500185587562</v>
      </c>
      <c r="Q331" s="18">
        <f>tbl_Bonds[[#This Row],[Cotação]]%%*VNA</f>
        <v>6.5195500185587559E-3</v>
      </c>
      <c r="R33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-6.3872332573586016E-2</v>
      </c>
      <c r="S33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-6.0365812491267185E-2</v>
      </c>
      <c r="T33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6.3865823681786033E-2</v>
      </c>
      <c r="U331" s="18">
        <f>IF(curve_type="Mercado",tbl_Bonds[[#This Row],[VP Cupom]]*LN(1+tbl_Bonds[[#This Row],[Real Mercado]])/252,tbl_Bonds[[#This Row],[VP Cupom]]*LN(1+tbl_Bonds[[#This Row],[Real Simulada]])/252)</f>
        <v>1.4581406528036217E-2</v>
      </c>
      <c r="V331" s="18">
        <f>SUMIF(Dashboard!$B$28:$B$42,tbl_Bonds[[#This Row],[Bond]],Dashboard!$C$28:$C$42)</f>
        <v>9853</v>
      </c>
      <c r="W331" s="18">
        <f>tbl_Bonds[[#This Row],[Quantidade]]*tbl_Bonds[[#This Row],[𝛿P/𝛿VNA]]</f>
        <v>64.237126332859418</v>
      </c>
      <c r="X331" s="18">
        <f>+tbl_Bonds[[#This Row],[Quantidade]]*tbl_Bonds[[#This Row],[𝛿P/𝛿r_real]]</f>
        <v>-629.33409284754305</v>
      </c>
      <c r="Y331" s="18">
        <f>tbl_Bonds[[#This Row],[Quantidade]]*tbl_Bonds[[#This Row],[𝛿P/𝛿r_pre]]</f>
        <v>-594.78435047645553</v>
      </c>
      <c r="Z331" s="18">
        <f>tbl_Bonds[[#This Row],[Quantidade]]*tbl_Bonds[[#This Row],[𝛿P/𝛿r_implicita]]</f>
        <v>629.26996073663781</v>
      </c>
      <c r="AA331" s="18">
        <f>tbl_Bonds[[#This Row],[Quantidade]]*tbl_Bonds[[#This Row],[𝛿P/𝛿du]]</f>
        <v>143.67059852074084</v>
      </c>
    </row>
    <row r="332" spans="1:27">
      <c r="A332" s="2" t="s">
        <v>89</v>
      </c>
      <c r="B332" s="3">
        <v>58669</v>
      </c>
      <c r="C332" s="3">
        <v>48806</v>
      </c>
      <c r="D332" s="4">
        <f>NETWORKDAYS(Dashboard!$C$10,bonds!C332,feriados)-1</f>
        <v>2736</v>
      </c>
      <c r="E332" s="2">
        <f>IF(tbl_Bonds[[#This Row],[Coupon]]&lt;tbl_Bonds[[#This Row],[Maturity]],SQRT(1.06)-1,SQRT(1.06))</f>
        <v>2.9563014098699991E-2</v>
      </c>
      <c r="F332" s="5" cm="1">
        <f t="array" ref="F332">Svensson(betas_pre,tbl_Bonds[[#This Row],[DU]])</f>
        <v>0.11956885530821211</v>
      </c>
      <c r="G332" s="49">
        <f>IF(curve_type="Simulada",_xlfn.XLOOKUP(tbl_Bonds[[#This Row],[Coupon]],Simulador!$B$5:$B$147,Simulador!$H$5:$H$147),0)</f>
        <v>0</v>
      </c>
      <c r="H332" s="5" cm="1">
        <f t="array" ref="H33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0.11956885530821211</v>
      </c>
      <c r="I332" s="5" cm="1">
        <f t="array" ref="I332">Interpola_FF(tbl_Bonds[[#This Row],[DU]],dus_svensson,svensson_implicita)</f>
        <v>5.8086017122378264E-2</v>
      </c>
      <c r="J332" s="49">
        <f>IF(curve_type="Simulada",_xlfn.XLOOKUP(tbl_Bonds[[#This Row],[Coupon]],Simulador!$B$5:$B$147,Simulador!$N$5:$N$147),0)</f>
        <v>0</v>
      </c>
      <c r="K332" s="5" cm="1">
        <f t="array" ref="K33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5.8086017122378264E-2</v>
      </c>
      <c r="L332" s="5" cm="1">
        <f t="array" ref="L332">Interpola_FF(tbl_Bonds[[#This Row],[DU]],dus_svensson,svensson_real_spot)</f>
        <v>5.810761154270061E-2</v>
      </c>
      <c r="M332" s="49">
        <f>IF(curve_type="Simulada",_xlfn.XLOOKUP(tbl_Bonds[[#This Row],[Coupon]],Simulador!$B$5:$B$147,Simulador!$K$5:$K$147),0)</f>
        <v>0</v>
      </c>
      <c r="N332" s="5" cm="1">
        <f t="array" ref="N33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5.810761154270061E-2</v>
      </c>
      <c r="O332" s="6">
        <f>IF(curve_type="Mercado",tbl_Bonds[[#This Row],[FC]]/(1+tbl_Bonds[[#This Row],[Real Mercado]])^(tbl_Bonds[[#This Row],[DU]]/252),tbl_Bonds[[#This Row],[FC]]/(1+tbl_Bonds[[#This Row],[Real Simulada]])^(tbl_Bonds[[#This Row],[DU]]/252))</f>
        <v>1.601123196542386E-2</v>
      </c>
      <c r="P332" s="7">
        <f>tbl_Bonds[[#This Row],[Cotação]]*VNA</f>
        <v>63.329294643446744</v>
      </c>
      <c r="Q332" s="18">
        <f>tbl_Bonds[[#This Row],[Cotação]]%%*VNA</f>
        <v>6.3329294643446731E-3</v>
      </c>
      <c r="R33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-6.4981594639842141E-2</v>
      </c>
      <c r="S33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-6.1414292020879738E-2</v>
      </c>
      <c r="T33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6.4982929085838317E-2</v>
      </c>
      <c r="U332" s="18">
        <f>IF(curve_type="Mercado",tbl_Bonds[[#This Row],[VP Cupom]]*LN(1+tbl_Bonds[[#This Row],[Real Mercado]])/252,tbl_Bonds[[#This Row],[VP Cupom]]*LN(1+tbl_Bonds[[#This Row],[Real Simulada]])/252)</f>
        <v>1.4194316605929191E-2</v>
      </c>
      <c r="V332" s="18">
        <f>SUMIF(Dashboard!$B$28:$B$42,tbl_Bonds[[#This Row],[Bond]],Dashboard!$C$28:$C$42)</f>
        <v>9853</v>
      </c>
      <c r="W332" s="18">
        <f>tbl_Bonds[[#This Row],[Quantidade]]*tbl_Bonds[[#This Row],[𝛿P/𝛿VNA]]</f>
        <v>62.398354012188065</v>
      </c>
      <c r="X332" s="18">
        <f>+tbl_Bonds[[#This Row],[Quantidade]]*tbl_Bonds[[#This Row],[𝛿P/𝛿r_real]]</f>
        <v>-640.26365198636461</v>
      </c>
      <c r="Y332" s="18">
        <f>tbl_Bonds[[#This Row],[Quantidade]]*tbl_Bonds[[#This Row],[𝛿P/𝛿r_pre]]</f>
        <v>-605.11501928172811</v>
      </c>
      <c r="Z332" s="18">
        <f>tbl_Bonds[[#This Row],[Quantidade]]*tbl_Bonds[[#This Row],[𝛿P/𝛿r_implicita]]</f>
        <v>640.27680028276495</v>
      </c>
      <c r="AA332" s="18">
        <f>tbl_Bonds[[#This Row],[Quantidade]]*tbl_Bonds[[#This Row],[𝛿P/𝛿du]]</f>
        <v>139.85660151822032</v>
      </c>
    </row>
    <row r="333" spans="1:27">
      <c r="A333" s="2" t="s">
        <v>89</v>
      </c>
      <c r="B333" s="3">
        <v>58669</v>
      </c>
      <c r="C333" s="3">
        <v>48990</v>
      </c>
      <c r="D333" s="4">
        <f>NETWORKDAYS(Dashboard!$C$10,bonds!C333,feriados)-1</f>
        <v>2864</v>
      </c>
      <c r="E333" s="2">
        <f>IF(tbl_Bonds[[#This Row],[Coupon]]&lt;tbl_Bonds[[#This Row],[Maturity]],SQRT(1.06)-1,SQRT(1.06))</f>
        <v>2.9563014098699991E-2</v>
      </c>
      <c r="F333" s="5" cm="1">
        <f t="array" ref="F333">Svensson(betas_pre,tbl_Bonds[[#This Row],[DU]])</f>
        <v>0.11969397895680058</v>
      </c>
      <c r="G333" s="49">
        <f>IF(curve_type="Simulada",_xlfn.XLOOKUP(tbl_Bonds[[#This Row],[Coupon]],Simulador!$B$5:$B$147,Simulador!$H$5:$H$147),0)</f>
        <v>0</v>
      </c>
      <c r="H333" s="5" cm="1">
        <f t="array" ref="H33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0.11969397895680058</v>
      </c>
      <c r="I333" s="5" cm="1">
        <f t="array" ref="I333">Interpola_FF(tbl_Bonds[[#This Row],[DU]],dus_svensson,svensson_implicita)</f>
        <v>5.8086868517013501E-2</v>
      </c>
      <c r="J333" s="49">
        <f>IF(curve_type="Simulada",_xlfn.XLOOKUP(tbl_Bonds[[#This Row],[Coupon]],Simulador!$B$5:$B$147,Simulador!$N$5:$N$147),0)</f>
        <v>0</v>
      </c>
      <c r="K333" s="5" cm="1">
        <f t="array" ref="K33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5.8086868517013501E-2</v>
      </c>
      <c r="L333" s="5" cm="1">
        <f t="array" ref="L333">Interpola_FF(tbl_Bonds[[#This Row],[DU]],dus_svensson,svensson_real_spot)</f>
        <v>5.8225008086649765E-2</v>
      </c>
      <c r="M333" s="49">
        <f>IF(curve_type="Simulada",_xlfn.XLOOKUP(tbl_Bonds[[#This Row],[Coupon]],Simulador!$B$5:$B$147,Simulador!$K$5:$K$147),0)</f>
        <v>0</v>
      </c>
      <c r="N333" s="5" cm="1">
        <f t="array" ref="N33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5.8225008086649765E-2</v>
      </c>
      <c r="O333" s="6">
        <f>IF(curve_type="Mercado",tbl_Bonds[[#This Row],[FC]]/(1+tbl_Bonds[[#This Row],[Real Mercado]])^(tbl_Bonds[[#This Row],[DU]]/252),tbl_Bonds[[#This Row],[FC]]/(1+tbl_Bonds[[#This Row],[Real Simulada]])^(tbl_Bonds[[#This Row],[DU]]/252))</f>
        <v>1.553880281585803E-2</v>
      </c>
      <c r="P333" s="7">
        <f>tbl_Bonds[[#This Row],[Cotação]]*VNA</f>
        <v>61.46069359665556</v>
      </c>
      <c r="Q333" s="18">
        <f>tbl_Bonds[[#This Row],[Cotação]]%%*VNA</f>
        <v>6.1460693596655557E-3</v>
      </c>
      <c r="R33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-6.6007291003429058E-2</v>
      </c>
      <c r="S33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-6.2383625926477386E-2</v>
      </c>
      <c r="T33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6.6015912694645573E-2</v>
      </c>
      <c r="U333" s="18">
        <f>IF(curve_type="Mercado",tbl_Bonds[[#This Row],[VP Cupom]]*LN(1+tbl_Bonds[[#This Row],[Real Mercado]])/252,tbl_Bonds[[#This Row],[VP Cupom]]*LN(1+tbl_Bonds[[#This Row],[Real Simulada]])/252)</f>
        <v>1.3802555720676428E-2</v>
      </c>
      <c r="V333" s="18">
        <f>SUMIF(Dashboard!$B$28:$B$42,tbl_Bonds[[#This Row],[Bond]],Dashboard!$C$28:$C$42)</f>
        <v>9853</v>
      </c>
      <c r="W333" s="18">
        <f>tbl_Bonds[[#This Row],[Quantidade]]*tbl_Bonds[[#This Row],[𝛿P/𝛿VNA]]</f>
        <v>60.557221400784719</v>
      </c>
      <c r="X333" s="18">
        <f>+tbl_Bonds[[#This Row],[Quantidade]]*tbl_Bonds[[#This Row],[𝛿P/𝛿r_real]]</f>
        <v>-650.36983825678647</v>
      </c>
      <c r="Y333" s="18">
        <f>tbl_Bonds[[#This Row],[Quantidade]]*tbl_Bonds[[#This Row],[𝛿P/𝛿r_pre]]</f>
        <v>-614.66586625358173</v>
      </c>
      <c r="Z333" s="18">
        <f>tbl_Bonds[[#This Row],[Quantidade]]*tbl_Bonds[[#This Row],[𝛿P/𝛿r_implicita]]</f>
        <v>650.45478778034283</v>
      </c>
      <c r="AA333" s="18">
        <f>tbl_Bonds[[#This Row],[Quantidade]]*tbl_Bonds[[#This Row],[𝛿P/𝛿du]]</f>
        <v>135.99658151582483</v>
      </c>
    </row>
    <row r="334" spans="1:27">
      <c r="A334" s="2" t="s">
        <v>89</v>
      </c>
      <c r="B334" s="3">
        <v>58669</v>
      </c>
      <c r="C334" s="3">
        <v>49171</v>
      </c>
      <c r="D334" s="4">
        <f>NETWORKDAYS(Dashboard!$C$10,bonds!C334,feriados)-1</f>
        <v>2987</v>
      </c>
      <c r="E334" s="2">
        <f>IF(tbl_Bonds[[#This Row],[Coupon]]&lt;tbl_Bonds[[#This Row],[Maturity]],SQRT(1.06)-1,SQRT(1.06))</f>
        <v>2.9563014098699991E-2</v>
      </c>
      <c r="F334" s="5" cm="1">
        <f t="array" ref="F334">Svensson(betas_pre,tbl_Bonds[[#This Row],[DU]])</f>
        <v>0.11980417582365722</v>
      </c>
      <c r="G334" s="49">
        <f>IF(curve_type="Simulada",_xlfn.XLOOKUP(tbl_Bonds[[#This Row],[Coupon]],Simulador!$B$5:$B$147,Simulador!$H$5:$H$147),0)</f>
        <v>0</v>
      </c>
      <c r="H334" s="5" cm="1">
        <f t="array" ref="H33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0.11980417582365722</v>
      </c>
      <c r="I334" s="5" cm="1">
        <f t="array" ref="I334">Interpola_FF(tbl_Bonds[[#This Row],[DU]],dus_svensson,svensson_implicita)</f>
        <v>5.809152730404965E-2</v>
      </c>
      <c r="J334" s="49">
        <f>IF(curve_type="Simulada",_xlfn.XLOOKUP(tbl_Bonds[[#This Row],[Coupon]],Simulador!$B$5:$B$147,Simulador!$N$5:$N$147),0)</f>
        <v>0</v>
      </c>
      <c r="K334" s="5" cm="1">
        <f t="array" ref="K33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5.809152730404965E-2</v>
      </c>
      <c r="L334" s="5" cm="1">
        <f t="array" ref="L334">Interpola_FF(tbl_Bonds[[#This Row],[DU]],dus_svensson,svensson_real_spot)</f>
        <v>5.8324492388269089E-2</v>
      </c>
      <c r="M334" s="49">
        <f>IF(curve_type="Simulada",_xlfn.XLOOKUP(tbl_Bonds[[#This Row],[Coupon]],Simulador!$B$5:$B$147,Simulador!$K$5:$K$147),0)</f>
        <v>0</v>
      </c>
      <c r="N334" s="5" cm="1">
        <f t="array" ref="N33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5.8324492388269089E-2</v>
      </c>
      <c r="O334" s="6">
        <f>IF(curve_type="Mercado",tbl_Bonds[[#This Row],[FC]]/(1+tbl_Bonds[[#This Row],[Real Mercado]])^(tbl_Bonds[[#This Row],[DU]]/252),tbl_Bonds[[#This Row],[FC]]/(1+tbl_Bonds[[#This Row],[Real Simulada]])^(tbl_Bonds[[#This Row],[DU]]/252))</f>
        <v>1.5098618751390024E-2</v>
      </c>
      <c r="P334" s="7">
        <f>tbl_Bonds[[#This Row],[Cotação]]*VNA</f>
        <v>59.719631673610323</v>
      </c>
      <c r="Q334" s="18">
        <f>tbl_Bonds[[#This Row],[Cotação]]%%*VNA</f>
        <v>5.9719631673610333E-3</v>
      </c>
      <c r="R33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-6.6885650531168392E-2</v>
      </c>
      <c r="S33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-6.3213484737622394E-2</v>
      </c>
      <c r="T33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6.6900378985090894E-2</v>
      </c>
      <c r="U334" s="18">
        <f>IF(curve_type="Mercado",tbl_Bonds[[#This Row],[VP Cupom]]*LN(1+tbl_Bonds[[#This Row],[Real Mercado]])/252,tbl_Bonds[[#This Row],[VP Cupom]]*LN(1+tbl_Bonds[[#This Row],[Real Simulada]])/252)</f>
        <v>1.3433833980373346E-2</v>
      </c>
      <c r="V334" s="18">
        <f>SUMIF(Dashboard!$B$28:$B$42,tbl_Bonds[[#This Row],[Bond]],Dashboard!$C$28:$C$42)</f>
        <v>9853</v>
      </c>
      <c r="W334" s="18">
        <f>tbl_Bonds[[#This Row],[Quantidade]]*tbl_Bonds[[#This Row],[𝛿P/𝛿VNA]]</f>
        <v>58.841753088008261</v>
      </c>
      <c r="X334" s="18">
        <f>+tbl_Bonds[[#This Row],[Quantidade]]*tbl_Bonds[[#This Row],[𝛿P/𝛿r_real]]</f>
        <v>-659.02431468360214</v>
      </c>
      <c r="Y334" s="18">
        <f>tbl_Bonds[[#This Row],[Quantidade]]*tbl_Bonds[[#This Row],[𝛿P/𝛿r_pre]]</f>
        <v>-622.84246511979347</v>
      </c>
      <c r="Z334" s="18">
        <f>tbl_Bonds[[#This Row],[Quantidade]]*tbl_Bonds[[#This Row],[𝛿P/𝛿r_implicita]]</f>
        <v>659.16943414010063</v>
      </c>
      <c r="AA334" s="18">
        <f>tbl_Bonds[[#This Row],[Quantidade]]*tbl_Bonds[[#This Row],[𝛿P/𝛿du]]</f>
        <v>132.36356620861858</v>
      </c>
    </row>
    <row r="335" spans="1:27">
      <c r="A335" s="2" t="s">
        <v>89</v>
      </c>
      <c r="B335" s="3">
        <v>58669</v>
      </c>
      <c r="C335" s="3">
        <v>49355</v>
      </c>
      <c r="D335" s="4">
        <f>NETWORKDAYS(Dashboard!$C$10,bonds!C335,feriados)-1</f>
        <v>3111</v>
      </c>
      <c r="E335" s="2">
        <f>IF(tbl_Bonds[[#This Row],[Coupon]]&lt;tbl_Bonds[[#This Row],[Maturity]],SQRT(1.06)-1,SQRT(1.06))</f>
        <v>2.9563014098699991E-2</v>
      </c>
      <c r="F335" s="5" cm="1">
        <f t="array" ref="F335">Svensson(betas_pre,tbl_Bonds[[#This Row],[DU]])</f>
        <v>0.1199064799245569</v>
      </c>
      <c r="G335" s="49">
        <f>IF(curve_type="Simulada",_xlfn.XLOOKUP(tbl_Bonds[[#This Row],[Coupon]],Simulador!$B$5:$B$147,Simulador!$H$5:$H$147),0)</f>
        <v>0</v>
      </c>
      <c r="H335" s="5" cm="1">
        <f t="array" ref="H33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0.1199064799245569</v>
      </c>
      <c r="I335" s="5" cm="1">
        <f t="array" ref="I335">Interpola_FF(tbl_Bonds[[#This Row],[DU]],dus_svensson,svensson_implicita)</f>
        <v>5.810037436798976E-2</v>
      </c>
      <c r="J335" s="49">
        <f>IF(curve_type="Simulada",_xlfn.XLOOKUP(tbl_Bonds[[#This Row],[Coupon]],Simulador!$B$5:$B$147,Simulador!$N$5:$N$147),0)</f>
        <v>0</v>
      </c>
      <c r="K335" s="5" cm="1">
        <f t="array" ref="K33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5.810037436798976E-2</v>
      </c>
      <c r="L335" s="5" cm="1">
        <f t="array" ref="L335">Interpola_FF(tbl_Bonds[[#This Row],[DU]],dus_svensson,svensson_real_spot)</f>
        <v>5.8412328241514766E-2</v>
      </c>
      <c r="M335" s="49">
        <f>IF(curve_type="Simulada",_xlfn.XLOOKUP(tbl_Bonds[[#This Row],[Coupon]],Simulador!$B$5:$B$147,Simulador!$K$5:$K$147),0)</f>
        <v>0</v>
      </c>
      <c r="N335" s="5" cm="1">
        <f t="array" ref="N33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5.8412328241514766E-2</v>
      </c>
      <c r="O335" s="6">
        <f>IF(curve_type="Mercado",tbl_Bonds[[#This Row],[FC]]/(1+tbl_Bonds[[#This Row],[Real Mercado]])^(tbl_Bonds[[#This Row],[DU]]/252),tbl_Bonds[[#This Row],[FC]]/(1+tbl_Bonds[[#This Row],[Real Simulada]])^(tbl_Bonds[[#This Row],[DU]]/252))</f>
        <v>1.4668247374485249E-2</v>
      </c>
      <c r="P335" s="7">
        <f>tbl_Bonds[[#This Row],[Cotação]]*VNA</f>
        <v>58.017381915879902</v>
      </c>
      <c r="Q335" s="18">
        <f>tbl_Bonds[[#This Row],[Cotação]]%%*VNA</f>
        <v>5.8017381915879893E-3</v>
      </c>
      <c r="R33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-6.7671017646202508E-2</v>
      </c>
      <c r="S33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-6.395519739861795E-2</v>
      </c>
      <c r="T33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6.7690969332042619E-2</v>
      </c>
      <c r="U335" s="18">
        <f>IF(curve_type="Mercado",tbl_Bonds[[#This Row],[VP Cupom]]*LN(1+tbl_Bonds[[#This Row],[Real Mercado]])/252,tbl_Bonds[[#This Row],[VP Cupom]]*LN(1+tbl_Bonds[[#This Row],[Real Simulada]])/252)</f>
        <v>1.3070022668649454E-2</v>
      </c>
      <c r="V335" s="18">
        <f>SUMIF(Dashboard!$B$28:$B$42,tbl_Bonds[[#This Row],[Bond]],Dashboard!$C$28:$C$42)</f>
        <v>9853</v>
      </c>
      <c r="W335" s="18">
        <f>tbl_Bonds[[#This Row],[Quantidade]]*tbl_Bonds[[#This Row],[𝛿P/𝛿VNA]]</f>
        <v>57.164526401716458</v>
      </c>
      <c r="X335" s="18">
        <f>+tbl_Bonds[[#This Row],[Quantidade]]*tbl_Bonds[[#This Row],[𝛿P/𝛿r_real]]</f>
        <v>-666.76253686803329</v>
      </c>
      <c r="Y335" s="18">
        <f>tbl_Bonds[[#This Row],[Quantidade]]*tbl_Bonds[[#This Row],[𝛿P/𝛿r_pre]]</f>
        <v>-630.15055996858268</v>
      </c>
      <c r="Z335" s="18">
        <f>tbl_Bonds[[#This Row],[Quantidade]]*tbl_Bonds[[#This Row],[𝛿P/𝛿r_implicita]]</f>
        <v>666.95912082861594</v>
      </c>
      <c r="AA335" s="18">
        <f>tbl_Bonds[[#This Row],[Quantidade]]*tbl_Bonds[[#This Row],[𝛿P/𝛿du]]</f>
        <v>128.77893335420308</v>
      </c>
    </row>
    <row r="336" spans="1:27">
      <c r="A336" s="2" t="s">
        <v>89</v>
      </c>
      <c r="B336" s="3">
        <v>58669</v>
      </c>
      <c r="C336" s="3">
        <v>49536</v>
      </c>
      <c r="D336" s="4">
        <f>NETWORKDAYS(Dashboard!$C$10,bonds!C336,feriados)-1</f>
        <v>3237</v>
      </c>
      <c r="E336" s="2">
        <f>IF(tbl_Bonds[[#This Row],[Coupon]]&lt;tbl_Bonds[[#This Row],[Maturity]],SQRT(1.06)-1,SQRT(1.06))</f>
        <v>2.9563014098699991E-2</v>
      </c>
      <c r="F336" s="5" cm="1">
        <f t="array" ref="F336">Svensson(betas_pre,tbl_Bonds[[#This Row],[DU]])</f>
        <v>0.12000242022926019</v>
      </c>
      <c r="G336" s="49">
        <f>IF(curve_type="Simulada",_xlfn.XLOOKUP(tbl_Bonds[[#This Row],[Coupon]],Simulador!$B$5:$B$147,Simulador!$H$5:$H$147),0)</f>
        <v>0</v>
      </c>
      <c r="H336" s="5" cm="1">
        <f t="array" ref="H33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0.12000242022926019</v>
      </c>
      <c r="I336" s="5" cm="1">
        <f t="array" ref="I336">Interpola_FF(tbl_Bonds[[#This Row],[DU]],dus_svensson,svensson_implicita)</f>
        <v>5.8113662146890954E-2</v>
      </c>
      <c r="J336" s="49">
        <f>IF(curve_type="Simulada",_xlfn.XLOOKUP(tbl_Bonds[[#This Row],[Coupon]],Simulador!$B$5:$B$147,Simulador!$N$5:$N$147),0)</f>
        <v>0</v>
      </c>
      <c r="K336" s="5" cm="1">
        <f t="array" ref="K33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5.8113662146890954E-2</v>
      </c>
      <c r="L336" s="5" cm="1">
        <f t="array" ref="L336">Interpola_FF(tbl_Bonds[[#This Row],[DU]],dus_svensson,svensson_real_spot)</f>
        <v>5.8489706848831924E-2</v>
      </c>
      <c r="M336" s="49">
        <f>IF(curve_type="Simulada",_xlfn.XLOOKUP(tbl_Bonds[[#This Row],[Coupon]],Simulador!$B$5:$B$147,Simulador!$K$5:$K$147),0)</f>
        <v>0</v>
      </c>
      <c r="N336" s="5" cm="1">
        <f t="array" ref="N33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5.8489706848831924E-2</v>
      </c>
      <c r="O336" s="6">
        <f>IF(curve_type="Mercado",tbl_Bonds[[#This Row],[FC]]/(1+tbl_Bonds[[#This Row],[Real Mercado]])^(tbl_Bonds[[#This Row],[DU]]/252),tbl_Bonds[[#This Row],[FC]]/(1+tbl_Bonds[[#This Row],[Real Simulada]])^(tbl_Bonds[[#This Row],[DU]]/252))</f>
        <v>1.4244360391035597E-2</v>
      </c>
      <c r="P336" s="7">
        <f>tbl_Bonds[[#This Row],[Cotação]]*VNA</f>
        <v>56.340779907466356</v>
      </c>
      <c r="Q336" s="18">
        <f>tbl_Bonds[[#This Row],[Cotação]]%%*VNA</f>
        <v>5.6340779907466353E-3</v>
      </c>
      <c r="R33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-6.8372014172658216E-2</v>
      </c>
      <c r="S33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-6.4616889918703263E-2</v>
      </c>
      <c r="T33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6.8396312877952961E-2</v>
      </c>
      <c r="U336" s="18">
        <f>IF(curve_type="Mercado",tbl_Bonds[[#This Row],[VP Cupom]]*LN(1+tbl_Bonds[[#This Row],[Real Mercado]])/252,tbl_Bonds[[#This Row],[VP Cupom]]*LN(1+tbl_Bonds[[#This Row],[Real Simulada]])/252)</f>
        <v>1.2708666146208676E-2</v>
      </c>
      <c r="V336" s="18">
        <f>SUMIF(Dashboard!$B$28:$B$42,tbl_Bonds[[#This Row],[Bond]],Dashboard!$C$28:$C$42)</f>
        <v>9853</v>
      </c>
      <c r="W336" s="18">
        <f>tbl_Bonds[[#This Row],[Quantidade]]*tbl_Bonds[[#This Row],[𝛿P/𝛿VNA]]</f>
        <v>55.5125704428266</v>
      </c>
      <c r="X336" s="18">
        <f>+tbl_Bonds[[#This Row],[Quantidade]]*tbl_Bonds[[#This Row],[𝛿P/𝛿r_real]]</f>
        <v>-673.66945564320145</v>
      </c>
      <c r="Y336" s="18">
        <f>tbl_Bonds[[#This Row],[Quantidade]]*tbl_Bonds[[#This Row],[𝛿P/𝛿r_pre]]</f>
        <v>-636.67021636898323</v>
      </c>
      <c r="Z336" s="18">
        <f>tbl_Bonds[[#This Row],[Quantidade]]*tbl_Bonds[[#This Row],[𝛿P/𝛿r_implicita]]</f>
        <v>673.90887078647052</v>
      </c>
      <c r="AA336" s="18">
        <f>tbl_Bonds[[#This Row],[Quantidade]]*tbl_Bonds[[#This Row],[𝛿P/𝛿du]]</f>
        <v>125.21848753859408</v>
      </c>
    </row>
    <row r="337" spans="1:27">
      <c r="A337" s="2" t="s">
        <v>89</v>
      </c>
      <c r="B337" s="3">
        <v>58669</v>
      </c>
      <c r="C337" s="3">
        <v>49720</v>
      </c>
      <c r="D337" s="4">
        <f>NETWORKDAYS(Dashboard!$C$10,bonds!C337,feriados)-1</f>
        <v>3363</v>
      </c>
      <c r="E337" s="2">
        <f>IF(tbl_Bonds[[#This Row],[Coupon]]&lt;tbl_Bonds[[#This Row],[Maturity]],SQRT(1.06)-1,SQRT(1.06))</f>
        <v>2.9563014098699991E-2</v>
      </c>
      <c r="F337" s="5" cm="1">
        <f t="array" ref="F337">Svensson(betas_pre,tbl_Bonds[[#This Row],[DU]])</f>
        <v>0.1200911767032468</v>
      </c>
      <c r="G337" s="49">
        <f>IF(curve_type="Simulada",_xlfn.XLOOKUP(tbl_Bonds[[#This Row],[Coupon]],Simulador!$B$5:$B$147,Simulador!$H$5:$H$147),0)</f>
        <v>0</v>
      </c>
      <c r="H337" s="5" cm="1">
        <f t="array" ref="H33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0.1200911767032468</v>
      </c>
      <c r="I337" s="5" cm="1">
        <f t="array" ref="I337">Interpola_FF(tbl_Bonds[[#This Row],[DU]],dus_svensson,svensson_implicita)</f>
        <v>5.8131103872528289E-2</v>
      </c>
      <c r="J337" s="49">
        <f>IF(curve_type="Simulada",_xlfn.XLOOKUP(tbl_Bonds[[#This Row],[Coupon]],Simulador!$B$5:$B$147,Simulador!$N$5:$N$147),0)</f>
        <v>0</v>
      </c>
      <c r="K337" s="5" cm="1">
        <f t="array" ref="K33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5.8131103872528289E-2</v>
      </c>
      <c r="L337" s="5" cm="1">
        <f t="array" ref="L337">Interpola_FF(tbl_Bonds[[#This Row],[DU]],dus_svensson,svensson_real_spot)</f>
        <v>5.8556139186790812E-2</v>
      </c>
      <c r="M337" s="49">
        <f>IF(curve_type="Simulada",_xlfn.XLOOKUP(tbl_Bonds[[#This Row],[Coupon]],Simulador!$B$5:$B$147,Simulador!$K$5:$K$147),0)</f>
        <v>0</v>
      </c>
      <c r="N337" s="5" cm="1">
        <f t="array" ref="N33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5.8556139186790812E-2</v>
      </c>
      <c r="O337" s="6">
        <f>IF(curve_type="Mercado",tbl_Bonds[[#This Row],[FC]]/(1+tbl_Bonds[[#This Row],[Real Mercado]])^(tbl_Bonds[[#This Row],[DU]]/252),tbl_Bonds[[#This Row],[FC]]/(1+tbl_Bonds[[#This Row],[Real Simulada]])^(tbl_Bonds[[#This Row],[DU]]/252))</f>
        <v>1.3833621679340042E-2</v>
      </c>
      <c r="P337" s="7">
        <f>tbl_Bonds[[#This Row],[Cotação]]*VNA</f>
        <v>54.716183314861247</v>
      </c>
      <c r="Q337" s="18">
        <f>tbl_Bonds[[#This Row],[Cotação]]%%*VNA</f>
        <v>5.4716183314861251E-3</v>
      </c>
      <c r="R33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-6.8980800069845666E-2</v>
      </c>
      <c r="S33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-6.5191165118247976E-2</v>
      </c>
      <c r="T33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6.9008508095751708E-2</v>
      </c>
      <c r="U337" s="18">
        <f>IF(curve_type="Mercado",tbl_Bonds[[#This Row],[VP Cupom]]*LN(1+tbl_Bonds[[#This Row],[Real Mercado]])/252,tbl_Bonds[[#This Row],[VP Cupom]]*LN(1+tbl_Bonds[[#This Row],[Real Simulada]])/252)</f>
        <v>1.2355836276366758E-2</v>
      </c>
      <c r="V337" s="18">
        <f>SUMIF(Dashboard!$B$28:$B$42,tbl_Bonds[[#This Row],[Bond]],Dashboard!$C$28:$C$42)</f>
        <v>9853</v>
      </c>
      <c r="W337" s="18">
        <f>tbl_Bonds[[#This Row],[Quantidade]]*tbl_Bonds[[#This Row],[𝛿P/𝛿VNA]]</f>
        <v>53.911855420132788</v>
      </c>
      <c r="X337" s="18">
        <f>+tbl_Bonds[[#This Row],[Quantidade]]*tbl_Bonds[[#This Row],[𝛿P/𝛿r_real]]</f>
        <v>-679.66782308818938</v>
      </c>
      <c r="Y337" s="18">
        <f>tbl_Bonds[[#This Row],[Quantidade]]*tbl_Bonds[[#This Row],[𝛿P/𝛿r_pre]]</f>
        <v>-642.32854991009731</v>
      </c>
      <c r="Z337" s="18">
        <f>tbl_Bonds[[#This Row],[Quantidade]]*tbl_Bonds[[#This Row],[𝛿P/𝛿r_implicita]]</f>
        <v>679.94083026744158</v>
      </c>
      <c r="AA337" s="18">
        <f>tbl_Bonds[[#This Row],[Quantidade]]*tbl_Bonds[[#This Row],[𝛿P/𝛿du]]</f>
        <v>121.74205483104167</v>
      </c>
    </row>
    <row r="338" spans="1:27">
      <c r="A338" s="2" t="s">
        <v>89</v>
      </c>
      <c r="B338" s="3">
        <v>58669</v>
      </c>
      <c r="C338" s="3">
        <v>49902</v>
      </c>
      <c r="D338" s="4">
        <f>NETWORKDAYS(Dashboard!$C$10,bonds!C338,feriados)-1</f>
        <v>3487</v>
      </c>
      <c r="E338" s="2">
        <f>IF(tbl_Bonds[[#This Row],[Coupon]]&lt;tbl_Bonds[[#This Row],[Maturity]],SQRT(1.06)-1,SQRT(1.06))</f>
        <v>2.9563014098699991E-2</v>
      </c>
      <c r="F338" s="5" cm="1">
        <f t="array" ref="F338">Svensson(betas_pre,tbl_Bonds[[#This Row],[DU]])</f>
        <v>0.12017226232074725</v>
      </c>
      <c r="G338" s="49">
        <f>IF(curve_type="Simulada",_xlfn.XLOOKUP(tbl_Bonds[[#This Row],[Coupon]],Simulador!$B$5:$B$147,Simulador!$H$5:$H$147),0)</f>
        <v>0</v>
      </c>
      <c r="H338" s="5" cm="1">
        <f t="array" ref="H33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0.12017226232074725</v>
      </c>
      <c r="I338" s="5" cm="1">
        <f t="array" ref="I338">Interpola_FF(tbl_Bonds[[#This Row],[DU]],dus_svensson,svensson_implicita)</f>
        <v>5.8152005046111732E-2</v>
      </c>
      <c r="J338" s="49">
        <f>IF(curve_type="Simulada",_xlfn.XLOOKUP(tbl_Bonds[[#This Row],[Coupon]],Simulador!$B$5:$B$147,Simulador!$N$5:$N$147),0)</f>
        <v>0</v>
      </c>
      <c r="K338" s="5" cm="1">
        <f t="array" ref="K33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5.8152005046111732E-2</v>
      </c>
      <c r="L338" s="5" cm="1">
        <f t="array" ref="L338">Interpola_FF(tbl_Bonds[[#This Row],[DU]],dus_svensson,svensson_real_spot)</f>
        <v>5.8611859295576219E-2</v>
      </c>
      <c r="M338" s="49">
        <f>IF(curve_type="Simulada",_xlfn.XLOOKUP(tbl_Bonds[[#This Row],[Coupon]],Simulador!$B$5:$B$147,Simulador!$K$5:$K$147),0)</f>
        <v>0</v>
      </c>
      <c r="N338" s="5" cm="1">
        <f t="array" ref="N33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5.8611859295576219E-2</v>
      </c>
      <c r="O338" s="6">
        <f>IF(curve_type="Mercado",tbl_Bonds[[#This Row],[FC]]/(1+tbl_Bonds[[#This Row],[Real Mercado]])^(tbl_Bonds[[#This Row],[DU]]/252),tbl_Bonds[[#This Row],[FC]]/(1+tbl_Bonds[[#This Row],[Real Simulada]])^(tbl_Bonds[[#This Row],[DU]]/252))</f>
        <v>1.344184155914838E-2</v>
      </c>
      <c r="P338" s="7">
        <f>tbl_Bonds[[#This Row],[Cotação]]*VNA</f>
        <v>53.166573720756169</v>
      </c>
      <c r="Q338" s="18">
        <f>tbl_Bonds[[#This Row],[Cotação]]%%*VNA</f>
        <v>5.3166573720756175E-3</v>
      </c>
      <c r="R33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-6.9494962528300522E-2</v>
      </c>
      <c r="S33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-6.5675783273343835E-2</v>
      </c>
      <c r="T33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6.9525163093919332E-2</v>
      </c>
      <c r="U338" s="18">
        <f>IF(curve_type="Mercado",tbl_Bonds[[#This Row],[VP Cupom]]*LN(1+tbl_Bonds[[#This Row],[Real Mercado]])/252,tbl_Bonds[[#This Row],[VP Cupom]]*LN(1+tbl_Bonds[[#This Row],[Real Simulada]])/252)</f>
        <v>1.2017013474349551E-2</v>
      </c>
      <c r="V338" s="18">
        <f>SUMIF(Dashboard!$B$28:$B$42,tbl_Bonds[[#This Row],[Bond]],Dashboard!$C$28:$C$42)</f>
        <v>9853</v>
      </c>
      <c r="W338" s="18">
        <f>tbl_Bonds[[#This Row],[Quantidade]]*tbl_Bonds[[#This Row],[𝛿P/𝛿VNA]]</f>
        <v>52.385025087061059</v>
      </c>
      <c r="X338" s="18">
        <f>+tbl_Bonds[[#This Row],[Quantidade]]*tbl_Bonds[[#This Row],[𝛿P/𝛿r_real]]</f>
        <v>-684.73386579134501</v>
      </c>
      <c r="Y338" s="18">
        <f>tbl_Bonds[[#This Row],[Quantidade]]*tbl_Bonds[[#This Row],[𝛿P/𝛿r_pre]]</f>
        <v>-647.10349259225677</v>
      </c>
      <c r="Z338" s="18">
        <f>tbl_Bonds[[#This Row],[Quantidade]]*tbl_Bonds[[#This Row],[𝛿P/𝛿r_implicita]]</f>
        <v>685.03143196438714</v>
      </c>
      <c r="AA338" s="18">
        <f>tbl_Bonds[[#This Row],[Quantidade]]*tbl_Bonds[[#This Row],[𝛿P/𝛿du]]</f>
        <v>118.40363376276612</v>
      </c>
    </row>
    <row r="339" spans="1:27">
      <c r="A339" s="2" t="s">
        <v>89</v>
      </c>
      <c r="B339" s="3">
        <v>58669</v>
      </c>
      <c r="C339" s="3">
        <v>50089</v>
      </c>
      <c r="D339" s="4">
        <f>NETWORKDAYS(Dashboard!$C$10,bonds!C339,feriados)-1</f>
        <v>3616</v>
      </c>
      <c r="E339" s="2">
        <f>IF(tbl_Bonds[[#This Row],[Coupon]]&lt;tbl_Bonds[[#This Row],[Maturity]],SQRT(1.06)-1,SQRT(1.06))</f>
        <v>2.9563014098699991E-2</v>
      </c>
      <c r="F339" s="5" cm="1">
        <f t="array" ref="F339">Svensson(betas_pre,tbl_Bonds[[#This Row],[DU]])</f>
        <v>0.1202507133679222</v>
      </c>
      <c r="G339" s="49">
        <f>IF(curve_type="Simulada",_xlfn.XLOOKUP(tbl_Bonds[[#This Row],[Coupon]],Simulador!$B$5:$B$147,Simulador!$H$5:$H$147),0)</f>
        <v>0</v>
      </c>
      <c r="H339" s="5" cm="1">
        <f t="array" ref="H33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0.1202507133679222</v>
      </c>
      <c r="I339" s="5" cm="1">
        <f t="array" ref="I339">Interpola_FF(tbl_Bonds[[#This Row],[DU]],dus_svensson,svensson_implicita)</f>
        <v>5.8177190059257589E-2</v>
      </c>
      <c r="J339" s="49">
        <f>IF(curve_type="Simulada",_xlfn.XLOOKUP(tbl_Bonds[[#This Row],[Coupon]],Simulador!$B$5:$B$147,Simulador!$N$5:$N$147),0)</f>
        <v>0</v>
      </c>
      <c r="K339" s="5" cm="1">
        <f t="array" ref="K33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5.8177190059257589E-2</v>
      </c>
      <c r="L339" s="5" cm="1">
        <f t="array" ref="L339">Interpola_FF(tbl_Bonds[[#This Row],[DU]],dus_svensson,svensson_real_spot)</f>
        <v>5.8660801841484034E-2</v>
      </c>
      <c r="M339" s="49">
        <f>IF(curve_type="Simulada",_xlfn.XLOOKUP(tbl_Bonds[[#This Row],[Coupon]],Simulador!$B$5:$B$147,Simulador!$K$5:$K$147),0)</f>
        <v>0</v>
      </c>
      <c r="N339" s="5" cm="1">
        <f t="array" ref="N33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5.8660801841484034E-2</v>
      </c>
      <c r="O339" s="6">
        <f>IF(curve_type="Mercado",tbl_Bonds[[#This Row],[FC]]/(1+tbl_Bonds[[#This Row],[Real Mercado]])^(tbl_Bonds[[#This Row],[DU]]/252),tbl_Bonds[[#This Row],[FC]]/(1+tbl_Bonds[[#This Row],[Real Simulada]])^(tbl_Bonds[[#This Row],[DU]]/252))</f>
        <v>1.3046914116702193E-2</v>
      </c>
      <c r="P339" s="7">
        <f>tbl_Bonds[[#This Row],[Cotação]]*VNA</f>
        <v>51.604515509403825</v>
      </c>
      <c r="Q339" s="18">
        <f>tbl_Bonds[[#This Row],[Cotação]]%%*VNA</f>
        <v>5.1604515509403818E-3</v>
      </c>
      <c r="R33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-6.9945334738683321E-2</v>
      </c>
      <c r="S33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-6.6099831466518988E-2</v>
      </c>
      <c r="T33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6.9977300634991621E-2</v>
      </c>
      <c r="U339" s="18">
        <f>IF(curve_type="Mercado",tbl_Bonds[[#This Row],[VP Cupom]]*LN(1+tbl_Bonds[[#This Row],[Real Mercado]])/252,tbl_Bonds[[#This Row],[VP Cupom]]*LN(1+tbl_Bonds[[#This Row],[Real Simulada]])/252)</f>
        <v>1.1673415448772621E-2</v>
      </c>
      <c r="V339" s="18">
        <f>SUMIF(Dashboard!$B$28:$B$42,tbl_Bonds[[#This Row],[Bond]],Dashboard!$C$28:$C$42)</f>
        <v>9853</v>
      </c>
      <c r="W339" s="18">
        <f>tbl_Bonds[[#This Row],[Quantidade]]*tbl_Bonds[[#This Row],[𝛿P/𝛿VNA]]</f>
        <v>50.845929131415581</v>
      </c>
      <c r="X339" s="18">
        <f>+tbl_Bonds[[#This Row],[Quantidade]]*tbl_Bonds[[#This Row],[𝛿P/𝛿r_real]]</f>
        <v>-689.17138318024672</v>
      </c>
      <c r="Y339" s="18">
        <f>tbl_Bonds[[#This Row],[Quantidade]]*tbl_Bonds[[#This Row],[𝛿P/𝛿r_pre]]</f>
        <v>-651.28163943961158</v>
      </c>
      <c r="Z339" s="18">
        <f>tbl_Bonds[[#This Row],[Quantidade]]*tbl_Bonds[[#This Row],[𝛿P/𝛿r_implicita]]</f>
        <v>689.48634315657239</v>
      </c>
      <c r="AA339" s="18">
        <f>tbl_Bonds[[#This Row],[Quantidade]]*tbl_Bonds[[#This Row],[𝛿P/𝛿du]]</f>
        <v>115.01816241675664</v>
      </c>
    </row>
    <row r="340" spans="1:27">
      <c r="A340" s="2" t="s">
        <v>89</v>
      </c>
      <c r="B340" s="3">
        <v>58669</v>
      </c>
      <c r="C340" s="3">
        <v>50269</v>
      </c>
      <c r="D340" s="4">
        <f>NETWORKDAYS(Dashboard!$C$10,bonds!C340,feriados)-1</f>
        <v>3740</v>
      </c>
      <c r="E340" s="2">
        <f>IF(tbl_Bonds[[#This Row],[Coupon]]&lt;tbl_Bonds[[#This Row],[Maturity]],SQRT(1.06)-1,SQRT(1.06))</f>
        <v>2.9563014098699991E-2</v>
      </c>
      <c r="F340" s="5" cm="1">
        <f t="array" ref="F340">Svensson(betas_pre,tbl_Bonds[[#This Row],[DU]])</f>
        <v>0.12032101936210414</v>
      </c>
      <c r="G340" s="49">
        <f>IF(curve_type="Simulada",_xlfn.XLOOKUP(tbl_Bonds[[#This Row],[Coupon]],Simulador!$B$5:$B$147,Simulador!$H$5:$H$147),0)</f>
        <v>0</v>
      </c>
      <c r="H340" s="5" cm="1">
        <f t="array" ref="H34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0.12032101936210414</v>
      </c>
      <c r="I340" s="5" cm="1">
        <f t="array" ref="I340">Interpola_FF(tbl_Bonds[[#This Row],[DU]],dus_svensson,svensson_implicita)</f>
        <v>5.8204320020614153E-2</v>
      </c>
      <c r="J340" s="49">
        <f>IF(curve_type="Simulada",_xlfn.XLOOKUP(tbl_Bonds[[#This Row],[Coupon]],Simulador!$B$5:$B$147,Simulador!$N$5:$N$147),0)</f>
        <v>0</v>
      </c>
      <c r="K340" s="5" cm="1">
        <f t="array" ref="K34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5.8204320020614153E-2</v>
      </c>
      <c r="L340" s="5" cm="1">
        <f t="array" ref="L340">Interpola_FF(tbl_Bonds[[#This Row],[DU]],dus_svensson,svensson_real_spot)</f>
        <v>5.8700099138915718E-2</v>
      </c>
      <c r="M340" s="49">
        <f>IF(curve_type="Simulada",_xlfn.XLOOKUP(tbl_Bonds[[#This Row],[Coupon]],Simulador!$B$5:$B$147,Simulador!$K$5:$K$147),0)</f>
        <v>0</v>
      </c>
      <c r="N340" s="5" cm="1">
        <f t="array" ref="N34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5.8700099138915718E-2</v>
      </c>
      <c r="O340" s="6">
        <f>IF(curve_type="Mercado",tbl_Bonds[[#This Row],[FC]]/(1+tbl_Bonds[[#This Row],[Real Mercado]])^(tbl_Bonds[[#This Row],[DU]]/252),tbl_Bonds[[#This Row],[FC]]/(1+tbl_Bonds[[#This Row],[Real Simulada]])^(tbl_Bonds[[#This Row],[DU]]/252))</f>
        <v>1.2679047216846477E-2</v>
      </c>
      <c r="P340" s="7">
        <f>tbl_Bonds[[#This Row],[Cotação]]*VNA</f>
        <v>50.14948997852381</v>
      </c>
      <c r="Q340" s="18">
        <f>tbl_Bonds[[#This Row],[Cotação]]%%*VNA</f>
        <v>5.0149489978523814E-3</v>
      </c>
      <c r="R34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-7.0301505948538678E-2</v>
      </c>
      <c r="S34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-6.6434717545993949E-2</v>
      </c>
      <c r="T34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7.0334442105388056E-2</v>
      </c>
      <c r="U340" s="18">
        <f>IF(curve_type="Mercado",tbl_Bonds[[#This Row],[VP Cupom]]*LN(1+tbl_Bonds[[#This Row],[Real Mercado]])/252,tbl_Bonds[[#This Row],[VP Cupom]]*LN(1+tbl_Bonds[[#This Row],[Real Simulada]])/252)</f>
        <v>1.1351662234153959E-2</v>
      </c>
      <c r="V340" s="18">
        <f>SUMIF(Dashboard!$B$28:$B$42,tbl_Bonds[[#This Row],[Bond]],Dashboard!$C$28:$C$42)</f>
        <v>9853</v>
      </c>
      <c r="W340" s="18">
        <f>tbl_Bonds[[#This Row],[Quantidade]]*tbl_Bonds[[#This Row],[𝛿P/𝛿VNA]]</f>
        <v>49.412292475839514</v>
      </c>
      <c r="X340" s="18">
        <f>+tbl_Bonds[[#This Row],[Quantidade]]*tbl_Bonds[[#This Row],[𝛿P/𝛿r_real]]</f>
        <v>-692.68073811095155</v>
      </c>
      <c r="Y340" s="18">
        <f>tbl_Bonds[[#This Row],[Quantidade]]*tbl_Bonds[[#This Row],[𝛿P/𝛿r_pre]]</f>
        <v>-654.58127198067837</v>
      </c>
      <c r="Z340" s="18">
        <f>tbl_Bonds[[#This Row],[Quantidade]]*tbl_Bonds[[#This Row],[𝛿P/𝛿r_implicita]]</f>
        <v>693.0052580643885</v>
      </c>
      <c r="AA340" s="18">
        <f>tbl_Bonds[[#This Row],[Quantidade]]*tbl_Bonds[[#This Row],[𝛿P/𝛿du]]</f>
        <v>111.84792799311896</v>
      </c>
    </row>
    <row r="341" spans="1:27">
      <c r="A341" s="2" t="s">
        <v>89</v>
      </c>
      <c r="B341" s="3">
        <v>58669</v>
      </c>
      <c r="C341" s="3">
        <v>50451</v>
      </c>
      <c r="D341" s="4">
        <f>NETWORKDAYS(Dashboard!$C$10,bonds!C341,feriados)-1</f>
        <v>3865</v>
      </c>
      <c r="E341" s="2">
        <f>IF(tbl_Bonds[[#This Row],[Coupon]]&lt;tbl_Bonds[[#This Row],[Maturity]],SQRT(1.06)-1,SQRT(1.06))</f>
        <v>2.9563014098699991E-2</v>
      </c>
      <c r="F341" s="5" cm="1">
        <f t="array" ref="F341">Svensson(betas_pre,tbl_Bonds[[#This Row],[DU]])</f>
        <v>0.12038732306130104</v>
      </c>
      <c r="G341" s="49">
        <f>IF(curve_type="Simulada",_xlfn.XLOOKUP(tbl_Bonds[[#This Row],[Coupon]],Simulador!$B$5:$B$147,Simulador!$H$5:$H$147),0)</f>
        <v>0</v>
      </c>
      <c r="H341" s="5" cm="1">
        <f t="array" ref="H34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0.12038732306130104</v>
      </c>
      <c r="I341" s="5" cm="1">
        <f t="array" ref="I341">Interpola_FF(tbl_Bonds[[#This Row],[DU]],dus_svensson,svensson_implicita)</f>
        <v>5.8234064269589547E-2</v>
      </c>
      <c r="J341" s="49">
        <f>IF(curve_type="Simulada",_xlfn.XLOOKUP(tbl_Bonds[[#This Row],[Coupon]],Simulador!$B$5:$B$147,Simulador!$N$5:$N$147),0)</f>
        <v>0</v>
      </c>
      <c r="K341" s="5" cm="1">
        <f t="array" ref="K34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5.8234064269589547E-2</v>
      </c>
      <c r="L341" s="5" cm="1">
        <f t="array" ref="L341">Interpola_FF(tbl_Bonds[[#This Row],[DU]],dus_svensson,svensson_real_spot)</f>
        <v>5.8732996877415289E-2</v>
      </c>
      <c r="M341" s="49">
        <f>IF(curve_type="Simulada",_xlfn.XLOOKUP(tbl_Bonds[[#This Row],[Coupon]],Simulador!$B$5:$B$147,Simulador!$K$5:$K$147),0)</f>
        <v>0</v>
      </c>
      <c r="N341" s="5" cm="1">
        <f t="array" ref="N34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5.8732996877415289E-2</v>
      </c>
      <c r="O341" s="6">
        <f>IF(curve_type="Mercado",tbl_Bonds[[#This Row],[FC]]/(1+tbl_Bonds[[#This Row],[Real Mercado]])^(tbl_Bonds[[#This Row],[DU]]/252),tbl_Bonds[[#This Row],[FC]]/(1+tbl_Bonds[[#This Row],[Real Simulada]])^(tbl_Bonds[[#This Row],[DU]]/252))</f>
        <v>1.2319454328426013E-2</v>
      </c>
      <c r="P341" s="7">
        <f>tbl_Bonds[[#This Row],[Cotação]]*VNA</f>
        <v>48.727190680653081</v>
      </c>
      <c r="Q341" s="18">
        <f>tbl_Bonds[[#This Row],[Cotação]]%%*VNA</f>
        <v>4.8727190680653088E-3</v>
      </c>
      <c r="R34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-7.0588488426762269E-2</v>
      </c>
      <c r="S34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-6.6704040237697826E-2</v>
      </c>
      <c r="T34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7.0621768475077812E-2</v>
      </c>
      <c r="U341" s="18">
        <f>IF(curve_type="Mercado",tbl_Bonds[[#This Row],[VP Cupom]]*LN(1+tbl_Bonds[[#This Row],[Real Mercado]])/252,tbl_Bonds[[#This Row],[VP Cupom]]*LN(1+tbl_Bonds[[#This Row],[Real Simulada]])/252)</f>
        <v>1.1035723942664721E-2</v>
      </c>
      <c r="V341" s="18">
        <f>SUMIF(Dashboard!$B$28:$B$42,tbl_Bonds[[#This Row],[Bond]],Dashboard!$C$28:$C$42)</f>
        <v>9853</v>
      </c>
      <c r="W341" s="18">
        <f>tbl_Bonds[[#This Row],[Quantidade]]*tbl_Bonds[[#This Row],[𝛿P/𝛿VNA]]</f>
        <v>48.010900977647488</v>
      </c>
      <c r="X341" s="18">
        <f>+tbl_Bonds[[#This Row],[Quantidade]]*tbl_Bonds[[#This Row],[𝛿P/𝛿r_real]]</f>
        <v>-695.50837646888863</v>
      </c>
      <c r="Y341" s="18">
        <f>tbl_Bonds[[#This Row],[Quantidade]]*tbl_Bonds[[#This Row],[𝛿P/𝛿r_pre]]</f>
        <v>-657.23490846203663</v>
      </c>
      <c r="Z341" s="18">
        <f>tbl_Bonds[[#This Row],[Quantidade]]*tbl_Bonds[[#This Row],[𝛿P/𝛿r_implicita]]</f>
        <v>695.83628478494165</v>
      </c>
      <c r="AA341" s="18">
        <f>tbl_Bonds[[#This Row],[Quantidade]]*tbl_Bonds[[#This Row],[𝛿P/𝛿du]]</f>
        <v>108.7349880070755</v>
      </c>
    </row>
    <row r="342" spans="1:27">
      <c r="A342" s="2" t="s">
        <v>89</v>
      </c>
      <c r="B342" s="3">
        <v>58669</v>
      </c>
      <c r="C342" s="3">
        <v>50633</v>
      </c>
      <c r="D342" s="4">
        <f>NETWORKDAYS(Dashboard!$C$10,bonds!C342,feriados)-1</f>
        <v>3990</v>
      </c>
      <c r="E342" s="2">
        <f>IF(tbl_Bonds[[#This Row],[Coupon]]&lt;tbl_Bonds[[#This Row],[Maturity]],SQRT(1.06)-1,SQRT(1.06))</f>
        <v>2.9563014098699991E-2</v>
      </c>
      <c r="F342" s="5" cm="1">
        <f t="array" ref="F342">Svensson(betas_pre,tbl_Bonds[[#This Row],[DU]])</f>
        <v>0.12044946906148286</v>
      </c>
      <c r="G342" s="49">
        <f>IF(curve_type="Simulada",_xlfn.XLOOKUP(tbl_Bonds[[#This Row],[Coupon]],Simulador!$B$5:$B$147,Simulador!$H$5:$H$147),0)</f>
        <v>0</v>
      </c>
      <c r="H342" s="5" cm="1">
        <f t="array" ref="H34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0.12044946906148286</v>
      </c>
      <c r="I342" s="5" cm="1">
        <f t="array" ref="I342">Interpola_FF(tbl_Bonds[[#This Row],[DU]],dus_svensson,svensson_implicita)</f>
        <v>5.8265780259018296E-2</v>
      </c>
      <c r="J342" s="49">
        <f>IF(curve_type="Simulada",_xlfn.XLOOKUP(tbl_Bonds[[#This Row],[Coupon]],Simulador!$B$5:$B$147,Simulador!$N$5:$N$147),0)</f>
        <v>0</v>
      </c>
      <c r="K342" s="5" cm="1">
        <f t="array" ref="K34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5.8265780259018296E-2</v>
      </c>
      <c r="L342" s="5" cm="1">
        <f t="array" ref="L342">Interpola_FF(tbl_Bonds[[#This Row],[DU]],dus_svensson,svensson_real_spot)</f>
        <v>5.8759991321506444E-2</v>
      </c>
      <c r="M342" s="49">
        <f>IF(curve_type="Simulada",_xlfn.XLOOKUP(tbl_Bonds[[#This Row],[Coupon]],Simulador!$B$5:$B$147,Simulador!$K$5:$K$147),0)</f>
        <v>0</v>
      </c>
      <c r="N342" s="5" cm="1">
        <f t="array" ref="N34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5.8759991321506444E-2</v>
      </c>
      <c r="O342" s="6">
        <f>IF(curve_type="Mercado",tbl_Bonds[[#This Row],[FC]]/(1+tbl_Bonds[[#This Row],[Real Mercado]])^(tbl_Bonds[[#This Row],[DU]]/252),tbl_Bonds[[#This Row],[FC]]/(1+tbl_Bonds[[#This Row],[Real Simulada]])^(tbl_Bonds[[#This Row],[DU]]/252))</f>
        <v>1.1970747860051445E-2</v>
      </c>
      <c r="P342" s="7">
        <f>tbl_Bonds[[#This Row],[Cotação]]*VNA</f>
        <v>47.347950486803072</v>
      </c>
      <c r="Q342" s="18">
        <f>tbl_Bonds[[#This Row],[Cotação]]%%*VNA</f>
        <v>4.7347950486803072E-3</v>
      </c>
      <c r="R34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-7.0806971254363013E-2</v>
      </c>
      <c r="S34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-6.6908494812450328E-2</v>
      </c>
      <c r="T34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7.0840037433662531E-2</v>
      </c>
      <c r="U342" s="18">
        <f>IF(curve_type="Mercado",tbl_Bonds[[#This Row],[VP Cupom]]*LN(1+tbl_Bonds[[#This Row],[Real Mercado]])/252,tbl_Bonds[[#This Row],[VP Cupom]]*LN(1+tbl_Bonds[[#This Row],[Real Simulada]])/252)</f>
        <v>1.072814443664785E-2</v>
      </c>
      <c r="V342" s="18">
        <f>SUMIF(Dashboard!$B$28:$B$42,tbl_Bonds[[#This Row],[Bond]],Dashboard!$C$28:$C$42)</f>
        <v>9853</v>
      </c>
      <c r="W342" s="18">
        <f>tbl_Bonds[[#This Row],[Quantidade]]*tbl_Bonds[[#This Row],[𝛿P/𝛿VNA]]</f>
        <v>46.651935614647066</v>
      </c>
      <c r="X342" s="18">
        <f>+tbl_Bonds[[#This Row],[Quantidade]]*tbl_Bonds[[#This Row],[𝛿P/𝛿r_real]]</f>
        <v>-697.66108776923875</v>
      </c>
      <c r="Y342" s="18">
        <f>tbl_Bonds[[#This Row],[Quantidade]]*tbl_Bonds[[#This Row],[𝛿P/𝛿r_pre]]</f>
        <v>-659.24939938707303</v>
      </c>
      <c r="Z342" s="18">
        <f>tbl_Bonds[[#This Row],[Quantidade]]*tbl_Bonds[[#This Row],[𝛿P/𝛿r_implicita]]</f>
        <v>697.98688883387695</v>
      </c>
      <c r="AA342" s="18">
        <f>tbl_Bonds[[#This Row],[Quantidade]]*tbl_Bonds[[#This Row],[𝛿P/𝛿du]]</f>
        <v>105.70440713429127</v>
      </c>
    </row>
    <row r="343" spans="1:27">
      <c r="A343" s="2" t="s">
        <v>89</v>
      </c>
      <c r="B343" s="3">
        <v>58669</v>
      </c>
      <c r="C343" s="3">
        <v>50816</v>
      </c>
      <c r="D343" s="4">
        <f>NETWORKDAYS(Dashboard!$C$10,bonds!C343,feriados)-1</f>
        <v>4117</v>
      </c>
      <c r="E343" s="2">
        <f>IF(tbl_Bonds[[#This Row],[Coupon]]&lt;tbl_Bonds[[#This Row],[Maturity]],SQRT(1.06)-1,SQRT(1.06))</f>
        <v>2.9563014098699991E-2</v>
      </c>
      <c r="F343" s="5" cm="1">
        <f t="array" ref="F343">Svensson(betas_pre,tbl_Bonds[[#This Row],[DU]])</f>
        <v>0.12050874137297377</v>
      </c>
      <c r="G343" s="49">
        <f>IF(curve_type="Simulada",_xlfn.XLOOKUP(tbl_Bonds[[#This Row],[Coupon]],Simulador!$B$5:$B$147,Simulador!$H$5:$H$147),0)</f>
        <v>0</v>
      </c>
      <c r="H343" s="5" cm="1">
        <f t="array" ref="H34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0.12050874137297377</v>
      </c>
      <c r="I343" s="5" cm="1">
        <f t="array" ref="I343">Interpola_FF(tbl_Bonds[[#This Row],[DU]],dus_svensson,svensson_implicita)</f>
        <v>5.8299588626735677E-2</v>
      </c>
      <c r="J343" s="49">
        <f>IF(curve_type="Simulada",_xlfn.XLOOKUP(tbl_Bonds[[#This Row],[Coupon]],Simulador!$B$5:$B$147,Simulador!$N$5:$N$147),0)</f>
        <v>0</v>
      </c>
      <c r="K343" s="5" cm="1">
        <f t="array" ref="K34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5.8299588626735677E-2</v>
      </c>
      <c r="L343" s="5" cm="1">
        <f t="array" ref="L343">Interpola_FF(tbl_Bonds[[#This Row],[DU]],dus_svensson,svensson_real_spot)</f>
        <v>5.8782175441086881E-2</v>
      </c>
      <c r="M343" s="49">
        <f>IF(curve_type="Simulada",_xlfn.XLOOKUP(tbl_Bonds[[#This Row],[Coupon]],Simulador!$B$5:$B$147,Simulador!$K$5:$K$147),0)</f>
        <v>0</v>
      </c>
      <c r="N343" s="5" cm="1">
        <f t="array" ref="N34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5.8782175441086881E-2</v>
      </c>
      <c r="O343" s="6">
        <f>IF(curve_type="Mercado",tbl_Bonds[[#This Row],[FC]]/(1+tbl_Bonds[[#This Row],[Real Mercado]])^(tbl_Bonds[[#This Row],[DU]]/252),tbl_Bonds[[#This Row],[FC]]/(1+tbl_Bonds[[#This Row],[Real Simulada]])^(tbl_Bonds[[#This Row],[DU]]/252))</f>
        <v>1.1627208383587086E-2</v>
      </c>
      <c r="P343" s="7">
        <f>tbl_Bonds[[#This Row],[Cotação]]*VNA</f>
        <v>45.989147318274313</v>
      </c>
      <c r="Q343" s="18">
        <f>tbl_Bonds[[#This Row],[Cotação]]%%*VNA</f>
        <v>4.5989147318274319E-3</v>
      </c>
      <c r="R34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-7.096252533421081E-2</v>
      </c>
      <c r="S34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-6.7053342337054872E-2</v>
      </c>
      <c r="T34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7.09948837119357E-2</v>
      </c>
      <c r="U343" s="18">
        <f>IF(curve_type="Mercado",tbl_Bonds[[#This Row],[VP Cupom]]*LN(1+tbl_Bonds[[#This Row],[Real Mercado]])/252,tbl_Bonds[[#This Row],[VP Cupom]]*LN(1+tbl_Bonds[[#This Row],[Real Simulada]])/252)</f>
        <v>1.0424089297910959E-2</v>
      </c>
      <c r="V343" s="18">
        <f>SUMIF(Dashboard!$B$28:$B$42,tbl_Bonds[[#This Row],[Bond]],Dashboard!$C$28:$C$42)</f>
        <v>9853</v>
      </c>
      <c r="W343" s="18">
        <f>tbl_Bonds[[#This Row],[Quantidade]]*tbl_Bonds[[#This Row],[𝛿P/𝛿VNA]]</f>
        <v>45.313106852695689</v>
      </c>
      <c r="X343" s="18">
        <f>+tbl_Bonds[[#This Row],[Quantidade]]*tbl_Bonds[[#This Row],[𝛿P/𝛿r_real]]</f>
        <v>-699.19376211797908</v>
      </c>
      <c r="Y343" s="18">
        <f>tbl_Bonds[[#This Row],[Quantidade]]*tbl_Bonds[[#This Row],[𝛿P/𝛿r_pre]]</f>
        <v>-660.6765820470016</v>
      </c>
      <c r="Z343" s="18">
        <f>tbl_Bonds[[#This Row],[Quantidade]]*tbl_Bonds[[#This Row],[𝛿P/𝛿r_implicita]]</f>
        <v>699.51258921370243</v>
      </c>
      <c r="AA343" s="18">
        <f>tbl_Bonds[[#This Row],[Quantidade]]*tbl_Bonds[[#This Row],[𝛿P/𝛿du]]</f>
        <v>102.70855185231667</v>
      </c>
    </row>
    <row r="344" spans="1:27">
      <c r="A344" s="2" t="s">
        <v>89</v>
      </c>
      <c r="B344" s="3">
        <v>58669</v>
      </c>
      <c r="C344" s="3">
        <v>50997</v>
      </c>
      <c r="D344" s="4">
        <f>NETWORKDAYS(Dashboard!$C$10,bonds!C344,feriados)-1</f>
        <v>4241</v>
      </c>
      <c r="E344" s="2">
        <f>IF(tbl_Bonds[[#This Row],[Coupon]]&lt;tbl_Bonds[[#This Row],[Maturity]],SQRT(1.06)-1,SQRT(1.06))</f>
        <v>2.9563014098699991E-2</v>
      </c>
      <c r="F344" s="5" cm="1">
        <f t="array" ref="F344">Svensson(betas_pre,tbl_Bonds[[#This Row],[DU]])</f>
        <v>0.12056318553647621</v>
      </c>
      <c r="G344" s="49">
        <f>IF(curve_type="Simulada",_xlfn.XLOOKUP(tbl_Bonds[[#This Row],[Coupon]],Simulador!$B$5:$B$147,Simulador!$H$5:$H$147),0)</f>
        <v>0</v>
      </c>
      <c r="H344" s="5" cm="1">
        <f t="array" ref="H34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0.12056318553647621</v>
      </c>
      <c r="I344" s="5" cm="1">
        <f t="array" ref="I344">Interpola_FF(tbl_Bonds[[#This Row],[DU]],dus_svensson,svensson_implicita)</f>
        <v>5.8333783790841975E-2</v>
      </c>
      <c r="J344" s="49">
        <f>IF(curve_type="Simulada",_xlfn.XLOOKUP(tbl_Bonds[[#This Row],[Coupon]],Simulador!$B$5:$B$147,Simulador!$N$5:$N$147),0)</f>
        <v>0</v>
      </c>
      <c r="K344" s="5" cm="1">
        <f t="array" ref="K34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5.8333783790841975E-2</v>
      </c>
      <c r="L344" s="5" cm="1">
        <f t="array" ref="L344">Interpola_FF(tbl_Bonds[[#This Row],[DU]],dus_svensson,svensson_real_spot)</f>
        <v>5.8799409120790624E-2</v>
      </c>
      <c r="M344" s="49">
        <f>IF(curve_type="Simulada",_xlfn.XLOOKUP(tbl_Bonds[[#This Row],[Coupon]],Simulador!$B$5:$B$147,Simulador!$K$5:$K$147),0)</f>
        <v>0</v>
      </c>
      <c r="N344" s="5" cm="1">
        <f t="array" ref="N34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5.8799409120790624E-2</v>
      </c>
      <c r="O344" s="6">
        <f>IF(curve_type="Mercado",tbl_Bonds[[#This Row],[FC]]/(1+tbl_Bonds[[#This Row],[Real Mercado]])^(tbl_Bonds[[#This Row],[DU]]/252),tbl_Bonds[[#This Row],[FC]]/(1+tbl_Bonds[[#This Row],[Real Simulada]])^(tbl_Bonds[[#This Row],[DU]]/252))</f>
        <v>1.1301863508631512E-2</v>
      </c>
      <c r="P344" s="7">
        <f>tbl_Bonds[[#This Row],[Cotação]]*VNA</f>
        <v>44.702309335332671</v>
      </c>
      <c r="Q344" s="18">
        <f>tbl_Bonds[[#This Row],[Cotação]]%%*VNA</f>
        <v>4.4702309335332676E-3</v>
      </c>
      <c r="R34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-7.1053258739512348E-2</v>
      </c>
      <c r="S34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-6.7136908168725556E-2</v>
      </c>
      <c r="T34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7.1084518737696195E-2</v>
      </c>
      <c r="U344" s="18">
        <f>IF(curve_type="Mercado",tbl_Bonds[[#This Row],[VP Cupom]]*LN(1+tbl_Bonds[[#This Row],[Real Mercado]])/252,tbl_Bonds[[#This Row],[VP Cupom]]*LN(1+tbl_Bonds[[#This Row],[Real Simulada]])/252)</f>
        <v>1.0135296643253924E-2</v>
      </c>
      <c r="V344" s="18">
        <f>SUMIF(Dashboard!$B$28:$B$42,tbl_Bonds[[#This Row],[Bond]],Dashboard!$C$28:$C$42)</f>
        <v>9853</v>
      </c>
      <c r="W344" s="18">
        <f>tbl_Bonds[[#This Row],[Quantidade]]*tbl_Bonds[[#This Row],[𝛿P/𝛿VNA]]</f>
        <v>44.045185388103285</v>
      </c>
      <c r="X344" s="18">
        <f>+tbl_Bonds[[#This Row],[Quantidade]]*tbl_Bonds[[#This Row],[𝛿P/𝛿r_real]]</f>
        <v>-700.08775836041514</v>
      </c>
      <c r="Y344" s="18">
        <f>tbl_Bonds[[#This Row],[Quantidade]]*tbl_Bonds[[#This Row],[𝛿P/𝛿r_pre]]</f>
        <v>-661.49995618645289</v>
      </c>
      <c r="Z344" s="18">
        <f>tbl_Bonds[[#This Row],[Quantidade]]*tbl_Bonds[[#This Row],[𝛿P/𝛿r_implicita]]</f>
        <v>700.39576312252063</v>
      </c>
      <c r="AA344" s="18">
        <f>tbl_Bonds[[#This Row],[Quantidade]]*tbl_Bonds[[#This Row],[𝛿P/𝛿du]]</f>
        <v>99.863077825980923</v>
      </c>
    </row>
    <row r="345" spans="1:27">
      <c r="A345" s="2" t="s">
        <v>89</v>
      </c>
      <c r="B345" s="3">
        <v>58669</v>
      </c>
      <c r="C345" s="3">
        <v>51181</v>
      </c>
      <c r="D345" s="4">
        <f>NETWORKDAYS(Dashboard!$C$10,bonds!C345,feriados)-1</f>
        <v>4367</v>
      </c>
      <c r="E345" s="2">
        <f>IF(tbl_Bonds[[#This Row],[Coupon]]&lt;tbl_Bonds[[#This Row],[Maturity]],SQRT(1.06)-1,SQRT(1.06))</f>
        <v>2.9563014098699991E-2</v>
      </c>
      <c r="F345" s="5" cm="1">
        <f t="array" ref="F345">Svensson(betas_pre,tbl_Bonds[[#This Row],[DU]])</f>
        <v>0.12061533809566234</v>
      </c>
      <c r="G345" s="49">
        <f>IF(curve_type="Simulada",_xlfn.XLOOKUP(tbl_Bonds[[#This Row],[Coupon]],Simulador!$B$5:$B$147,Simulador!$H$5:$H$147),0)</f>
        <v>0</v>
      </c>
      <c r="H345" s="5" cm="1">
        <f t="array" ref="H34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0.12061533809566234</v>
      </c>
      <c r="I345" s="5" cm="1">
        <f t="array" ref="I345">Interpola_FF(tbl_Bonds[[#This Row],[DU]],dus_svensson,svensson_implicita)</f>
        <v>5.8369365588984978E-2</v>
      </c>
      <c r="J345" s="49">
        <f>IF(curve_type="Simulada",_xlfn.XLOOKUP(tbl_Bonds[[#This Row],[Coupon]],Simulador!$B$5:$B$147,Simulador!$N$5:$N$147),0)</f>
        <v>0</v>
      </c>
      <c r="K345" s="5" cm="1">
        <f t="array" ref="K34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5.8369365588984978E-2</v>
      </c>
      <c r="L345" s="5" cm="1">
        <f t="array" ref="L345">Interpola_FF(tbl_Bonds[[#This Row],[DU]],dus_svensson,svensson_real_spot)</f>
        <v>5.8813089255010942E-2</v>
      </c>
      <c r="M345" s="49">
        <f>IF(curve_type="Simulada",_xlfn.XLOOKUP(tbl_Bonds[[#This Row],[Coupon]],Simulador!$B$5:$B$147,Simulador!$K$5:$K$147),0)</f>
        <v>0</v>
      </c>
      <c r="N345" s="5" cm="1">
        <f t="array" ref="N34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5.8813089255010942E-2</v>
      </c>
      <c r="O345" s="6">
        <f>IF(curve_type="Mercado",tbl_Bonds[[#This Row],[FC]]/(1+tbl_Bonds[[#This Row],[Real Mercado]])^(tbl_Bonds[[#This Row],[DU]]/252),tbl_Bonds[[#This Row],[FC]]/(1+tbl_Bonds[[#This Row],[Real Simulada]])^(tbl_Bonds[[#This Row],[DU]]/252))</f>
        <v>1.0981103220500979E-2</v>
      </c>
      <c r="P345" s="7">
        <f>tbl_Bonds[[#This Row],[Cotação]]*VNA</f>
        <v>43.433604788374488</v>
      </c>
      <c r="Q345" s="18">
        <f>tbl_Bonds[[#This Row],[Cotação]]%%*VNA</f>
        <v>4.343360478837449E-3</v>
      </c>
      <c r="R34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-7.1086842590904309E-2</v>
      </c>
      <c r="S34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-6.7166382805658842E-2</v>
      </c>
      <c r="T34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7.1116645307037429E-2</v>
      </c>
      <c r="U345" s="18">
        <f>IF(curve_type="Mercado",tbl_Bonds[[#This Row],[VP Cupom]]*LN(1+tbl_Bonds[[#This Row],[Real Mercado]])/252,tbl_Bonds[[#This Row],[VP Cupom]]*LN(1+tbl_Bonds[[#This Row],[Real Simulada]])/252)</f>
        <v>9.8498717982934744E-3</v>
      </c>
      <c r="V345" s="18">
        <f>SUMIF(Dashboard!$B$28:$B$42,tbl_Bonds[[#This Row],[Bond]],Dashboard!$C$28:$C$42)</f>
        <v>9853</v>
      </c>
      <c r="W345" s="18">
        <f>tbl_Bonds[[#This Row],[Quantidade]]*tbl_Bonds[[#This Row],[𝛿P/𝛿VNA]]</f>
        <v>42.795130797985387</v>
      </c>
      <c r="X345" s="18">
        <f>+tbl_Bonds[[#This Row],[Quantidade]]*tbl_Bonds[[#This Row],[𝛿P/𝛿r_real]]</f>
        <v>-700.41866004818019</v>
      </c>
      <c r="Y345" s="18">
        <f>tbl_Bonds[[#This Row],[Quantidade]]*tbl_Bonds[[#This Row],[𝛿P/𝛿r_pre]]</f>
        <v>-661.79036978415661</v>
      </c>
      <c r="Z345" s="18">
        <f>tbl_Bonds[[#This Row],[Quantidade]]*tbl_Bonds[[#This Row],[𝛿P/𝛿r_implicita]]</f>
        <v>700.71230621023983</v>
      </c>
      <c r="AA345" s="18">
        <f>tbl_Bonds[[#This Row],[Quantidade]]*tbl_Bonds[[#This Row],[𝛿P/𝛿du]]</f>
        <v>97.050786828585601</v>
      </c>
    </row>
    <row r="346" spans="1:27">
      <c r="A346" s="2" t="s">
        <v>89</v>
      </c>
      <c r="B346" s="3">
        <v>58669</v>
      </c>
      <c r="C346" s="3">
        <v>51363</v>
      </c>
      <c r="D346" s="4">
        <f>NETWORKDAYS(Dashboard!$C$10,bonds!C346,feriados)-1</f>
        <v>4494</v>
      </c>
      <c r="E346" s="2">
        <f>IF(tbl_Bonds[[#This Row],[Coupon]]&lt;tbl_Bonds[[#This Row],[Maturity]],SQRT(1.06)-1,SQRT(1.06))</f>
        <v>2.9563014098699991E-2</v>
      </c>
      <c r="F346" s="5" cm="1">
        <f t="array" ref="F346">Svensson(betas_pre,tbl_Bonds[[#This Row],[DU]])</f>
        <v>0.12066494275144943</v>
      </c>
      <c r="G346" s="49">
        <f>IF(curve_type="Simulada",_xlfn.XLOOKUP(tbl_Bonds[[#This Row],[Coupon]],Simulador!$B$5:$B$147,Simulador!$H$5:$H$147),0)</f>
        <v>0</v>
      </c>
      <c r="H346" s="5" cm="1">
        <f t="array" ref="H34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0.12066494275144943</v>
      </c>
      <c r="I346" s="5" cm="1">
        <f t="array" ref="I346">Interpola_FF(tbl_Bonds[[#This Row],[DU]],dus_svensson,svensson_implicita)</f>
        <v>5.8405778317638379E-2</v>
      </c>
      <c r="J346" s="49">
        <f>IF(curve_type="Simulada",_xlfn.XLOOKUP(tbl_Bonds[[#This Row],[Coupon]],Simulador!$B$5:$B$147,Simulador!$N$5:$N$147),0)</f>
        <v>0</v>
      </c>
      <c r="K346" s="5" cm="1">
        <f t="array" ref="K34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5.8405778317638379E-2</v>
      </c>
      <c r="L346" s="5" cm="1">
        <f t="array" ref="L346">Interpola_FF(tbl_Bonds[[#This Row],[DU]],dus_svensson,svensson_real_spot)</f>
        <v>5.8823529904745264E-2</v>
      </c>
      <c r="M346" s="49">
        <f>IF(curve_type="Simulada",_xlfn.XLOOKUP(tbl_Bonds[[#This Row],[Coupon]],Simulador!$B$5:$B$147,Simulador!$K$5:$K$147),0)</f>
        <v>0</v>
      </c>
      <c r="N346" s="5" cm="1">
        <f t="array" ref="N34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5.8823529904745264E-2</v>
      </c>
      <c r="O346" s="6">
        <f>IF(curve_type="Mercado",tbl_Bonds[[#This Row],[FC]]/(1+tbl_Bonds[[#This Row],[Real Mercado]])^(tbl_Bonds[[#This Row],[DU]]/252),tbl_Bonds[[#This Row],[FC]]/(1+tbl_Bonds[[#This Row],[Real Simulada]])^(tbl_Bonds[[#This Row],[DU]]/252))</f>
        <v>1.0667470825881421E-2</v>
      </c>
      <c r="P346" s="7">
        <f>tbl_Bonds[[#This Row],[Cotação]]*VNA</f>
        <v>42.193093229271234</v>
      </c>
      <c r="Q346" s="18">
        <f>tbl_Bonds[[#This Row],[Cotação]]%%*VNA</f>
        <v>4.2193093229271235E-3</v>
      </c>
      <c r="R34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-7.1064107915102301E-2</v>
      </c>
      <c r="S34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-6.7142591996157686E-2</v>
      </c>
      <c r="T34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7.109215629487653E-2</v>
      </c>
      <c r="U346" s="18">
        <f>IF(curve_type="Mercado",tbl_Bonds[[#This Row],[VP Cupom]]*LN(1+tbl_Bonds[[#This Row],[Real Mercado]])/252,tbl_Bonds[[#This Row],[VP Cupom]]*LN(1+tbl_Bonds[[#This Row],[Real Simulada]])/252)</f>
        <v>9.5701996175834025E-3</v>
      </c>
      <c r="V346" s="18">
        <f>SUMIF(Dashboard!$B$28:$B$42,tbl_Bonds[[#This Row],[Bond]],Dashboard!$C$28:$C$42)</f>
        <v>9853</v>
      </c>
      <c r="W346" s="18">
        <f>tbl_Bonds[[#This Row],[Quantidade]]*tbl_Bonds[[#This Row],[𝛿P/𝛿VNA]]</f>
        <v>41.57285475880095</v>
      </c>
      <c r="X346" s="18">
        <f>+tbl_Bonds[[#This Row],[Quantidade]]*tbl_Bonds[[#This Row],[𝛿P/𝛿r_real]]</f>
        <v>-700.194655287503</v>
      </c>
      <c r="Y346" s="18">
        <f>tbl_Bonds[[#This Row],[Quantidade]]*tbl_Bonds[[#This Row],[𝛿P/𝛿r_pre]]</f>
        <v>-661.55595893814166</v>
      </c>
      <c r="Z346" s="18">
        <f>tbl_Bonds[[#This Row],[Quantidade]]*tbl_Bonds[[#This Row],[𝛿P/𝛿r_implicita]]</f>
        <v>700.47101597341839</v>
      </c>
      <c r="AA346" s="18">
        <f>tbl_Bonds[[#This Row],[Quantidade]]*tbl_Bonds[[#This Row],[𝛿P/𝛿du]]</f>
        <v>94.295176832049265</v>
      </c>
    </row>
    <row r="347" spans="1:27">
      <c r="A347" s="2" t="s">
        <v>89</v>
      </c>
      <c r="B347" s="3">
        <v>58669</v>
      </c>
      <c r="C347" s="3">
        <v>51547</v>
      </c>
      <c r="D347" s="4">
        <f>NETWORKDAYS(Dashboard!$C$10,bonds!C347,feriados)-1</f>
        <v>4620</v>
      </c>
      <c r="E347" s="2">
        <f>IF(tbl_Bonds[[#This Row],[Coupon]]&lt;tbl_Bonds[[#This Row],[Maturity]],SQRT(1.06)-1,SQRT(1.06))</f>
        <v>2.9563014098699991E-2</v>
      </c>
      <c r="F347" s="5" cm="1">
        <f t="array" ref="F347">Svensson(betas_pre,tbl_Bonds[[#This Row],[DU]])</f>
        <v>0.12071145956042587</v>
      </c>
      <c r="G347" s="49">
        <f>IF(curve_type="Simulada",_xlfn.XLOOKUP(tbl_Bonds[[#This Row],[Coupon]],Simulador!$B$5:$B$147,Simulador!$H$5:$H$147),0)</f>
        <v>0</v>
      </c>
      <c r="H347" s="5" cm="1">
        <f t="array" ref="H34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0.12071145956042587</v>
      </c>
      <c r="I347" s="5" cm="1">
        <f t="array" ref="I347">Interpola_FF(tbl_Bonds[[#This Row],[DU]],dus_svensson,svensson_implicita)</f>
        <v>5.8442186408470986E-2</v>
      </c>
      <c r="J347" s="49">
        <f>IF(curve_type="Simulada",_xlfn.XLOOKUP(tbl_Bonds[[#This Row],[Coupon]],Simulador!$B$5:$B$147,Simulador!$N$5:$N$147),0)</f>
        <v>0</v>
      </c>
      <c r="K347" s="5" cm="1">
        <f t="array" ref="K34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5.8442186408470986E-2</v>
      </c>
      <c r="L347" s="5" cm="1">
        <f t="array" ref="L347">Interpola_FF(tbl_Bonds[[#This Row],[DU]],dus_svensson,svensson_real_spot)</f>
        <v>5.8831057113176932E-2</v>
      </c>
      <c r="M347" s="49">
        <f>IF(curve_type="Simulada",_xlfn.XLOOKUP(tbl_Bonds[[#This Row],[Coupon]],Simulador!$B$5:$B$147,Simulador!$K$5:$K$147),0)</f>
        <v>0</v>
      </c>
      <c r="N347" s="5" cm="1">
        <f t="array" ref="N34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5.8831057113176932E-2</v>
      </c>
      <c r="O347" s="6">
        <f>IF(curve_type="Mercado",tbl_Bonds[[#This Row],[FC]]/(1+tbl_Bonds[[#This Row],[Real Mercado]])^(tbl_Bonds[[#This Row],[DU]]/252),tbl_Bonds[[#This Row],[FC]]/(1+tbl_Bonds[[#This Row],[Real Simulada]])^(tbl_Bonds[[#This Row],[DU]]/252))</f>
        <v>1.0365567151199743E-2</v>
      </c>
      <c r="P347" s="7">
        <f>tbl_Bonds[[#This Row],[Cotação]]*VNA</f>
        <v>40.998972326573472</v>
      </c>
      <c r="Q347" s="18">
        <f>tbl_Bonds[[#This Row],[Cotação]]%%*VNA</f>
        <v>4.0998972326573473E-3</v>
      </c>
      <c r="R34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-7.0988456651100831E-2</v>
      </c>
      <c r="S34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-6.7068808323392362E-2</v>
      </c>
      <c r="T34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7.1014537243775488E-2</v>
      </c>
      <c r="U347" s="18">
        <f>IF(curve_type="Mercado",tbl_Bonds[[#This Row],[VP Cupom]]*LN(1+tbl_Bonds[[#This Row],[Real Mercado]])/252,tbl_Bonds[[#This Row],[VP Cupom]]*LN(1+tbl_Bonds[[#This Row],[Real Simulada]])/252)</f>
        <v>9.3005067787278323E-3</v>
      </c>
      <c r="V347" s="18">
        <f>SUMIF(Dashboard!$B$28:$B$42,tbl_Bonds[[#This Row],[Bond]],Dashboard!$C$28:$C$42)</f>
        <v>9853</v>
      </c>
      <c r="W347" s="18">
        <f>tbl_Bonds[[#This Row],[Quantidade]]*tbl_Bonds[[#This Row],[𝛿P/𝛿VNA]]</f>
        <v>40.396287433372841</v>
      </c>
      <c r="X347" s="18">
        <f>+tbl_Bonds[[#This Row],[Quantidade]]*tbl_Bonds[[#This Row],[𝛿P/𝛿r_real]]</f>
        <v>-699.44926338329651</v>
      </c>
      <c r="Y347" s="18">
        <f>tbl_Bonds[[#This Row],[Quantidade]]*tbl_Bonds[[#This Row],[𝛿P/𝛿r_pre]]</f>
        <v>-660.82896841038496</v>
      </c>
      <c r="Z347" s="18">
        <f>tbl_Bonds[[#This Row],[Quantidade]]*tbl_Bonds[[#This Row],[𝛿P/𝛿r_implicita]]</f>
        <v>699.70623546291984</v>
      </c>
      <c r="AA347" s="18">
        <f>tbl_Bonds[[#This Row],[Quantidade]]*tbl_Bonds[[#This Row],[𝛿P/𝛿du]]</f>
        <v>91.637893290805337</v>
      </c>
    </row>
    <row r="348" spans="1:27">
      <c r="A348" s="2" t="s">
        <v>89</v>
      </c>
      <c r="B348" s="3">
        <v>58669</v>
      </c>
      <c r="C348" s="3">
        <v>51728</v>
      </c>
      <c r="D348" s="4">
        <f>NETWORKDAYS(Dashboard!$C$10,bonds!C348,feriados)-1</f>
        <v>4744</v>
      </c>
      <c r="E348" s="2">
        <f>IF(tbl_Bonds[[#This Row],[Coupon]]&lt;tbl_Bonds[[#This Row],[Maturity]],SQRT(1.06)-1,SQRT(1.06))</f>
        <v>2.9563014098699991E-2</v>
      </c>
      <c r="F348" s="5" cm="1">
        <f t="array" ref="F348">Svensson(betas_pre,tbl_Bonds[[#This Row],[DU]])</f>
        <v>0.12075482363669565</v>
      </c>
      <c r="G348" s="49">
        <f>IF(curve_type="Simulada",_xlfn.XLOOKUP(tbl_Bonds[[#This Row],[Coupon]],Simulador!$B$5:$B$147,Simulador!$H$5:$H$147),0)</f>
        <v>0</v>
      </c>
      <c r="H348" s="5" cm="1">
        <f t="array" ref="H34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0.12075482363669565</v>
      </c>
      <c r="I348" s="5" cm="1">
        <f t="array" ref="I348">Interpola_FF(tbl_Bonds[[#This Row],[DU]],dus_svensson,svensson_implicita)</f>
        <v>5.8478069407634115E-2</v>
      </c>
      <c r="J348" s="49">
        <f>IF(curve_type="Simulada",_xlfn.XLOOKUP(tbl_Bonds[[#This Row],[Coupon]],Simulador!$B$5:$B$147,Simulador!$N$5:$N$147),0)</f>
        <v>0</v>
      </c>
      <c r="K348" s="5" cm="1">
        <f t="array" ref="K34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5.8478069407634115E-2</v>
      </c>
      <c r="L348" s="5" cm="1">
        <f t="array" ref="L348">Interpola_FF(tbl_Bonds[[#This Row],[DU]],dus_svensson,svensson_real_spot)</f>
        <v>5.8836130507560425E-2</v>
      </c>
      <c r="M348" s="49">
        <f>IF(curve_type="Simulada",_xlfn.XLOOKUP(tbl_Bonds[[#This Row],[Coupon]],Simulador!$B$5:$B$147,Simulador!$K$5:$K$147),0)</f>
        <v>0</v>
      </c>
      <c r="N348" s="5" cm="1">
        <f t="array" ref="N34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5.8836130507560425E-2</v>
      </c>
      <c r="O348" s="6">
        <f>IF(curve_type="Mercado",tbl_Bonds[[#This Row],[FC]]/(1+tbl_Bonds[[#This Row],[Real Mercado]])^(tbl_Bonds[[#This Row],[DU]]/252),tbl_Bonds[[#This Row],[FC]]/(1+tbl_Bonds[[#This Row],[Real Simulada]])^(tbl_Bonds[[#This Row],[DU]]/252))</f>
        <v>1.007714706697211E-2</v>
      </c>
      <c r="P348" s="7">
        <f>tbl_Bonds[[#This Row],[Cotação]]*VNA</f>
        <v>39.85818312717997</v>
      </c>
      <c r="Q348" s="18">
        <f>tbl_Bonds[[#This Row],[Cotação]]%%*VNA</f>
        <v>3.9858183127179968E-3</v>
      </c>
      <c r="R34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-7.0865178519060879E-2</v>
      </c>
      <c r="S34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-6.69500673356416E-2</v>
      </c>
      <c r="T34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7.0889150260065578E-2</v>
      </c>
      <c r="U348" s="18">
        <f>IF(curve_type="Mercado",tbl_Bonds[[#This Row],[VP Cupom]]*LN(1+tbl_Bonds[[#This Row],[Real Mercado]])/252,tbl_Bonds[[#This Row],[VP Cupom]]*LN(1+tbl_Bonds[[#This Row],[Real Simulada]])/252)</f>
        <v>9.0424796702315638E-3</v>
      </c>
      <c r="V348" s="18">
        <f>SUMIF(Dashboard!$B$28:$B$42,tbl_Bonds[[#This Row],[Bond]],Dashboard!$C$28:$C$42)</f>
        <v>9853</v>
      </c>
      <c r="W348" s="18">
        <f>tbl_Bonds[[#This Row],[Quantidade]]*tbl_Bonds[[#This Row],[𝛿P/𝛿VNA]]</f>
        <v>39.272267835210421</v>
      </c>
      <c r="X348" s="18">
        <f>+tbl_Bonds[[#This Row],[Quantidade]]*tbl_Bonds[[#This Row],[𝛿P/𝛿r_real]]</f>
        <v>-698.23460394830681</v>
      </c>
      <c r="Y348" s="18">
        <f>tbl_Bonds[[#This Row],[Quantidade]]*tbl_Bonds[[#This Row],[𝛿P/𝛿r_pre]]</f>
        <v>-659.65901345807663</v>
      </c>
      <c r="Z348" s="18">
        <f>tbl_Bonds[[#This Row],[Quantidade]]*tbl_Bonds[[#This Row],[𝛿P/𝛿r_implicita]]</f>
        <v>698.47079751242609</v>
      </c>
      <c r="AA348" s="18">
        <f>tbl_Bonds[[#This Row],[Quantidade]]*tbl_Bonds[[#This Row],[𝛿P/𝛿du]]</f>
        <v>89.095552190791594</v>
      </c>
    </row>
    <row r="349" spans="1:27">
      <c r="A349" s="2" t="s">
        <v>89</v>
      </c>
      <c r="B349" s="3">
        <v>58669</v>
      </c>
      <c r="C349" s="3">
        <v>51916</v>
      </c>
      <c r="D349" s="4">
        <f>NETWORKDAYS(Dashboard!$C$10,bonds!C349,feriados)-1</f>
        <v>4873</v>
      </c>
      <c r="E349" s="2">
        <f>IF(tbl_Bonds[[#This Row],[Coupon]]&lt;tbl_Bonds[[#This Row],[Maturity]],SQRT(1.06)-1,SQRT(1.06))</f>
        <v>2.9563014098699991E-2</v>
      </c>
      <c r="F349" s="5" cm="1">
        <f t="array" ref="F349">Svensson(betas_pre,tbl_Bonds[[#This Row],[DU]])</f>
        <v>0.12079759224187531</v>
      </c>
      <c r="G349" s="49">
        <f>IF(curve_type="Simulada",_xlfn.XLOOKUP(tbl_Bonds[[#This Row],[Coupon]],Simulador!$B$5:$B$147,Simulador!$H$5:$H$147),0)</f>
        <v>0</v>
      </c>
      <c r="H349" s="5" cm="1">
        <f t="array" ref="H34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0.12079759224187531</v>
      </c>
      <c r="I349" s="5" cm="1">
        <f t="array" ref="I349">Interpola_FF(tbl_Bonds[[#This Row],[DU]],dus_svensson,svensson_implicita)</f>
        <v>5.8515239987320333E-2</v>
      </c>
      <c r="J349" s="49">
        <f>IF(curve_type="Simulada",_xlfn.XLOOKUP(tbl_Bonds[[#This Row],[Coupon]],Simulador!$B$5:$B$147,Simulador!$N$5:$N$147),0)</f>
        <v>0</v>
      </c>
      <c r="K349" s="5" cm="1">
        <f t="array" ref="K34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5.8515239987320333E-2</v>
      </c>
      <c r="L349" s="5" cm="1">
        <f t="array" ref="L349">Interpola_FF(tbl_Bonds[[#This Row],[DU]],dus_svensson,svensson_real_spot)</f>
        <v>5.8839353044422005E-2</v>
      </c>
      <c r="M349" s="49">
        <f>IF(curve_type="Simulada",_xlfn.XLOOKUP(tbl_Bonds[[#This Row],[Coupon]],Simulador!$B$5:$B$147,Simulador!$K$5:$K$147),0)</f>
        <v>0</v>
      </c>
      <c r="N349" s="5" cm="1">
        <f t="array" ref="N34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5.8839353044422005E-2</v>
      </c>
      <c r="O349" s="6">
        <f>IF(curve_type="Mercado",tbl_Bonds[[#This Row],[FC]]/(1+tbl_Bonds[[#This Row],[Real Mercado]])^(tbl_Bonds[[#This Row],[DU]]/252),tbl_Bonds[[#This Row],[FC]]/(1+tbl_Bonds[[#This Row],[Real Simulada]])^(tbl_Bonds[[#This Row],[DU]]/252))</f>
        <v>9.7859294611468053E-3</v>
      </c>
      <c r="P349" s="7">
        <f>tbl_Bonds[[#This Row],[Cotação]]*VNA</f>
        <v>38.706328878581452</v>
      </c>
      <c r="Q349" s="18">
        <f>tbl_Bonds[[#This Row],[Cotação]]%%*VNA</f>
        <v>3.8706328878581452E-3</v>
      </c>
      <c r="R34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-7.0688339332152614E-2</v>
      </c>
      <c r="S34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-6.678065295417504E-2</v>
      </c>
      <c r="T34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7.0709983391714054E-2</v>
      </c>
      <c r="U349" s="18">
        <f>IF(curve_type="Mercado",tbl_Bonds[[#This Row],[VP Cupom]]*LN(1+tbl_Bonds[[#This Row],[Real Mercado]])/252,tbl_Bonds[[#This Row],[VP Cupom]]*LN(1+tbl_Bonds[[#This Row],[Real Simulada]])/252)</f>
        <v>8.7816301916692416E-3</v>
      </c>
      <c r="V349" s="18">
        <f>SUMIF(Dashboard!$B$28:$B$42,tbl_Bonds[[#This Row],[Bond]],Dashboard!$C$28:$C$42)</f>
        <v>9853</v>
      </c>
      <c r="W349" s="18">
        <f>tbl_Bonds[[#This Row],[Quantidade]]*tbl_Bonds[[#This Row],[𝛿P/𝛿VNA]]</f>
        <v>38.137345844066303</v>
      </c>
      <c r="X349" s="18">
        <f>+tbl_Bonds[[#This Row],[Quantidade]]*tbl_Bonds[[#This Row],[𝛿P/𝛿r_real]]</f>
        <v>-696.49220743969965</v>
      </c>
      <c r="Y349" s="18">
        <f>tbl_Bonds[[#This Row],[Quantidade]]*tbl_Bonds[[#This Row],[𝛿P/𝛿r_pre]]</f>
        <v>-657.98977355748673</v>
      </c>
      <c r="Z349" s="18">
        <f>tbl_Bonds[[#This Row],[Quantidade]]*tbl_Bonds[[#This Row],[𝛿P/𝛿r_implicita]]</f>
        <v>696.70546635855862</v>
      </c>
      <c r="AA349" s="18">
        <f>tbl_Bonds[[#This Row],[Quantidade]]*tbl_Bonds[[#This Row],[𝛿P/𝛿du]]</f>
        <v>86.525402278517035</v>
      </c>
    </row>
    <row r="350" spans="1:27">
      <c r="A350" s="2" t="s">
        <v>89</v>
      </c>
      <c r="B350" s="3">
        <v>58669</v>
      </c>
      <c r="C350" s="3">
        <v>52093</v>
      </c>
      <c r="D350" s="4">
        <f>NETWORKDAYS(Dashboard!$C$10,bonds!C350,feriados)-1</f>
        <v>4996</v>
      </c>
      <c r="E350" s="2">
        <f>IF(tbl_Bonds[[#This Row],[Coupon]]&lt;tbl_Bonds[[#This Row],[Maturity]],SQRT(1.06)-1,SQRT(1.06))</f>
        <v>2.9563014098699991E-2</v>
      </c>
      <c r="F350" s="5" cm="1">
        <f t="array" ref="F350">Svensson(betas_pre,tbl_Bonds[[#This Row],[DU]])</f>
        <v>0.12083631311140945</v>
      </c>
      <c r="G350" s="49">
        <f>IF(curve_type="Simulada",_xlfn.XLOOKUP(tbl_Bonds[[#This Row],[Coupon]],Simulador!$B$5:$B$147,Simulador!$H$5:$H$147),0)</f>
        <v>0</v>
      </c>
      <c r="H350" s="5" cm="1">
        <f t="array" ref="H35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0.12083631311140945</v>
      </c>
      <c r="I350" s="5" cm="1">
        <f t="array" ref="I350">Interpola_FF(tbl_Bonds[[#This Row],[DU]],dus_svensson,svensson_implicita)</f>
        <v>5.8550394858682964E-2</v>
      </c>
      <c r="J350" s="49">
        <f>IF(curve_type="Simulada",_xlfn.XLOOKUP(tbl_Bonds[[#This Row],[Coupon]],Simulador!$B$5:$B$147,Simulador!$N$5:$N$147),0)</f>
        <v>0</v>
      </c>
      <c r="K350" s="5" cm="1">
        <f t="array" ref="K35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5.8550394858682964E-2</v>
      </c>
      <c r="L350" s="5" cm="1">
        <f t="array" ref="L350">Interpola_FF(tbl_Bonds[[#This Row],[DU]],dus_svensson,svensson_real_spot)</f>
        <v>5.8840767743566058E-2</v>
      </c>
      <c r="M350" s="49">
        <f>IF(curve_type="Simulada",_xlfn.XLOOKUP(tbl_Bonds[[#This Row],[Coupon]],Simulador!$B$5:$B$147,Simulador!$K$5:$K$147),0)</f>
        <v>0</v>
      </c>
      <c r="N350" s="5" cm="1">
        <f t="array" ref="N35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5.8840767743566058E-2</v>
      </c>
      <c r="O350" s="6">
        <f>IF(curve_type="Mercado",tbl_Bonds[[#This Row],[FC]]/(1+tbl_Bonds[[#This Row],[Real Mercado]])^(tbl_Bonds[[#This Row],[DU]]/252),tbl_Bonds[[#This Row],[FC]]/(1+tbl_Bonds[[#This Row],[Real Simulada]])^(tbl_Bonds[[#This Row],[DU]]/252))</f>
        <v>9.516365991920862E-3</v>
      </c>
      <c r="P350" s="7">
        <f>tbl_Bonds[[#This Row],[Cotação]]*VNA</f>
        <v>37.640123329590303</v>
      </c>
      <c r="Q350" s="18">
        <f>tbl_Bonds[[#This Row],[Cotação]]%%*VNA</f>
        <v>3.7640123329590299E-3</v>
      </c>
      <c r="R35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-7.0476166417000816E-2</v>
      </c>
      <c r="S35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-6.6577997925323998E-2</v>
      </c>
      <c r="T35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7.0495498458456859E-2</v>
      </c>
      <c r="U350" s="18">
        <f>IF(curve_type="Mercado",tbl_Bonds[[#This Row],[VP Cupom]]*LN(1+tbl_Bonds[[#This Row],[Real Mercado]])/252,tbl_Bonds[[#This Row],[VP Cupom]]*LN(1+tbl_Bonds[[#This Row],[Real Simulada]])/252)</f>
        <v>8.5399307413522516E-3</v>
      </c>
      <c r="V350" s="18">
        <f>SUMIF(Dashboard!$B$28:$B$42,tbl_Bonds[[#This Row],[Bond]],Dashboard!$C$28:$C$42)</f>
        <v>9853</v>
      </c>
      <c r="W350" s="18">
        <f>tbl_Bonds[[#This Row],[Quantidade]]*tbl_Bonds[[#This Row],[𝛿P/𝛿VNA]]</f>
        <v>37.086813516645321</v>
      </c>
      <c r="X350" s="18">
        <f>+tbl_Bonds[[#This Row],[Quantidade]]*tbl_Bonds[[#This Row],[𝛿P/𝛿r_real]]</f>
        <v>-694.40166770670908</v>
      </c>
      <c r="Y350" s="18">
        <f>tbl_Bonds[[#This Row],[Quantidade]]*tbl_Bonds[[#This Row],[𝛿P/𝛿r_pre]]</f>
        <v>-655.9930135582174</v>
      </c>
      <c r="Z350" s="18">
        <f>tbl_Bonds[[#This Row],[Quantidade]]*tbl_Bonds[[#This Row],[𝛿P/𝛿r_implicita]]</f>
        <v>694.59214631117538</v>
      </c>
      <c r="AA350" s="18">
        <f>tbl_Bonds[[#This Row],[Quantidade]]*tbl_Bonds[[#This Row],[𝛿P/𝛿du]]</f>
        <v>84.143937594543729</v>
      </c>
    </row>
    <row r="351" spans="1:27">
      <c r="A351" s="2" t="s">
        <v>89</v>
      </c>
      <c r="B351" s="3">
        <v>58669</v>
      </c>
      <c r="C351" s="3">
        <v>52278</v>
      </c>
      <c r="D351" s="4">
        <f>NETWORKDAYS(Dashboard!$C$10,bonds!C351,feriados)-1</f>
        <v>5123</v>
      </c>
      <c r="E351" s="2">
        <f>IF(tbl_Bonds[[#This Row],[Coupon]]&lt;tbl_Bonds[[#This Row],[Maturity]],SQRT(1.06)-1,SQRT(1.06))</f>
        <v>2.9563014098699991E-2</v>
      </c>
      <c r="F351" s="5" cm="1">
        <f t="array" ref="F351">Svensson(betas_pre,tbl_Bonds[[#This Row],[DU]])</f>
        <v>0.12087434073037971</v>
      </c>
      <c r="G351" s="49">
        <f>IF(curve_type="Simulada",_xlfn.XLOOKUP(tbl_Bonds[[#This Row],[Coupon]],Simulador!$B$5:$B$147,Simulador!$H$5:$H$147),0)</f>
        <v>0</v>
      </c>
      <c r="H351" s="5" cm="1">
        <f t="array" ref="H35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0.12087434073037971</v>
      </c>
      <c r="I351" s="5" cm="1">
        <f t="array" ref="I351">Interpola_FF(tbl_Bonds[[#This Row],[DU]],dus_svensson,svensson_implicita)</f>
        <v>5.8586246244419105E-2</v>
      </c>
      <c r="J351" s="49">
        <f>IF(curve_type="Simulada",_xlfn.XLOOKUP(tbl_Bonds[[#This Row],[Coupon]],Simulador!$B$5:$B$147,Simulador!$N$5:$N$147),0)</f>
        <v>0</v>
      </c>
      <c r="K351" s="5" cm="1">
        <f t="array" ref="K35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5.8586246244419105E-2</v>
      </c>
      <c r="L351" s="5" cm="1">
        <f t="array" ref="L351">Interpola_FF(tbl_Bonds[[#This Row],[DU]],dus_svensson,svensson_real_spot)</f>
        <v>5.8840830793824406E-2</v>
      </c>
      <c r="M351" s="49">
        <f>IF(curve_type="Simulada",_xlfn.XLOOKUP(tbl_Bonds[[#This Row],[Coupon]],Simulador!$B$5:$B$147,Simulador!$K$5:$K$147),0)</f>
        <v>0</v>
      </c>
      <c r="N351" s="5" cm="1">
        <f t="array" ref="N35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5.8840830793824406E-2</v>
      </c>
      <c r="O351" s="6">
        <f>IF(curve_type="Mercado",tbl_Bonds[[#This Row],[FC]]/(1+tbl_Bonds[[#This Row],[Real Mercado]])^(tbl_Bonds[[#This Row],[DU]]/252),tbl_Bonds[[#This Row],[FC]]/(1+tbl_Bonds[[#This Row],[Real Simulada]])^(tbl_Bonds[[#This Row],[DU]]/252))</f>
        <v>9.246060888783823E-3</v>
      </c>
      <c r="P351" s="7">
        <f>tbl_Bonds[[#This Row],[Cotação]]*VNA</f>
        <v>36.570984392801456</v>
      </c>
      <c r="Q351" s="18">
        <f>tbl_Bonds[[#This Row],[Cotação]]%%*VNA</f>
        <v>3.6570984392801454E-3</v>
      </c>
      <c r="R35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-7.0214981460021669E-2</v>
      </c>
      <c r="S35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-6.6329013173575133E-2</v>
      </c>
      <c r="T35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7.0231867432615086E-2</v>
      </c>
      <c r="U351" s="18">
        <f>IF(curve_type="Mercado",tbl_Bonds[[#This Row],[VP Cupom]]*LN(1+tbl_Bonds[[#This Row],[Real Mercado]])/252,tbl_Bonds[[#This Row],[VP Cupom]]*LN(1+tbl_Bonds[[#This Row],[Real Simulada]])/252)</f>
        <v>8.2973691768321971E-3</v>
      </c>
      <c r="V351" s="18">
        <f>SUMIF(Dashboard!$B$28:$B$42,tbl_Bonds[[#This Row],[Bond]],Dashboard!$C$28:$C$42)</f>
        <v>9853</v>
      </c>
      <c r="W351" s="18">
        <f>tbl_Bonds[[#This Row],[Quantidade]]*tbl_Bonds[[#This Row],[𝛿P/𝛿VNA]]</f>
        <v>36.033390922227269</v>
      </c>
      <c r="X351" s="18">
        <f>+tbl_Bonds[[#This Row],[Quantidade]]*tbl_Bonds[[#This Row],[𝛿P/𝛿r_real]]</f>
        <v>-691.82821232559354</v>
      </c>
      <c r="Y351" s="18">
        <f>tbl_Bonds[[#This Row],[Quantidade]]*tbl_Bonds[[#This Row],[𝛿P/𝛿r_pre]]</f>
        <v>-653.53976679923574</v>
      </c>
      <c r="Z351" s="18">
        <f>tbl_Bonds[[#This Row],[Quantidade]]*tbl_Bonds[[#This Row],[𝛿P/𝛿r_implicita]]</f>
        <v>691.99458981355644</v>
      </c>
      <c r="AA351" s="18">
        <f>tbl_Bonds[[#This Row],[Quantidade]]*tbl_Bonds[[#This Row],[𝛿P/𝛿du]]</f>
        <v>81.753978499327644</v>
      </c>
    </row>
    <row r="352" spans="1:27">
      <c r="A352" s="2" t="s">
        <v>89</v>
      </c>
      <c r="B352" s="3">
        <v>58669</v>
      </c>
      <c r="C352" s="3">
        <v>52460</v>
      </c>
      <c r="D352" s="4">
        <f>NETWORKDAYS(Dashboard!$C$10,bonds!C352,feriados)-1</f>
        <v>5249</v>
      </c>
      <c r="E352" s="2">
        <f>IF(tbl_Bonds[[#This Row],[Coupon]]&lt;tbl_Bonds[[#This Row],[Maturity]],SQRT(1.06)-1,SQRT(1.06))</f>
        <v>2.9563014098699991E-2</v>
      </c>
      <c r="F352" s="5" cm="1">
        <f t="array" ref="F352">Svensson(betas_pre,tbl_Bonds[[#This Row],[DU]])</f>
        <v>0.1209102491076101</v>
      </c>
      <c r="G352" s="49">
        <f>IF(curve_type="Simulada",_xlfn.XLOOKUP(tbl_Bonds[[#This Row],[Coupon]],Simulador!$B$5:$B$147,Simulador!$H$5:$H$147),0)</f>
        <v>0</v>
      </c>
      <c r="H352" s="5" cm="1">
        <f t="array" ref="H35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0.1209102491076101</v>
      </c>
      <c r="I352" s="5" cm="1">
        <f t="array" ref="I352">Interpola_FF(tbl_Bonds[[#This Row],[DU]],dus_svensson,svensson_implicita)</f>
        <v>5.862126756361441E-2</v>
      </c>
      <c r="J352" s="49">
        <f>IF(curve_type="Simulada",_xlfn.XLOOKUP(tbl_Bonds[[#This Row],[Coupon]],Simulador!$B$5:$B$147,Simulador!$N$5:$N$147),0)</f>
        <v>0</v>
      </c>
      <c r="K352" s="5" cm="1">
        <f t="array" ref="K35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5.862126756361441E-2</v>
      </c>
      <c r="L352" s="5" cm="1">
        <f t="array" ref="L352">Interpola_FF(tbl_Bonds[[#This Row],[DU]],dus_svensson,svensson_real_spot)</f>
        <v>5.8839722183360088E-2</v>
      </c>
      <c r="M352" s="49">
        <f>IF(curve_type="Simulada",_xlfn.XLOOKUP(tbl_Bonds[[#This Row],[Coupon]],Simulador!$B$5:$B$147,Simulador!$K$5:$K$147),0)</f>
        <v>0</v>
      </c>
      <c r="N352" s="5" cm="1">
        <f t="array" ref="N35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5.8839722183360088E-2</v>
      </c>
      <c r="O352" s="6">
        <f>IF(curve_type="Mercado",tbl_Bonds[[#This Row],[FC]]/(1+tbl_Bonds[[#This Row],[Real Mercado]])^(tbl_Bonds[[#This Row],[DU]]/252),tbl_Bonds[[#This Row],[FC]]/(1+tbl_Bonds[[#This Row],[Real Simulada]])^(tbl_Bonds[[#This Row],[DU]]/252))</f>
        <v>8.9856785927266408E-3</v>
      </c>
      <c r="P352" s="7">
        <f>tbl_Bonds[[#This Row],[Cotação]]*VNA</f>
        <v>35.54109317752507</v>
      </c>
      <c r="Q352" s="18">
        <f>tbl_Bonds[[#This Row],[Cotação]]%%*VNA</f>
        <v>3.5541093177525072E-3</v>
      </c>
      <c r="R35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-6.9916002356606249E-2</v>
      </c>
      <c r="S35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-6.6044395800969158E-2</v>
      </c>
      <c r="T35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6.9930429718083623E-2</v>
      </c>
      <c r="U352" s="18">
        <f>IF(curve_type="Mercado",tbl_Bonds[[#This Row],[VP Cupom]]*LN(1+tbl_Bonds[[#This Row],[Real Mercado]])/252,tbl_Bonds[[#This Row],[VP Cupom]]*LN(1+tbl_Bonds[[#This Row],[Real Simulada]])/252)</f>
        <v>8.0635557305624404E-3</v>
      </c>
      <c r="V352" s="18">
        <f>SUMIF(Dashboard!$B$28:$B$42,tbl_Bonds[[#This Row],[Bond]],Dashboard!$C$28:$C$42)</f>
        <v>9853</v>
      </c>
      <c r="W352" s="18">
        <f>tbl_Bonds[[#This Row],[Quantidade]]*tbl_Bonds[[#This Row],[𝛿P/𝛿VNA]]</f>
        <v>35.018639107815453</v>
      </c>
      <c r="X352" s="18">
        <f>+tbl_Bonds[[#This Row],[Quantidade]]*tbl_Bonds[[#This Row],[𝛿P/𝛿r_real]]</f>
        <v>-688.88237121964141</v>
      </c>
      <c r="Y352" s="18">
        <f>tbl_Bonds[[#This Row],[Quantidade]]*tbl_Bonds[[#This Row],[𝛿P/𝛿r_pre]]</f>
        <v>-650.73543182694914</v>
      </c>
      <c r="Z352" s="18">
        <f>tbl_Bonds[[#This Row],[Quantidade]]*tbl_Bonds[[#This Row],[𝛿P/𝛿r_implicita]]</f>
        <v>689.02452401227788</v>
      </c>
      <c r="AA352" s="18">
        <f>tbl_Bonds[[#This Row],[Quantidade]]*tbl_Bonds[[#This Row],[𝛿P/𝛿du]]</f>
        <v>79.450214613231722</v>
      </c>
    </row>
    <row r="353" spans="1:27">
      <c r="A353" s="2" t="s">
        <v>89</v>
      </c>
      <c r="B353" s="3">
        <v>58669</v>
      </c>
      <c r="C353" s="3">
        <v>52642</v>
      </c>
      <c r="D353" s="4">
        <f>NETWORKDAYS(Dashboard!$C$10,bonds!C353,feriados)-1</f>
        <v>5374</v>
      </c>
      <c r="E353" s="2">
        <f>IF(tbl_Bonds[[#This Row],[Coupon]]&lt;tbl_Bonds[[#This Row],[Maturity]],SQRT(1.06)-1,SQRT(1.06))</f>
        <v>2.9563014098699991E-2</v>
      </c>
      <c r="F353" s="5" cm="1">
        <f t="array" ref="F353">Svensson(betas_pre,tbl_Bonds[[#This Row],[DU]])</f>
        <v>0.12094420747324264</v>
      </c>
      <c r="G353" s="49">
        <f>IF(curve_type="Simulada",_xlfn.XLOOKUP(tbl_Bonds[[#This Row],[Coupon]],Simulador!$B$5:$B$147,Simulador!$H$5:$H$147),0)</f>
        <v>0</v>
      </c>
      <c r="H353" s="5" cm="1">
        <f t="array" ref="H35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0.12094420747324264</v>
      </c>
      <c r="I353" s="5" cm="1">
        <f t="array" ref="I353">Interpola_FF(tbl_Bonds[[#This Row],[DU]],dus_svensson,svensson_implicita)</f>
        <v>5.8655385857119935E-2</v>
      </c>
      <c r="J353" s="49">
        <f>IF(curve_type="Simulada",_xlfn.XLOOKUP(tbl_Bonds[[#This Row],[Coupon]],Simulador!$B$5:$B$147,Simulador!$N$5:$N$147),0)</f>
        <v>0</v>
      </c>
      <c r="K353" s="5" cm="1">
        <f t="array" ref="K35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5.8655385857119935E-2</v>
      </c>
      <c r="L353" s="5" cm="1">
        <f t="array" ref="L353">Interpola_FF(tbl_Bonds[[#This Row],[DU]],dus_svensson,svensson_real_spot)</f>
        <v>5.8837674852689537E-2</v>
      </c>
      <c r="M353" s="49">
        <f>IF(curve_type="Simulada",_xlfn.XLOOKUP(tbl_Bonds[[#This Row],[Coupon]],Simulador!$B$5:$B$147,Simulador!$K$5:$K$147),0)</f>
        <v>0</v>
      </c>
      <c r="N353" s="5" cm="1">
        <f t="array" ref="N35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5.8837674852689537E-2</v>
      </c>
      <c r="O353" s="6">
        <f>IF(curve_type="Mercado",tbl_Bonds[[#This Row],[FC]]/(1+tbl_Bonds[[#This Row],[Real Mercado]])^(tbl_Bonds[[#This Row],[DU]]/252),tbl_Bonds[[#This Row],[FC]]/(1+tbl_Bonds[[#This Row],[Real Simulada]])^(tbl_Bonds[[#This Row],[DU]]/252))</f>
        <v>8.7347847651829021E-3</v>
      </c>
      <c r="P353" s="7">
        <f>tbl_Bonds[[#This Row],[Cotação]]*VNA</f>
        <v>34.548731742561692</v>
      </c>
      <c r="Q353" s="18">
        <f>tbl_Bonds[[#This Row],[Cotação]]%%*VNA</f>
        <v>3.4548731742561692E-3</v>
      </c>
      <c r="R35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-6.9582470639497601E-2</v>
      </c>
      <c r="S35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-6.5727215138823181E-2</v>
      </c>
      <c r="T35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6.9594451667159538E-2</v>
      </c>
      <c r="U353" s="18">
        <f>IF(curve_type="Mercado",tbl_Bonds[[#This Row],[VP Cupom]]*LN(1+tbl_Bonds[[#This Row],[Real Mercado]])/252,tbl_Bonds[[#This Row],[VP Cupom]]*LN(1+tbl_Bonds[[#This Row],[Real Simulada]])/252)</f>
        <v>7.8381438895087311E-3</v>
      </c>
      <c r="V353" s="18">
        <f>SUMIF(Dashboard!$B$28:$B$42,tbl_Bonds[[#This Row],[Bond]],Dashboard!$C$28:$C$42)</f>
        <v>9853</v>
      </c>
      <c r="W353" s="18">
        <f>tbl_Bonds[[#This Row],[Quantidade]]*tbl_Bonds[[#This Row],[𝛿P/𝛿VNA]]</f>
        <v>34.040865385946034</v>
      </c>
      <c r="X353" s="18">
        <f>+tbl_Bonds[[#This Row],[Quantidade]]*tbl_Bonds[[#This Row],[𝛿P/𝛿r_real]]</f>
        <v>-685.59608321096982</v>
      </c>
      <c r="Y353" s="18">
        <f>tbl_Bonds[[#This Row],[Quantidade]]*tbl_Bonds[[#This Row],[𝛿P/𝛿r_pre]]</f>
        <v>-647.61025076282476</v>
      </c>
      <c r="Z353" s="18">
        <f>tbl_Bonds[[#This Row],[Quantidade]]*tbl_Bonds[[#This Row],[𝛿P/𝛿r_implicita]]</f>
        <v>685.71413227652295</v>
      </c>
      <c r="AA353" s="18">
        <f>tbl_Bonds[[#This Row],[Quantidade]]*tbl_Bonds[[#This Row],[𝛿P/𝛿du]]</f>
        <v>77.229231743329521</v>
      </c>
    </row>
    <row r="354" spans="1:27">
      <c r="A354" s="2" t="s">
        <v>89</v>
      </c>
      <c r="B354" s="3">
        <v>58669</v>
      </c>
      <c r="C354" s="3">
        <v>52824</v>
      </c>
      <c r="D354" s="4">
        <f>NETWORKDAYS(Dashboard!$C$10,bonds!C354,feriados)-1</f>
        <v>5499</v>
      </c>
      <c r="E354" s="2">
        <f>IF(tbl_Bonds[[#This Row],[Coupon]]&lt;tbl_Bonds[[#This Row],[Maturity]],SQRT(1.06)-1,SQRT(1.06))</f>
        <v>2.9563014098699991E-2</v>
      </c>
      <c r="F354" s="5" cm="1">
        <f t="array" ref="F354">Svensson(betas_pre,tbl_Bonds[[#This Row],[DU]])</f>
        <v>0.12097662092087627</v>
      </c>
      <c r="G354" s="49">
        <f>IF(curve_type="Simulada",_xlfn.XLOOKUP(tbl_Bonds[[#This Row],[Coupon]],Simulador!$B$5:$B$147,Simulador!$H$5:$H$147),0)</f>
        <v>0</v>
      </c>
      <c r="H354" s="5" cm="1">
        <f t="array" ref="H35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0.12097662092087627</v>
      </c>
      <c r="I354" s="5" cm="1">
        <f t="array" ref="I354">Interpola_FF(tbl_Bonds[[#This Row],[DU]],dus_svensson,svensson_implicita)</f>
        <v>5.8688814240932752E-2</v>
      </c>
      <c r="J354" s="49">
        <f>IF(curve_type="Simulada",_xlfn.XLOOKUP(tbl_Bonds[[#This Row],[Coupon]],Simulador!$B$5:$B$147,Simulador!$N$5:$N$147),0)</f>
        <v>0</v>
      </c>
      <c r="K354" s="5" cm="1">
        <f t="array" ref="K35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5.8688814240932752E-2</v>
      </c>
      <c r="L354" s="5" cm="1">
        <f t="array" ref="L354">Interpola_FF(tbl_Bonds[[#This Row],[DU]],dus_svensson,svensson_real_spot)</f>
        <v>5.8834858382543764E-2</v>
      </c>
      <c r="M354" s="49">
        <f>IF(curve_type="Simulada",_xlfn.XLOOKUP(tbl_Bonds[[#This Row],[Coupon]],Simulador!$B$5:$B$147,Simulador!$K$5:$K$147),0)</f>
        <v>0</v>
      </c>
      <c r="N354" s="5" cm="1">
        <f t="array" ref="N35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5.8834858382543764E-2</v>
      </c>
      <c r="O354" s="6">
        <f>IF(curve_type="Mercado",tbl_Bonds[[#This Row],[FC]]/(1+tbl_Bonds[[#This Row],[Real Mercado]])^(tbl_Bonds[[#This Row],[DU]]/252),tbl_Bonds[[#This Row],[FC]]/(1+tbl_Bonds[[#This Row],[Real Simulada]])^(tbl_Bonds[[#This Row],[DU]]/252))</f>
        <v>8.4910471549135922E-3</v>
      </c>
      <c r="P354" s="7">
        <f>tbl_Bonds[[#This Row],[Cotação]]*VNA</f>
        <v>33.584675324556628</v>
      </c>
      <c r="Q354" s="18">
        <f>tbl_Bonds[[#This Row],[Cotação]]%%*VNA</f>
        <v>3.3584675324556629E-3</v>
      </c>
      <c r="R35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-6.9214343283800078E-2</v>
      </c>
      <c r="S35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-6.537741972776405E-2</v>
      </c>
      <c r="T35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6.9223890972627627E-2</v>
      </c>
      <c r="U354" s="18">
        <f>IF(curve_type="Mercado",tbl_Bonds[[#This Row],[VP Cupom]]*LN(1+tbl_Bonds[[#This Row],[Real Mercado]])/252,tbl_Bonds[[#This Row],[VP Cupom]]*LN(1+tbl_Bonds[[#This Row],[Real Simulada]])/252)</f>
        <v>7.619071869037054E-3</v>
      </c>
      <c r="V354" s="18">
        <f>SUMIF(Dashboard!$B$28:$B$42,tbl_Bonds[[#This Row],[Bond]],Dashboard!$C$28:$C$42)</f>
        <v>9853</v>
      </c>
      <c r="W354" s="18">
        <f>tbl_Bonds[[#This Row],[Quantidade]]*tbl_Bonds[[#This Row],[𝛿P/𝛿VNA]]</f>
        <v>33.090980597285643</v>
      </c>
      <c r="X354" s="18">
        <f>+tbl_Bonds[[#This Row],[Quantidade]]*tbl_Bonds[[#This Row],[𝛿P/𝛿r_real]]</f>
        <v>-681.9689243752822</v>
      </c>
      <c r="Y354" s="18">
        <f>tbl_Bonds[[#This Row],[Quantidade]]*tbl_Bonds[[#This Row],[𝛿P/𝛿r_pre]]</f>
        <v>-644.16371657765922</v>
      </c>
      <c r="Z354" s="18">
        <f>tbl_Bonds[[#This Row],[Quantidade]]*tbl_Bonds[[#This Row],[𝛿P/𝛿r_implicita]]</f>
        <v>682.06299775330001</v>
      </c>
      <c r="AA354" s="18">
        <f>tbl_Bonds[[#This Row],[Quantidade]]*tbl_Bonds[[#This Row],[𝛿P/𝛿du]]</f>
        <v>75.070715125622087</v>
      </c>
    </row>
    <row r="355" spans="1:27">
      <c r="A355" s="2" t="s">
        <v>89</v>
      </c>
      <c r="B355" s="3">
        <v>58669</v>
      </c>
      <c r="C355" s="3">
        <v>53008</v>
      </c>
      <c r="D355" s="4">
        <f>NETWORKDAYS(Dashboard!$C$10,bonds!C355,feriados)-1</f>
        <v>5627</v>
      </c>
      <c r="E355" s="2">
        <f>IF(tbl_Bonds[[#This Row],[Coupon]]&lt;tbl_Bonds[[#This Row],[Maturity]],SQRT(1.06)-1,SQRT(1.06))</f>
        <v>2.9563014098699991E-2</v>
      </c>
      <c r="F355" s="5" cm="1">
        <f t="array" ref="F355">Svensson(betas_pre,tbl_Bonds[[#This Row],[DU]])</f>
        <v>0.12100831893192408</v>
      </c>
      <c r="G355" s="49">
        <f>IF(curve_type="Simulada",_xlfn.XLOOKUP(tbl_Bonds[[#This Row],[Coupon]],Simulador!$B$5:$B$147,Simulador!$H$5:$H$147),0)</f>
        <v>0</v>
      </c>
      <c r="H355" s="5" cm="1">
        <f t="array" ref="H35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0.12100831893192408</v>
      </c>
      <c r="I355" s="5" cm="1">
        <f t="array" ref="I355">Interpola_FF(tbl_Bonds[[#This Row],[DU]],dus_svensson,svensson_implicita)</f>
        <v>5.8722275893555054E-2</v>
      </c>
      <c r="J355" s="49">
        <f>IF(curve_type="Simulada",_xlfn.XLOOKUP(tbl_Bonds[[#This Row],[Coupon]],Simulador!$B$5:$B$147,Simulador!$N$5:$N$147),0)</f>
        <v>0</v>
      </c>
      <c r="K355" s="5" cm="1">
        <f t="array" ref="K35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5.8722275893555054E-2</v>
      </c>
      <c r="L355" s="5" cm="1">
        <f t="array" ref="L355">Interpola_FF(tbl_Bonds[[#This Row],[DU]],dus_svensson,svensson_real_spot)</f>
        <v>5.8831333067622671E-2</v>
      </c>
      <c r="M355" s="49">
        <f>IF(curve_type="Simulada",_xlfn.XLOOKUP(tbl_Bonds[[#This Row],[Coupon]],Simulador!$B$5:$B$147,Simulador!$K$5:$K$147),0)</f>
        <v>0</v>
      </c>
      <c r="N355" s="5" cm="1">
        <f t="array" ref="N35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5.8831333067622671E-2</v>
      </c>
      <c r="O355" s="6">
        <f>IF(curve_type="Mercado",tbl_Bonds[[#This Row],[FC]]/(1+tbl_Bonds[[#This Row],[Real Mercado]])^(tbl_Bonds[[#This Row],[DU]]/252),tbl_Bonds[[#This Row],[FC]]/(1+tbl_Bonds[[#This Row],[Real Simulada]])^(tbl_Bonds[[#This Row],[DU]]/252))</f>
        <v>8.24864048327658E-3</v>
      </c>
      <c r="P355" s="7">
        <f>tbl_Bonds[[#This Row],[Cotação]]*VNA</f>
        <v>32.625883173847122</v>
      </c>
      <c r="Q355" s="18">
        <f>tbl_Bonds[[#This Row],[Cotação]]%%*VNA</f>
        <v>3.2625883173847121E-3</v>
      </c>
      <c r="R35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-6.8803711570841822E-2</v>
      </c>
      <c r="S35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-6.4987497526293042E-2</v>
      </c>
      <c r="T35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6.8810798650718943E-2</v>
      </c>
      <c r="U355" s="18">
        <f>IF(curve_type="Mercado",tbl_Bonds[[#This Row],[VP Cupom]]*LN(1+tbl_Bonds[[#This Row],[Real Mercado]])/252,tbl_Bonds[[#This Row],[VP Cupom]]*LN(1+tbl_Bonds[[#This Row],[Real Simulada]])/252)</f>
        <v>7.4011277306099106E-3</v>
      </c>
      <c r="V355" s="18">
        <f>SUMIF(Dashboard!$B$28:$B$42,tbl_Bonds[[#This Row],[Bond]],Dashboard!$C$28:$C$42)</f>
        <v>9853</v>
      </c>
      <c r="W355" s="18">
        <f>tbl_Bonds[[#This Row],[Quantidade]]*tbl_Bonds[[#This Row],[𝛿P/𝛿VNA]]</f>
        <v>32.146282691191566</v>
      </c>
      <c r="X355" s="18">
        <f>+tbl_Bonds[[#This Row],[Quantidade]]*tbl_Bonds[[#This Row],[𝛿P/𝛿r_real]]</f>
        <v>-677.92297010750451</v>
      </c>
      <c r="Y355" s="18">
        <f>tbl_Bonds[[#This Row],[Quantidade]]*tbl_Bonds[[#This Row],[𝛿P/𝛿r_pre]]</f>
        <v>-640.3218131265653</v>
      </c>
      <c r="Z355" s="18">
        <f>tbl_Bonds[[#This Row],[Quantidade]]*tbl_Bonds[[#This Row],[𝛿P/𝛿r_implicita]]</f>
        <v>677.99279910553378</v>
      </c>
      <c r="AA355" s="18">
        <f>tbl_Bonds[[#This Row],[Quantidade]]*tbl_Bonds[[#This Row],[𝛿P/𝛿du]]</f>
        <v>72.923311529699447</v>
      </c>
    </row>
    <row r="356" spans="1:27">
      <c r="A356" s="2" t="s">
        <v>89</v>
      </c>
      <c r="B356" s="3">
        <v>58669</v>
      </c>
      <c r="C356" s="3">
        <v>53189</v>
      </c>
      <c r="D356" s="4">
        <f>NETWORKDAYS(Dashboard!$C$10,bonds!C356,feriados)-1</f>
        <v>5750</v>
      </c>
      <c r="E356" s="2">
        <f>IF(tbl_Bonds[[#This Row],[Coupon]]&lt;tbl_Bonds[[#This Row],[Maturity]],SQRT(1.06)-1,SQRT(1.06))</f>
        <v>2.9563014098699991E-2</v>
      </c>
      <c r="F356" s="5" cm="1">
        <f t="array" ref="F356">Svensson(betas_pre,tbl_Bonds[[#This Row],[DU]])</f>
        <v>0.12103744821679596</v>
      </c>
      <c r="G356" s="49">
        <f>IF(curve_type="Simulada",_xlfn.XLOOKUP(tbl_Bonds[[#This Row],[Coupon]],Simulador!$B$5:$B$147,Simulador!$H$5:$H$147),0)</f>
        <v>0</v>
      </c>
      <c r="H356" s="5" cm="1">
        <f t="array" ref="H35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0.12103744821679596</v>
      </c>
      <c r="I356" s="5" cm="1">
        <f t="array" ref="I356">Interpola_FF(tbl_Bonds[[#This Row],[DU]],dus_svensson,svensson_implicita)</f>
        <v>5.8753667551804112E-2</v>
      </c>
      <c r="J356" s="49">
        <f>IF(curve_type="Simulada",_xlfn.XLOOKUP(tbl_Bonds[[#This Row],[Coupon]],Simulador!$B$5:$B$147,Simulador!$N$5:$N$147),0)</f>
        <v>0</v>
      </c>
      <c r="K356" s="5" cm="1">
        <f t="array" ref="K35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5.8753667551804112E-2</v>
      </c>
      <c r="L356" s="5" cm="1">
        <f t="array" ref="L356">Interpola_FF(tbl_Bonds[[#This Row],[DU]],dus_svensson,svensson_real_spot)</f>
        <v>5.8827451923642471E-2</v>
      </c>
      <c r="M356" s="49">
        <f>IF(curve_type="Simulada",_xlfn.XLOOKUP(tbl_Bonds[[#This Row],[Coupon]],Simulador!$B$5:$B$147,Simulador!$K$5:$K$147),0)</f>
        <v>0</v>
      </c>
      <c r="N356" s="5" cm="1">
        <f t="array" ref="N35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5.8827451923642471E-2</v>
      </c>
      <c r="O356" s="6">
        <f>IF(curve_type="Mercado",tbl_Bonds[[#This Row],[FC]]/(1+tbl_Bonds[[#This Row],[Real Mercado]])^(tbl_Bonds[[#This Row],[DU]]/252),tbl_Bonds[[#This Row],[FC]]/(1+tbl_Bonds[[#This Row],[Real Simulada]])^(tbl_Bonds[[#This Row],[DU]]/252))</f>
        <v>8.0223362900856358E-3</v>
      </c>
      <c r="P356" s="7">
        <f>tbl_Bonds[[#This Row],[Cotação]]*VNA</f>
        <v>31.730781225378323</v>
      </c>
      <c r="Q356" s="18">
        <f>tbl_Bonds[[#This Row],[Cotação]]%%*VNA</f>
        <v>3.1730781225378321E-3</v>
      </c>
      <c r="R35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-6.8379020598371976E-2</v>
      </c>
      <c r="S35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-6.4584447186104163E-2</v>
      </c>
      <c r="T35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6.8383785659434385E-2</v>
      </c>
      <c r="U356" s="18">
        <f>IF(curve_type="Mercado",tbl_Bonds[[#This Row],[VP Cupom]]*LN(1+tbl_Bonds[[#This Row],[Real Mercado]])/252,tbl_Bonds[[#This Row],[VP Cupom]]*LN(1+tbl_Bonds[[#This Row],[Real Simulada]])/252)</f>
        <v>7.1976137865339008E-3</v>
      </c>
      <c r="V356" s="18">
        <f>SUMIF(Dashboard!$B$28:$B$42,tbl_Bonds[[#This Row],[Bond]],Dashboard!$C$28:$C$42)</f>
        <v>9853</v>
      </c>
      <c r="W356" s="18">
        <f>tbl_Bonds[[#This Row],[Quantidade]]*tbl_Bonds[[#This Row],[𝛿P/𝛿VNA]]</f>
        <v>31.264338741365258</v>
      </c>
      <c r="X356" s="18">
        <f>+tbl_Bonds[[#This Row],[Quantidade]]*tbl_Bonds[[#This Row],[𝛿P/𝛿r_real]]</f>
        <v>-673.73848995575906</v>
      </c>
      <c r="Y356" s="18">
        <f>tbl_Bonds[[#This Row],[Quantidade]]*tbl_Bonds[[#This Row],[𝛿P/𝛿r_pre]]</f>
        <v>-636.35055812468431</v>
      </c>
      <c r="Z356" s="18">
        <f>tbl_Bonds[[#This Row],[Quantidade]]*tbl_Bonds[[#This Row],[𝛿P/𝛿r_implicita]]</f>
        <v>673.78544010240694</v>
      </c>
      <c r="AA356" s="18">
        <f>tbl_Bonds[[#This Row],[Quantidade]]*tbl_Bonds[[#This Row],[𝛿P/𝛿du]]</f>
        <v>70.91808863871853</v>
      </c>
    </row>
    <row r="357" spans="1:27">
      <c r="A357" s="2" t="s">
        <v>89</v>
      </c>
      <c r="B357" s="3">
        <v>58669</v>
      </c>
      <c r="C357" s="3">
        <v>53373</v>
      </c>
      <c r="D357" s="4">
        <f>NETWORKDAYS(Dashboard!$C$10,bonds!C357,feriados)-1</f>
        <v>5874</v>
      </c>
      <c r="E357" s="2">
        <f>IF(tbl_Bonds[[#This Row],[Coupon]]&lt;tbl_Bonds[[#This Row],[Maturity]],SQRT(1.06)-1,SQRT(1.06))</f>
        <v>2.9563014098699991E-2</v>
      </c>
      <c r="F357" s="5" cm="1">
        <f t="array" ref="F357">Svensson(betas_pre,tbl_Bonds[[#This Row],[DU]])</f>
        <v>0.12106557868345603</v>
      </c>
      <c r="G357" s="49">
        <f>IF(curve_type="Simulada",_xlfn.XLOOKUP(tbl_Bonds[[#This Row],[Coupon]],Simulador!$B$5:$B$147,Simulador!$H$5:$H$147),0)</f>
        <v>0</v>
      </c>
      <c r="H357" s="5" cm="1">
        <f t="array" ref="H35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0.12106557868345603</v>
      </c>
      <c r="I357" s="5" cm="1">
        <f t="array" ref="I357">Interpola_FF(tbl_Bonds[[#This Row],[DU]],dus_svensson,svensson_implicita)</f>
        <v>5.8784528716759432E-2</v>
      </c>
      <c r="J357" s="49">
        <f>IF(curve_type="Simulada",_xlfn.XLOOKUP(tbl_Bonds[[#This Row],[Coupon]],Simulador!$B$5:$B$147,Simulador!$N$5:$N$147),0)</f>
        <v>0</v>
      </c>
      <c r="K357" s="5" cm="1">
        <f t="array" ref="K35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5.8784528716759432E-2</v>
      </c>
      <c r="L357" s="5" cm="1">
        <f t="array" ref="L357">Interpola_FF(tbl_Bonds[[#This Row],[DU]],dus_svensson,svensson_real_spot)</f>
        <v>5.8823158160998368E-2</v>
      </c>
      <c r="M357" s="49">
        <f>IF(curve_type="Simulada",_xlfn.XLOOKUP(tbl_Bonds[[#This Row],[Coupon]],Simulador!$B$5:$B$147,Simulador!$K$5:$K$147),0)</f>
        <v>0</v>
      </c>
      <c r="N357" s="5" cm="1">
        <f t="array" ref="N35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5.8823158160998368E-2</v>
      </c>
      <c r="O357" s="6">
        <f>IF(curve_type="Mercado",tbl_Bonds[[#This Row],[FC]]/(1+tbl_Bonds[[#This Row],[Real Mercado]])^(tbl_Bonds[[#This Row],[DU]]/252),tbl_Bonds[[#This Row],[FC]]/(1+tbl_Bonds[[#This Row],[Real Simulada]])^(tbl_Bonds[[#This Row],[DU]]/252))</f>
        <v>7.8005701013010654E-3</v>
      </c>
      <c r="P357" s="7">
        <f>tbl_Bonds[[#This Row],[Cotação]]*VNA</f>
        <v>30.853628465252129</v>
      </c>
      <c r="Q357" s="18">
        <f>tbl_Bonds[[#This Row],[Cotação]]%%*VNA</f>
        <v>3.0853628465252127E-3</v>
      </c>
      <c r="R35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-6.7922899284720895E-2</v>
      </c>
      <c r="S35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-6.4151767601335424E-2</v>
      </c>
      <c r="T35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6.7925377183894367E-2</v>
      </c>
      <c r="U357" s="18">
        <f>IF(curve_type="Mercado",tbl_Bonds[[#This Row],[VP Cupom]]*LN(1+tbl_Bonds[[#This Row],[Real Mercado]])/252,tbl_Bonds[[#This Row],[VP Cupom]]*LN(1+tbl_Bonds[[#This Row],[Real Simulada]])/252)</f>
        <v>6.9981493896952053E-3</v>
      </c>
      <c r="V357" s="18">
        <f>SUMIF(Dashboard!$B$28:$B$42,tbl_Bonds[[#This Row],[Bond]],Dashboard!$C$28:$C$42)</f>
        <v>9853</v>
      </c>
      <c r="W357" s="18">
        <f>tbl_Bonds[[#This Row],[Quantidade]]*tbl_Bonds[[#This Row],[𝛿P/𝛿VNA]]</f>
        <v>30.40008012681292</v>
      </c>
      <c r="X357" s="18">
        <f>+tbl_Bonds[[#This Row],[Quantidade]]*tbl_Bonds[[#This Row],[𝛿P/𝛿r_real]]</f>
        <v>-669.24432665235497</v>
      </c>
      <c r="Y357" s="18">
        <f>tbl_Bonds[[#This Row],[Quantidade]]*tbl_Bonds[[#This Row],[𝛿P/𝛿r_pre]]</f>
        <v>-632.08736617595798</v>
      </c>
      <c r="Z357" s="18">
        <f>tbl_Bonds[[#This Row],[Quantidade]]*tbl_Bonds[[#This Row],[𝛿P/𝛿r_implicita]]</f>
        <v>669.26874139291124</v>
      </c>
      <c r="AA357" s="18">
        <f>tbl_Bonds[[#This Row],[Quantidade]]*tbl_Bonds[[#This Row],[𝛿P/𝛿du]]</f>
        <v>68.952765936666864</v>
      </c>
    </row>
    <row r="358" spans="1:27">
      <c r="A358" s="2" t="s">
        <v>89</v>
      </c>
      <c r="B358" s="3">
        <v>58669</v>
      </c>
      <c r="C358" s="3">
        <v>53554</v>
      </c>
      <c r="D358" s="4">
        <f>NETWORKDAYS(Dashboard!$C$10,bonds!C358,feriados)-1</f>
        <v>6000</v>
      </c>
      <c r="E358" s="2">
        <f>IF(tbl_Bonds[[#This Row],[Coupon]]&lt;tbl_Bonds[[#This Row],[Maturity]],SQRT(1.06)-1,SQRT(1.06))</f>
        <v>2.9563014098699991E-2</v>
      </c>
      <c r="F358" s="5" cm="1">
        <f t="array" ref="F358">Svensson(betas_pre,tbl_Bonds[[#This Row],[DU]])</f>
        <v>0.12109297109923711</v>
      </c>
      <c r="G358" s="49">
        <f>IF(curve_type="Simulada",_xlfn.XLOOKUP(tbl_Bonds[[#This Row],[Coupon]],Simulador!$B$5:$B$147,Simulador!$H$5:$H$147),0)</f>
        <v>0</v>
      </c>
      <c r="H358" s="5" cm="1">
        <f t="array" ref="H35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0.12109297109923711</v>
      </c>
      <c r="I358" s="5" cm="1">
        <f t="array" ref="I358">Interpola_FF(tbl_Bonds[[#This Row],[DU]],dus_svensson,svensson_implicita)</f>
        <v>5.8815064940877626E-2</v>
      </c>
      <c r="J358" s="49">
        <f>IF(curve_type="Simulada",_xlfn.XLOOKUP(tbl_Bonds[[#This Row],[Coupon]],Simulador!$B$5:$B$147,Simulador!$N$5:$N$147),0)</f>
        <v>0</v>
      </c>
      <c r="K358" s="5" cm="1">
        <f t="array" ref="K35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5.8815064940877626E-2</v>
      </c>
      <c r="L358" s="5" cm="1">
        <f t="array" ref="L358">Interpola_FF(tbl_Bonds[[#This Row],[DU]],dus_svensson,svensson_real_spot)</f>
        <v>5.8818492538714739E-2</v>
      </c>
      <c r="M358" s="49">
        <f>IF(curve_type="Simulada",_xlfn.XLOOKUP(tbl_Bonds[[#This Row],[Coupon]],Simulador!$B$5:$B$147,Simulador!$K$5:$K$147),0)</f>
        <v>0</v>
      </c>
      <c r="N358" s="5" cm="1">
        <f t="array" ref="N35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5.8818492538714739E-2</v>
      </c>
      <c r="O358" s="6">
        <f>IF(curve_type="Mercado",tbl_Bonds[[#This Row],[FC]]/(1+tbl_Bonds[[#This Row],[Real Mercado]])^(tbl_Bonds[[#This Row],[DU]]/252),tbl_Bonds[[#This Row],[FC]]/(1+tbl_Bonds[[#This Row],[Real Simulada]])^(tbl_Bonds[[#This Row],[DU]]/252))</f>
        <v>7.58158821220427E-3</v>
      </c>
      <c r="P358" s="7">
        <f>tbl_Bonds[[#This Row],[Cotação]]*VNA</f>
        <v>29.987488457653878</v>
      </c>
      <c r="Q358" s="18">
        <f>tbl_Bonds[[#This Row],[Cotação]]%%*VNA</f>
        <v>2.9987488457653877E-3</v>
      </c>
      <c r="R35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-6.7432503819272321E-2</v>
      </c>
      <c r="S35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-6.3686762505973091E-2</v>
      </c>
      <c r="T35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6.7432721880944957E-2</v>
      </c>
      <c r="U358" s="18">
        <f>IF(curve_type="Mercado",tbl_Bonds[[#This Row],[VP Cupom]]*LN(1+tbl_Bonds[[#This Row],[Real Mercado]])/252,tbl_Bonds[[#This Row],[VP Cupom]]*LN(1+tbl_Bonds[[#This Row],[Real Simulada]])/252)</f>
        <v>6.8011691391225019E-3</v>
      </c>
      <c r="V358" s="18">
        <f>SUMIF(Dashboard!$B$28:$B$42,tbl_Bonds[[#This Row],[Bond]],Dashboard!$C$28:$C$42)</f>
        <v>9853</v>
      </c>
      <c r="W358" s="18">
        <f>tbl_Bonds[[#This Row],[Quantidade]]*tbl_Bonds[[#This Row],[𝛿P/𝛿VNA]]</f>
        <v>29.546672377326367</v>
      </c>
      <c r="X358" s="18">
        <f>+tbl_Bonds[[#This Row],[Quantidade]]*tbl_Bonds[[#This Row],[𝛿P/𝛿r_real]]</f>
        <v>-664.41246013129023</v>
      </c>
      <c r="Y358" s="18">
        <f>tbl_Bonds[[#This Row],[Quantidade]]*tbl_Bonds[[#This Row],[𝛿P/𝛿r_pre]]</f>
        <v>-627.50567097135286</v>
      </c>
      <c r="Z358" s="18">
        <f>tbl_Bonds[[#This Row],[Quantidade]]*tbl_Bonds[[#This Row],[𝛿P/𝛿r_implicita]]</f>
        <v>664.41460869295065</v>
      </c>
      <c r="AA358" s="18">
        <f>tbl_Bonds[[#This Row],[Quantidade]]*tbl_Bonds[[#This Row],[𝛿P/𝛿du]]</f>
        <v>67.011919527774012</v>
      </c>
    </row>
    <row r="359" spans="1:27">
      <c r="A359" s="2" t="s">
        <v>89</v>
      </c>
      <c r="B359" s="3">
        <v>58669</v>
      </c>
      <c r="C359" s="3">
        <v>53738</v>
      </c>
      <c r="D359" s="4">
        <f>NETWORKDAYS(Dashboard!$C$10,bonds!C359,feriados)-1</f>
        <v>6126</v>
      </c>
      <c r="E359" s="2">
        <f>IF(tbl_Bonds[[#This Row],[Coupon]]&lt;tbl_Bonds[[#This Row],[Maturity]],SQRT(1.06)-1,SQRT(1.06))</f>
        <v>2.9563014098699991E-2</v>
      </c>
      <c r="F359" s="5" cm="1">
        <f t="array" ref="F359">Svensson(betas_pre,tbl_Bonds[[#This Row],[DU]])</f>
        <v>0.12111923599210093</v>
      </c>
      <c r="G359" s="49">
        <f>IF(curve_type="Simulada",_xlfn.XLOOKUP(tbl_Bonds[[#This Row],[Coupon]],Simulador!$B$5:$B$147,Simulador!$H$5:$H$147),0)</f>
        <v>0</v>
      </c>
      <c r="H359" s="5" cm="1">
        <f t="array" ref="H35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0.12111923599210093</v>
      </c>
      <c r="I359" s="5" cm="1">
        <f t="array" ref="I359">Interpola_FF(tbl_Bonds[[#This Row],[DU]],dus_svensson,svensson_implicita)</f>
        <v>5.88447660979734E-2</v>
      </c>
      <c r="J359" s="49">
        <f>IF(curve_type="Simulada",_xlfn.XLOOKUP(tbl_Bonds[[#This Row],[Coupon]],Simulador!$B$5:$B$147,Simulador!$N$5:$N$147),0)</f>
        <v>0</v>
      </c>
      <c r="K359" s="5" cm="1">
        <f t="array" ref="K35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5.88447660979734E-2</v>
      </c>
      <c r="L359" s="5" cm="1">
        <f t="array" ref="L359">Interpola_FF(tbl_Bonds[[#This Row],[DU]],dus_svensson,svensson_real_spot)</f>
        <v>5.8813597365411585E-2</v>
      </c>
      <c r="M359" s="49">
        <f>IF(curve_type="Simulada",_xlfn.XLOOKUP(tbl_Bonds[[#This Row],[Coupon]],Simulador!$B$5:$B$147,Simulador!$K$5:$K$147),0)</f>
        <v>0</v>
      </c>
      <c r="N359" s="5" cm="1">
        <f t="array" ref="N35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5.8813597365411585E-2</v>
      </c>
      <c r="O359" s="6">
        <f>IF(curve_type="Mercado",tbl_Bonds[[#This Row],[FC]]/(1+tbl_Bonds[[#This Row],[Real Mercado]])^(tbl_Bonds[[#This Row],[DU]]/252),tbl_Bonds[[#This Row],[FC]]/(1+tbl_Bonds[[#This Row],[Real Simulada]])^(tbl_Bonds[[#This Row],[DU]]/252))</f>
        <v>7.3688250123452557E-3</v>
      </c>
      <c r="P359" s="7">
        <f>tbl_Bonds[[#This Row],[Cotação]]*VNA</f>
        <v>29.145945258339086</v>
      </c>
      <c r="Q359" s="18">
        <f>tbl_Bonds[[#This Row],[Cotação]]%%*VNA</f>
        <v>2.9145945258339089E-3</v>
      </c>
      <c r="R35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-6.6916787994756907E-2</v>
      </c>
      <c r="S35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-6.319792089752975E-2</v>
      </c>
      <c r="T35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6.6914817980383678E-2</v>
      </c>
      <c r="U359" s="18">
        <f>IF(curve_type="Mercado",tbl_Bonds[[#This Row],[VP Cupom]]*LN(1+tbl_Bonds[[#This Row],[Real Mercado]])/252,tbl_Bonds[[#This Row],[VP Cupom]]*LN(1+tbl_Bonds[[#This Row],[Real Simulada]])/252)</f>
        <v>6.6097722334563843E-3</v>
      </c>
      <c r="V359" s="18">
        <f>SUMIF(Dashboard!$B$28:$B$42,tbl_Bonds[[#This Row],[Bond]],Dashboard!$C$28:$C$42)</f>
        <v>9853</v>
      </c>
      <c r="W359" s="18">
        <f>tbl_Bonds[[#This Row],[Quantidade]]*tbl_Bonds[[#This Row],[𝛿P/𝛿VNA]]</f>
        <v>28.717499863041503</v>
      </c>
      <c r="X359" s="18">
        <f>+tbl_Bonds[[#This Row],[Quantidade]]*tbl_Bonds[[#This Row],[𝛿P/𝛿r_real]]</f>
        <v>-659.33111211233984</v>
      </c>
      <c r="Y359" s="18">
        <f>tbl_Bonds[[#This Row],[Quantidade]]*tbl_Bonds[[#This Row],[𝛿P/𝛿r_pre]]</f>
        <v>-622.68911460336062</v>
      </c>
      <c r="Z359" s="18">
        <f>tbl_Bonds[[#This Row],[Quantidade]]*tbl_Bonds[[#This Row],[𝛿P/𝛿r_implicita]]</f>
        <v>659.31170156072039</v>
      </c>
      <c r="AA359" s="18">
        <f>tbl_Bonds[[#This Row],[Quantidade]]*tbl_Bonds[[#This Row],[𝛿P/𝛿du]]</f>
        <v>65.126085816245748</v>
      </c>
    </row>
    <row r="360" spans="1:27">
      <c r="A360" s="2" t="s">
        <v>89</v>
      </c>
      <c r="B360" s="3">
        <v>58669</v>
      </c>
      <c r="C360" s="3">
        <v>53919</v>
      </c>
      <c r="D360" s="4">
        <f>NETWORKDAYS(Dashboard!$C$10,bonds!C360,feriados)-1</f>
        <v>6250</v>
      </c>
      <c r="E360" s="2">
        <f>IF(tbl_Bonds[[#This Row],[Coupon]]&lt;tbl_Bonds[[#This Row],[Maturity]],SQRT(1.06)-1,SQRT(1.06))</f>
        <v>2.9563014098699991E-2</v>
      </c>
      <c r="F360" s="5" cm="1">
        <f t="array" ref="F360">Svensson(betas_pre,tbl_Bonds[[#This Row],[DU]])</f>
        <v>0.1211440494286013</v>
      </c>
      <c r="G360" s="49">
        <f>IF(curve_type="Simulada",_xlfn.XLOOKUP(tbl_Bonds[[#This Row],[Coupon]],Simulador!$B$5:$B$147,Simulador!$H$5:$H$147),0)</f>
        <v>0</v>
      </c>
      <c r="H360" s="5" cm="1">
        <f t="array" ref="H36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0.1211440494286013</v>
      </c>
      <c r="I360" s="5" cm="1">
        <f t="array" ref="I360">Interpola_FF(tbl_Bonds[[#This Row],[DU]],dus_svensson,svensson_implicita)</f>
        <v>5.8873180945232306E-2</v>
      </c>
      <c r="J360" s="49">
        <f>IF(curve_type="Simulada",_xlfn.XLOOKUP(tbl_Bonds[[#This Row],[Coupon]],Simulador!$B$5:$B$147,Simulador!$N$5:$N$147),0)</f>
        <v>0</v>
      </c>
      <c r="K360" s="5" cm="1">
        <f t="array" ref="K36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5.8873180945232306E-2</v>
      </c>
      <c r="L360" s="5" cm="1">
        <f t="array" ref="L360">Interpola_FF(tbl_Bonds[[#This Row],[DU]],dus_svensson,svensson_real_spot)</f>
        <v>5.8808617939406949E-2</v>
      </c>
      <c r="M360" s="49">
        <f>IF(curve_type="Simulada",_xlfn.XLOOKUP(tbl_Bonds[[#This Row],[Coupon]],Simulador!$B$5:$B$147,Simulador!$K$5:$K$147),0)</f>
        <v>0</v>
      </c>
      <c r="N360" s="5" cm="1">
        <f t="array" ref="N36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5.8808617939406949E-2</v>
      </c>
      <c r="O360" s="6">
        <f>IF(curve_type="Mercado",tbl_Bonds[[#This Row],[FC]]/(1+tbl_Bonds[[#This Row],[Real Mercado]])^(tbl_Bonds[[#This Row],[DU]]/252),tbl_Bonds[[#This Row],[FC]]/(1+tbl_Bonds[[#This Row],[Real Simulada]])^(tbl_Bonds[[#This Row],[DU]]/252))</f>
        <v>7.1653288008872223E-3</v>
      </c>
      <c r="P360" s="7">
        <f>tbl_Bonds[[#This Row],[Cotação]]*VNA</f>
        <v>28.341055818096081</v>
      </c>
      <c r="Q360" s="18">
        <f>tbl_Bonds[[#This Row],[Cotação]]%%*VNA</f>
        <v>2.8341055818096078E-3</v>
      </c>
      <c r="R36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-6.6386234318683457E-2</v>
      </c>
      <c r="S36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-6.2695170017667612E-2</v>
      </c>
      <c r="T36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6.6382186326105555E-2</v>
      </c>
      <c r="U360" s="18">
        <f>IF(curve_type="Mercado",tbl_Bonds[[#This Row],[VP Cupom]]*LN(1+tbl_Bonds[[#This Row],[Real Mercado]])/252,tbl_Bonds[[#This Row],[VP Cupom]]*LN(1+tbl_Bonds[[#This Row],[Real Simulada]])/252)</f>
        <v>6.4267089904379493E-3</v>
      </c>
      <c r="V360" s="18">
        <f>SUMIF(Dashboard!$B$28:$B$42,tbl_Bonds[[#This Row],[Bond]],Dashboard!$C$28:$C$42)</f>
        <v>9853</v>
      </c>
      <c r="W360" s="18">
        <f>tbl_Bonds[[#This Row],[Quantidade]]*tbl_Bonds[[#This Row],[𝛿P/𝛿VNA]]</f>
        <v>27.924442297570067</v>
      </c>
      <c r="X360" s="18">
        <f>+tbl_Bonds[[#This Row],[Quantidade]]*tbl_Bonds[[#This Row],[𝛿P/𝛿r_real]]</f>
        <v>-654.10356674198806</v>
      </c>
      <c r="Y360" s="18">
        <f>tbl_Bonds[[#This Row],[Quantidade]]*tbl_Bonds[[#This Row],[𝛿P/𝛿r_pre]]</f>
        <v>-617.73551018407898</v>
      </c>
      <c r="Z360" s="18">
        <f>tbl_Bonds[[#This Row],[Quantidade]]*tbl_Bonds[[#This Row],[𝛿P/𝛿r_implicita]]</f>
        <v>654.06368187111798</v>
      </c>
      <c r="AA360" s="18">
        <f>tbl_Bonds[[#This Row],[Quantidade]]*tbl_Bonds[[#This Row],[𝛿P/𝛿du]]</f>
        <v>63.322363682785117</v>
      </c>
    </row>
    <row r="361" spans="1:27">
      <c r="A361" s="2" t="s">
        <v>89</v>
      </c>
      <c r="B361" s="3">
        <v>58669</v>
      </c>
      <c r="C361" s="3">
        <v>54107</v>
      </c>
      <c r="D361" s="4">
        <f>NETWORKDAYS(Dashboard!$C$10,bonds!C361,feriados)-1</f>
        <v>6379</v>
      </c>
      <c r="E361" s="2">
        <f>IF(tbl_Bonds[[#This Row],[Coupon]]&lt;tbl_Bonds[[#This Row],[Maturity]],SQRT(1.06)-1,SQRT(1.06))</f>
        <v>2.9563014098699991E-2</v>
      </c>
      <c r="F361" s="5" cm="1">
        <f t="array" ref="F361">Svensson(betas_pre,tbl_Bonds[[#This Row],[DU]])</f>
        <v>0.12116883897384434</v>
      </c>
      <c r="G361" s="49">
        <f>IF(curve_type="Simulada",_xlfn.XLOOKUP(tbl_Bonds[[#This Row],[Coupon]],Simulador!$B$5:$B$147,Simulador!$H$5:$H$147),0)</f>
        <v>0</v>
      </c>
      <c r="H361" s="5" cm="1">
        <f t="array" ref="H36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0.12116883897384434</v>
      </c>
      <c r="I361" s="5" cm="1">
        <f t="array" ref="I361">Interpola_FF(tbl_Bonds[[#This Row],[DU]],dus_svensson,svensson_implicita)</f>
        <v>5.8901887570582678E-2</v>
      </c>
      <c r="J361" s="49">
        <f>IF(curve_type="Simulada",_xlfn.XLOOKUP(tbl_Bonds[[#This Row],[Coupon]],Simulador!$B$5:$B$147,Simulador!$N$5:$N$147),0)</f>
        <v>0</v>
      </c>
      <c r="K361" s="5" cm="1">
        <f t="array" ref="K36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5.8901887570582678E-2</v>
      </c>
      <c r="L361" s="5" cm="1">
        <f t="array" ref="L361">Interpola_FF(tbl_Bonds[[#This Row],[DU]],dus_svensson,svensson_real_spot)</f>
        <v>5.8803324471326635E-2</v>
      </c>
      <c r="M361" s="49">
        <f>IF(curve_type="Simulada",_xlfn.XLOOKUP(tbl_Bonds[[#This Row],[Coupon]],Simulador!$B$5:$B$147,Simulador!$K$5:$K$147),0)</f>
        <v>0</v>
      </c>
      <c r="N361" s="5" cm="1">
        <f t="array" ref="N36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5.8803324471326635E-2</v>
      </c>
      <c r="O361" s="6">
        <f>IF(curve_type="Mercado",tbl_Bonds[[#This Row],[FC]]/(1+tbl_Bonds[[#This Row],[Real Mercado]])^(tbl_Bonds[[#This Row],[DU]]/252),tbl_Bonds[[#This Row],[FC]]/(1+tbl_Bonds[[#This Row],[Real Simulada]])^(tbl_Bonds[[#This Row],[DU]]/252))</f>
        <v>6.9596420896951613E-3</v>
      </c>
      <c r="P361" s="7">
        <f>tbl_Bonds[[#This Row],[Cotação]]*VNA</f>
        <v>27.527502284835609</v>
      </c>
      <c r="Q361" s="18">
        <f>tbl_Bonds[[#This Row],[Cotação]]%%*VNA</f>
        <v>2.7527502284835611E-3</v>
      </c>
      <c r="R36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-6.5811770185258453E-2</v>
      </c>
      <c r="S36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-6.2150961070573774E-2</v>
      </c>
      <c r="T36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6.580564420795694E-2</v>
      </c>
      <c r="U361" s="18">
        <f>IF(curve_type="Mercado",tbl_Bonds[[#This Row],[VP Cupom]]*LN(1+tbl_Bonds[[#This Row],[Real Mercado]])/252,tbl_Bonds[[#This Row],[VP Cupom]]*LN(1+tbl_Bonds[[#This Row],[Real Simulada]])/252)</f>
        <v>6.241678851392562E-3</v>
      </c>
      <c r="V361" s="18">
        <f>SUMIF(Dashboard!$B$28:$B$42,tbl_Bonds[[#This Row],[Bond]],Dashboard!$C$28:$C$42)</f>
        <v>9853</v>
      </c>
      <c r="W361" s="18">
        <f>tbl_Bonds[[#This Row],[Quantidade]]*tbl_Bonds[[#This Row],[𝛿P/𝛿VNA]]</f>
        <v>27.122848001248528</v>
      </c>
      <c r="X361" s="18">
        <f>+tbl_Bonds[[#This Row],[Quantidade]]*tbl_Bonds[[#This Row],[𝛿P/𝛿r_real]]</f>
        <v>-648.44337163535158</v>
      </c>
      <c r="Y361" s="18">
        <f>tbl_Bonds[[#This Row],[Quantidade]]*tbl_Bonds[[#This Row],[𝛿P/𝛿r_pre]]</f>
        <v>-612.37341942836338</v>
      </c>
      <c r="Z361" s="18">
        <f>tbl_Bonds[[#This Row],[Quantidade]]*tbl_Bonds[[#This Row],[𝛿P/𝛿r_implicita]]</f>
        <v>648.38301238099973</v>
      </c>
      <c r="AA361" s="18">
        <f>tbl_Bonds[[#This Row],[Quantidade]]*tbl_Bonds[[#This Row],[𝛿P/𝛿du]]</f>
        <v>61.49926172277091</v>
      </c>
    </row>
    <row r="362" spans="1:27">
      <c r="A362" s="2" t="s">
        <v>89</v>
      </c>
      <c r="B362" s="3">
        <v>58669</v>
      </c>
      <c r="C362" s="3">
        <v>54287</v>
      </c>
      <c r="D362" s="4">
        <f>NETWORKDAYS(Dashboard!$C$10,bonds!C362,feriados)-1</f>
        <v>6503</v>
      </c>
      <c r="E362" s="2">
        <f>IF(tbl_Bonds[[#This Row],[Coupon]]&lt;tbl_Bonds[[#This Row],[Maturity]],SQRT(1.06)-1,SQRT(1.06))</f>
        <v>2.9563014098699991E-2</v>
      </c>
      <c r="F362" s="5" cm="1">
        <f t="array" ref="F362">Svensson(betas_pre,tbl_Bonds[[#This Row],[DU]])</f>
        <v>0.12119174007906819</v>
      </c>
      <c r="G362" s="49">
        <f>IF(curve_type="Simulada",_xlfn.XLOOKUP(tbl_Bonds[[#This Row],[Coupon]],Simulador!$B$5:$B$147,Simulador!$H$5:$H$147),0)</f>
        <v>0</v>
      </c>
      <c r="H362" s="5" cm="1">
        <f t="array" ref="H36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0.12119174007906819</v>
      </c>
      <c r="I362" s="5" cm="1">
        <f t="array" ref="I362">Interpola_FF(tbl_Bonds[[#This Row],[DU]],dus_svensson,svensson_implicita)</f>
        <v>5.8928673007986543E-2</v>
      </c>
      <c r="J362" s="49">
        <f>IF(curve_type="Simulada",_xlfn.XLOOKUP(tbl_Bonds[[#This Row],[Coupon]],Simulador!$B$5:$B$147,Simulador!$N$5:$N$147),0)</f>
        <v>0</v>
      </c>
      <c r="K362" s="5" cm="1">
        <f t="array" ref="K36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5.8928673007986543E-2</v>
      </c>
      <c r="L362" s="5" cm="1">
        <f t="array" ref="L362">Interpola_FF(tbl_Bonds[[#This Row],[DU]],dus_svensson,svensson_real_spot)</f>
        <v>5.879816888569378E-2</v>
      </c>
      <c r="M362" s="49">
        <f>IF(curve_type="Simulada",_xlfn.XLOOKUP(tbl_Bonds[[#This Row],[Coupon]],Simulador!$B$5:$B$147,Simulador!$K$5:$K$147),0)</f>
        <v>0</v>
      </c>
      <c r="N362" s="5" cm="1">
        <f t="array" ref="N36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5.879816888569378E-2</v>
      </c>
      <c r="O362" s="6">
        <f>IF(curve_type="Mercado",tbl_Bonds[[#This Row],[FC]]/(1+tbl_Bonds[[#This Row],[Real Mercado]])^(tbl_Bonds[[#This Row],[DU]]/252),tbl_Bonds[[#This Row],[FC]]/(1+tbl_Bonds[[#This Row],[Real Simulada]])^(tbl_Bonds[[#This Row],[DU]]/252))</f>
        <v>6.7675391295490047E-3</v>
      </c>
      <c r="P362" s="7">
        <f>tbl_Bonds[[#This Row],[Cotação]]*VNA</f>
        <v>26.767676620499095</v>
      </c>
      <c r="Q362" s="18">
        <f>tbl_Bonds[[#This Row],[Cotação]]%%*VNA</f>
        <v>2.6767676620499097E-3</v>
      </c>
      <c r="R36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-6.5239512725111998E-2</v>
      </c>
      <c r="S36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-6.1608977265939016E-2</v>
      </c>
      <c r="T36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6.5231472322941769E-2</v>
      </c>
      <c r="U362" s="18">
        <f>IF(curve_type="Mercado",tbl_Bonds[[#This Row],[VP Cupom]]*LN(1+tbl_Bonds[[#This Row],[Real Mercado]])/252,tbl_Bonds[[#This Row],[VP Cupom]]*LN(1+tbl_Bonds[[#This Row],[Real Simulada]])/252)</f>
        <v>6.0688761953727934E-3</v>
      </c>
      <c r="V362" s="18">
        <f>SUMIF(Dashboard!$B$28:$B$42,tbl_Bonds[[#This Row],[Bond]],Dashboard!$C$28:$C$42)</f>
        <v>9853</v>
      </c>
      <c r="W362" s="18">
        <f>tbl_Bonds[[#This Row],[Quantidade]]*tbl_Bonds[[#This Row],[𝛿P/𝛿VNA]]</f>
        <v>26.37419177417776</v>
      </c>
      <c r="X362" s="18">
        <f>+tbl_Bonds[[#This Row],[Quantidade]]*tbl_Bonds[[#This Row],[𝛿P/𝛿r_real]]</f>
        <v>-642.80491888052848</v>
      </c>
      <c r="Y362" s="18">
        <f>tbl_Bonds[[#This Row],[Quantidade]]*tbl_Bonds[[#This Row],[𝛿P/𝛿r_pre]]</f>
        <v>-607.03325300129711</v>
      </c>
      <c r="Z362" s="18">
        <f>tbl_Bonds[[#This Row],[Quantidade]]*tbl_Bonds[[#This Row],[𝛿P/𝛿r_implicita]]</f>
        <v>642.72569679794526</v>
      </c>
      <c r="AA362" s="18">
        <f>tbl_Bonds[[#This Row],[Quantidade]]*tbl_Bonds[[#This Row],[𝛿P/𝛿du]]</f>
        <v>59.796637153008135</v>
      </c>
    </row>
    <row r="363" spans="1:27">
      <c r="A363" s="2" t="s">
        <v>89</v>
      </c>
      <c r="B363" s="3">
        <v>58669</v>
      </c>
      <c r="C363" s="3">
        <v>54469</v>
      </c>
      <c r="D363" s="4">
        <f>NETWORKDAYS(Dashboard!$C$10,bonds!C363,feriados)-1</f>
        <v>6628</v>
      </c>
      <c r="E363" s="2">
        <f>IF(tbl_Bonds[[#This Row],[Coupon]]&lt;tbl_Bonds[[#This Row],[Maturity]],SQRT(1.06)-1,SQRT(1.06))</f>
        <v>2.9563014098699991E-2</v>
      </c>
      <c r="F363" s="5" cm="1">
        <f t="array" ref="F363">Svensson(betas_pre,tbl_Bonds[[#This Row],[DU]])</f>
        <v>0.12121395808482756</v>
      </c>
      <c r="G363" s="49">
        <f>IF(curve_type="Simulada",_xlfn.XLOOKUP(tbl_Bonds[[#This Row],[Coupon]],Simulador!$B$5:$B$147,Simulador!$H$5:$H$147),0)</f>
        <v>0</v>
      </c>
      <c r="H363" s="5" cm="1">
        <f t="array" ref="H36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0.12121395808482756</v>
      </c>
      <c r="I363" s="5" cm="1">
        <f t="array" ref="I363">Interpola_FF(tbl_Bonds[[#This Row],[DU]],dus_svensson,svensson_implicita)</f>
        <v>5.8954884267646168E-2</v>
      </c>
      <c r="J363" s="49">
        <f>IF(curve_type="Simulada",_xlfn.XLOOKUP(tbl_Bonds[[#This Row],[Coupon]],Simulador!$B$5:$B$147,Simulador!$N$5:$N$147),0)</f>
        <v>0</v>
      </c>
      <c r="K363" s="5" cm="1">
        <f t="array" ref="K36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5.8954884267646168E-2</v>
      </c>
      <c r="L363" s="5" cm="1">
        <f t="array" ref="L363">Interpola_FF(tbl_Bonds[[#This Row],[DU]],dus_svensson,svensson_real_spot)</f>
        <v>5.8792942581760599E-2</v>
      </c>
      <c r="M363" s="49">
        <f>IF(curve_type="Simulada",_xlfn.XLOOKUP(tbl_Bonds[[#This Row],[Coupon]],Simulador!$B$5:$B$147,Simulador!$K$5:$K$147),0)</f>
        <v>0</v>
      </c>
      <c r="N363" s="5" cm="1">
        <f t="array" ref="N36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5.8792942581760599E-2</v>
      </c>
      <c r="O363" s="6">
        <f>IF(curve_type="Mercado",tbl_Bonds[[#This Row],[FC]]/(1+tbl_Bonds[[#This Row],[Real Mercado]])^(tbl_Bonds[[#This Row],[DU]]/252),tbl_Bonds[[#This Row],[FC]]/(1+tbl_Bonds[[#This Row],[Real Simulada]])^(tbl_Bonds[[#This Row],[DU]]/252))</f>
        <v>6.5792900501344667E-3</v>
      </c>
      <c r="P363" s="7">
        <f>tbl_Bonds[[#This Row],[Cotação]]*VNA</f>
        <v>26.02309422719259</v>
      </c>
      <c r="Q363" s="18">
        <f>tbl_Bonds[[#This Row],[Cotação]]%%*VNA</f>
        <v>2.602309422719259E-3</v>
      </c>
      <c r="R36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-6.4644243189322631E-2</v>
      </c>
      <c r="S36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-6.1045323060443232E-2</v>
      </c>
      <c r="T36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6.4634357240348148E-2</v>
      </c>
      <c r="U363" s="18">
        <f>IF(curve_type="Mercado",tbl_Bonds[[#This Row],[VP Cupom]]*LN(1+tbl_Bonds[[#This Row],[Real Mercado]])/252,tbl_Bonds[[#This Row],[VP Cupom]]*LN(1+tbl_Bonds[[#This Row],[Real Simulada]])/252)</f>
        <v>5.8995517247471202E-3</v>
      </c>
      <c r="V363" s="18">
        <f>SUMIF(Dashboard!$B$28:$B$42,tbl_Bonds[[#This Row],[Bond]],Dashboard!$C$28:$C$42)</f>
        <v>9853</v>
      </c>
      <c r="W363" s="18">
        <f>tbl_Bonds[[#This Row],[Quantidade]]*tbl_Bonds[[#This Row],[𝛿P/𝛿VNA]]</f>
        <v>25.64055474205286</v>
      </c>
      <c r="X363" s="18">
        <f>+tbl_Bonds[[#This Row],[Quantidade]]*tbl_Bonds[[#This Row],[𝛿P/𝛿r_real]]</f>
        <v>-636.93972814439587</v>
      </c>
      <c r="Y363" s="18">
        <f>tbl_Bonds[[#This Row],[Quantidade]]*tbl_Bonds[[#This Row],[𝛿P/𝛿r_pre]]</f>
        <v>-601.47956811454719</v>
      </c>
      <c r="Z363" s="18">
        <f>tbl_Bonds[[#This Row],[Quantidade]]*tbl_Bonds[[#This Row],[𝛿P/𝛿r_implicita]]</f>
        <v>636.8423218891503</v>
      </c>
      <c r="AA363" s="18">
        <f>tbl_Bonds[[#This Row],[Quantidade]]*tbl_Bonds[[#This Row],[𝛿P/𝛿du]]</f>
        <v>58.128283143933373</v>
      </c>
    </row>
    <row r="364" spans="1:27">
      <c r="A364" s="2" t="s">
        <v>89</v>
      </c>
      <c r="B364" s="3">
        <v>58669</v>
      </c>
      <c r="C364" s="3">
        <v>54651</v>
      </c>
      <c r="D364" s="4">
        <f>NETWORKDAYS(Dashboard!$C$10,bonds!C364,feriados)-1</f>
        <v>6753</v>
      </c>
      <c r="E364" s="2">
        <f>IF(tbl_Bonds[[#This Row],[Coupon]]&lt;tbl_Bonds[[#This Row],[Maturity]],SQRT(1.06)-1,SQRT(1.06))</f>
        <v>2.9563014098699991E-2</v>
      </c>
      <c r="F364" s="5" cm="1">
        <f t="array" ref="F364">Svensson(betas_pre,tbl_Bonds[[#This Row],[DU]])</f>
        <v>0.12123535310049624</v>
      </c>
      <c r="G364" s="49">
        <f>IF(curve_type="Simulada",_xlfn.XLOOKUP(tbl_Bonds[[#This Row],[Coupon]],Simulador!$B$5:$B$147,Simulador!$H$5:$H$147),0)</f>
        <v>0</v>
      </c>
      <c r="H364" s="5" cm="1">
        <f t="array" ref="H36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0.12123535310049624</v>
      </c>
      <c r="I364" s="5" cm="1">
        <f t="array" ref="I364">Interpola_FF(tbl_Bonds[[#This Row],[DU]],dus_svensson,svensson_implicita)</f>
        <v>5.8980318541968391E-2</v>
      </c>
      <c r="J364" s="49">
        <f>IF(curve_type="Simulada",_xlfn.XLOOKUP(tbl_Bonds[[#This Row],[Coupon]],Simulador!$B$5:$B$147,Simulador!$N$5:$N$147),0)</f>
        <v>0</v>
      </c>
      <c r="K364" s="5" cm="1">
        <f t="array" ref="K36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5.8980318541968391E-2</v>
      </c>
      <c r="L364" s="5" cm="1">
        <f t="array" ref="L364">Interpola_FF(tbl_Bonds[[#This Row],[DU]],dus_svensson,svensson_real_spot)</f>
        <v>5.8787716226643916E-2</v>
      </c>
      <c r="M364" s="49">
        <f>IF(curve_type="Simulada",_xlfn.XLOOKUP(tbl_Bonds[[#This Row],[Coupon]],Simulador!$B$5:$B$147,Simulador!$K$5:$K$147),0)</f>
        <v>0</v>
      </c>
      <c r="N364" s="5" cm="1">
        <f t="array" ref="N36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5.8787716226643916E-2</v>
      </c>
      <c r="O364" s="6">
        <f>IF(curve_type="Mercado",tbl_Bonds[[#This Row],[FC]]/(1+tbl_Bonds[[#This Row],[Real Mercado]])^(tbl_Bonds[[#This Row],[DU]]/252),tbl_Bonds[[#This Row],[FC]]/(1+tbl_Bonds[[#This Row],[Real Simulada]])^(tbl_Bonds[[#This Row],[DU]]/252))</f>
        <v>6.3963087309577091E-3</v>
      </c>
      <c r="P364" s="7">
        <f>tbl_Bonds[[#This Row],[Cotação]]*VNA</f>
        <v>25.299347428606708</v>
      </c>
      <c r="Q364" s="18">
        <f>tbl_Bonds[[#This Row],[Cotação]]%%*VNA</f>
        <v>2.5299347428606707E-3</v>
      </c>
      <c r="R36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-6.4031936161983077E-2</v>
      </c>
      <c r="S36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-6.0465652550990547E-2</v>
      </c>
      <c r="T36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6.4020290180468523E-2</v>
      </c>
      <c r="U364" s="18">
        <f>IF(curve_type="Mercado",tbl_Bonds[[#This Row],[VP Cupom]]*LN(1+tbl_Bonds[[#This Row],[Real Mercado]])/252,tbl_Bonds[[#This Row],[VP Cupom]]*LN(1+tbl_Bonds[[#This Row],[Real Simulada]])/252)</f>
        <v>5.7349795303293987E-3</v>
      </c>
      <c r="V364" s="18">
        <f>SUMIF(Dashboard!$B$28:$B$42,tbl_Bonds[[#This Row],[Bond]],Dashboard!$C$28:$C$42)</f>
        <v>9853</v>
      </c>
      <c r="W364" s="18">
        <f>tbl_Bonds[[#This Row],[Quantidade]]*tbl_Bonds[[#This Row],[𝛿P/𝛿VNA]]</f>
        <v>24.927447021406188</v>
      </c>
      <c r="X364" s="18">
        <f>+tbl_Bonds[[#This Row],[Quantidade]]*tbl_Bonds[[#This Row],[𝛿P/𝛿r_real]]</f>
        <v>-630.90666700401925</v>
      </c>
      <c r="Y364" s="18">
        <f>tbl_Bonds[[#This Row],[Quantidade]]*tbl_Bonds[[#This Row],[𝛿P/𝛿r_pre]]</f>
        <v>-595.76807458490987</v>
      </c>
      <c r="Z364" s="18">
        <f>tbl_Bonds[[#This Row],[Quantidade]]*tbl_Bonds[[#This Row],[𝛿P/𝛿r_implicita]]</f>
        <v>630.79191914815635</v>
      </c>
      <c r="AA364" s="18">
        <f>tbl_Bonds[[#This Row],[Quantidade]]*tbl_Bonds[[#This Row],[𝛿P/𝛿du]]</f>
        <v>56.506753312335569</v>
      </c>
    </row>
    <row r="365" spans="1:27">
      <c r="A365" s="2" t="s">
        <v>89</v>
      </c>
      <c r="B365" s="3">
        <v>58669</v>
      </c>
      <c r="C365" s="3">
        <v>54834</v>
      </c>
      <c r="D365" s="4">
        <f>NETWORKDAYS(Dashboard!$C$10,bonds!C365,feriados)-1</f>
        <v>6880</v>
      </c>
      <c r="E365" s="2">
        <f>IF(tbl_Bonds[[#This Row],[Coupon]]&lt;tbl_Bonds[[#This Row],[Maturity]],SQRT(1.06)-1,SQRT(1.06))</f>
        <v>2.9563014098699991E-2</v>
      </c>
      <c r="F365" s="5" cm="1">
        <f t="array" ref="F365">Svensson(betas_pre,tbl_Bonds[[#This Row],[DU]])</f>
        <v>0.1212562938000236</v>
      </c>
      <c r="G365" s="49">
        <f>IF(curve_type="Simulada",_xlfn.XLOOKUP(tbl_Bonds[[#This Row],[Coupon]],Simulador!$B$5:$B$147,Simulador!$H$5:$H$147),0)</f>
        <v>0</v>
      </c>
      <c r="H365" s="5" cm="1">
        <f t="array" ref="H36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0.1212562938000236</v>
      </c>
      <c r="I365" s="5" cm="1">
        <f t="array" ref="I365">Interpola_FF(tbl_Bonds[[#This Row],[DU]],dus_svensson,svensson_implicita)</f>
        <v>5.9005382648950055E-2</v>
      </c>
      <c r="J365" s="49">
        <f>IF(curve_type="Simulada",_xlfn.XLOOKUP(tbl_Bonds[[#This Row],[Coupon]],Simulador!$B$5:$B$147,Simulador!$N$5:$N$147),0)</f>
        <v>0</v>
      </c>
      <c r="K365" s="5" cm="1">
        <f t="array" ref="K36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5.9005382648950055E-2</v>
      </c>
      <c r="L365" s="5" cm="1">
        <f t="array" ref="L365">Interpola_FF(tbl_Bonds[[#This Row],[DU]],dus_svensson,svensson_real_spot)</f>
        <v>5.8782431209977171E-2</v>
      </c>
      <c r="M365" s="49">
        <f>IF(curve_type="Simulada",_xlfn.XLOOKUP(tbl_Bonds[[#This Row],[Coupon]],Simulador!$B$5:$B$147,Simulador!$K$5:$K$147),0)</f>
        <v>0</v>
      </c>
      <c r="N365" s="5" cm="1">
        <f t="array" ref="N36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5.8782431209977171E-2</v>
      </c>
      <c r="O365" s="6">
        <f>IF(curve_type="Mercado",tbl_Bonds[[#This Row],[FC]]/(1+tbl_Bonds[[#This Row],[Real Mercado]])^(tbl_Bonds[[#This Row],[DU]]/252),tbl_Bonds[[#This Row],[FC]]/(1+tbl_Bonds[[#This Row],[Real Simulada]])^(tbl_Bonds[[#This Row],[DU]]/252))</f>
        <v>6.2156379198985007E-3</v>
      </c>
      <c r="P365" s="7">
        <f>tbl_Bonds[[#This Row],[Cotação]]*VNA</f>
        <v>24.584739392713686</v>
      </c>
      <c r="Q365" s="18">
        <f>tbl_Bonds[[#This Row],[Cotação]]%%*VNA</f>
        <v>2.4584739392713687E-3</v>
      </c>
      <c r="R36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-6.3393799238800605E-2</v>
      </c>
      <c r="S36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-5.9861640107052957E-2</v>
      </c>
      <c r="T36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6.3380452854104846E-2</v>
      </c>
      <c r="U365" s="18">
        <f>IF(curve_type="Mercado",tbl_Bonds[[#This Row],[VP Cupom]]*LN(1+tbl_Bonds[[#This Row],[Real Mercado]])/252,tbl_Bonds[[#This Row],[VP Cupom]]*LN(1+tbl_Bonds[[#This Row],[Real Simulada]])/252)</f>
        <v>5.5725017220408304E-3</v>
      </c>
      <c r="V365" s="18">
        <f>SUMIF(Dashboard!$B$28:$B$42,tbl_Bonds[[#This Row],[Bond]],Dashboard!$C$28:$C$42)</f>
        <v>9853</v>
      </c>
      <c r="W365" s="18">
        <f>tbl_Bonds[[#This Row],[Quantidade]]*tbl_Bonds[[#This Row],[𝛿P/𝛿VNA]]</f>
        <v>24.223343723640795</v>
      </c>
      <c r="X365" s="18">
        <f>+tbl_Bonds[[#This Row],[Quantidade]]*tbl_Bonds[[#This Row],[𝛿P/𝛿r_real]]</f>
        <v>-624.61910389990237</v>
      </c>
      <c r="Y365" s="18">
        <f>tbl_Bonds[[#This Row],[Quantidade]]*tbl_Bonds[[#This Row],[𝛿P/𝛿r_pre]]</f>
        <v>-589.81673997479277</v>
      </c>
      <c r="Z365" s="18">
        <f>tbl_Bonds[[#This Row],[Quantidade]]*tbl_Bonds[[#This Row],[𝛿P/𝛿r_implicita]]</f>
        <v>624.487601971495</v>
      </c>
      <c r="AA365" s="18">
        <f>tbl_Bonds[[#This Row],[Quantidade]]*tbl_Bonds[[#This Row],[𝛿P/𝛿du]]</f>
        <v>54.9058594672683</v>
      </c>
    </row>
    <row r="366" spans="1:27">
      <c r="A366" s="2" t="s">
        <v>89</v>
      </c>
      <c r="B366" s="3">
        <v>58669</v>
      </c>
      <c r="C366" s="3">
        <v>55015</v>
      </c>
      <c r="D366" s="4">
        <f>NETWORKDAYS(Dashboard!$C$10,bonds!C366,feriados)-1</f>
        <v>7004</v>
      </c>
      <c r="E366" s="2">
        <f>IF(tbl_Bonds[[#This Row],[Coupon]]&lt;tbl_Bonds[[#This Row],[Maturity]],SQRT(1.06)-1,SQRT(1.06))</f>
        <v>2.9563014098699991E-2</v>
      </c>
      <c r="F366" s="5" cm="1">
        <f t="array" ref="F366">Svensson(betas_pre,tbl_Bonds[[#This Row],[DU]])</f>
        <v>0.12127600671886751</v>
      </c>
      <c r="G366" s="49">
        <f>IF(curve_type="Simulada",_xlfn.XLOOKUP(tbl_Bonds[[#This Row],[Coupon]],Simulador!$B$5:$B$147,Simulador!$H$5:$H$147),0)</f>
        <v>0</v>
      </c>
      <c r="H366" s="5" cm="1">
        <f t="array" ref="H36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0.12127600671886751</v>
      </c>
      <c r="I366" s="5" cm="1">
        <f t="array" ref="I366">Interpola_FF(tbl_Bonds[[#This Row],[DU]],dus_svensson,svensson_implicita)</f>
        <v>5.9029119259779605E-2</v>
      </c>
      <c r="J366" s="49">
        <f>IF(curve_type="Simulada",_xlfn.XLOOKUP(tbl_Bonds[[#This Row],[Coupon]],Simulador!$B$5:$B$147,Simulador!$N$5:$N$147),0)</f>
        <v>0</v>
      </c>
      <c r="K366" s="5" cm="1">
        <f t="array" ref="K36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5.9029119259779605E-2</v>
      </c>
      <c r="L366" s="5" cm="1">
        <f t="array" ref="L366">Interpola_FF(tbl_Bonds[[#This Row],[DU]],dus_svensson,svensson_real_spot)</f>
        <v>5.8777314275879178E-2</v>
      </c>
      <c r="M366" s="49">
        <f>IF(curve_type="Simulada",_xlfn.XLOOKUP(tbl_Bonds[[#This Row],[Coupon]],Simulador!$B$5:$B$147,Simulador!$K$5:$K$147),0)</f>
        <v>0</v>
      </c>
      <c r="N366" s="5" cm="1">
        <f t="array" ref="N36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5.8777314275879178E-2</v>
      </c>
      <c r="O366" s="6">
        <f>IF(curve_type="Mercado",tbl_Bonds[[#This Row],[FC]]/(1+tbl_Bonds[[#This Row],[Real Mercado]])^(tbl_Bonds[[#This Row],[DU]]/252),tbl_Bonds[[#This Row],[FC]]/(1+tbl_Bonds[[#This Row],[Real Simulada]])^(tbl_Bonds[[#This Row],[DU]]/252))</f>
        <v>6.044182357185097E-3</v>
      </c>
      <c r="P366" s="7">
        <f>tbl_Bonds[[#This Row],[Cotação]]*VNA</f>
        <v>23.906580468229723</v>
      </c>
      <c r="Q366" s="18">
        <f>tbl_Bonds[[#This Row],[Cotação]]%%*VNA</f>
        <v>2.3906580468229721E-3</v>
      </c>
      <c r="R36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-6.2756458817661981E-2</v>
      </c>
      <c r="S36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-5.9258482635511187E-2</v>
      </c>
      <c r="T36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6.2741537097873112E-2</v>
      </c>
      <c r="U366" s="18">
        <f>IF(curve_type="Mercado",tbl_Bonds[[#This Row],[VP Cupom]]*LN(1+tbl_Bonds[[#This Row],[Real Mercado]])/252,tbl_Bonds[[#This Row],[VP Cupom]]*LN(1+tbl_Bonds[[#This Row],[Real Simulada]])/252)</f>
        <v>5.418328299956256E-3</v>
      </c>
      <c r="V366" s="18">
        <f>SUMIF(Dashboard!$B$28:$B$42,tbl_Bonds[[#This Row],[Bond]],Dashboard!$C$28:$C$42)</f>
        <v>9853</v>
      </c>
      <c r="W366" s="18">
        <f>tbl_Bonds[[#This Row],[Quantidade]]*tbl_Bonds[[#This Row],[𝛿P/𝛿VNA]]</f>
        <v>23.555153735346742</v>
      </c>
      <c r="X366" s="18">
        <f>+tbl_Bonds[[#This Row],[Quantidade]]*tbl_Bonds[[#This Row],[𝛿P/𝛿r_real]]</f>
        <v>-618.33938873042348</v>
      </c>
      <c r="Y366" s="18">
        <f>tbl_Bonds[[#This Row],[Quantidade]]*tbl_Bonds[[#This Row],[𝛿P/𝛿r_pre]]</f>
        <v>-583.87382940769169</v>
      </c>
      <c r="Z366" s="18">
        <f>tbl_Bonds[[#This Row],[Quantidade]]*tbl_Bonds[[#This Row],[𝛿P/𝛿r_implicita]]</f>
        <v>618.19236502534375</v>
      </c>
      <c r="AA366" s="18">
        <f>tbl_Bonds[[#This Row],[Quantidade]]*tbl_Bonds[[#This Row],[𝛿P/𝛿du]]</f>
        <v>53.38678873946899</v>
      </c>
    </row>
    <row r="367" spans="1:27">
      <c r="A367" s="2" t="s">
        <v>89</v>
      </c>
      <c r="B367" s="3">
        <v>58669</v>
      </c>
      <c r="C367" s="3">
        <v>55199</v>
      </c>
      <c r="D367" s="4">
        <f>NETWORKDAYS(Dashboard!$C$10,bonds!C367,feriados)-1</f>
        <v>7130</v>
      </c>
      <c r="E367" s="2">
        <f>IF(tbl_Bonds[[#This Row],[Coupon]]&lt;tbl_Bonds[[#This Row],[Maturity]],SQRT(1.06)-1,SQRT(1.06))</f>
        <v>2.9563014098699991E-2</v>
      </c>
      <c r="F367" s="5" cm="1">
        <f t="array" ref="F367">Svensson(betas_pre,tbl_Bonds[[#This Row],[DU]])</f>
        <v>0.1212953348660752</v>
      </c>
      <c r="G367" s="49">
        <f>IF(curve_type="Simulada",_xlfn.XLOOKUP(tbl_Bonds[[#This Row],[Coupon]],Simulador!$B$5:$B$147,Simulador!$H$5:$H$147),0)</f>
        <v>0</v>
      </c>
      <c r="H367" s="5" cm="1">
        <f t="array" ref="H36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0.1212953348660752</v>
      </c>
      <c r="I367" s="5" cm="1">
        <f t="array" ref="I367">Interpola_FF(tbl_Bonds[[#This Row],[DU]],dus_svensson,svensson_implicita)</f>
        <v>5.9052515136362116E-2</v>
      </c>
      <c r="J367" s="49">
        <f>IF(curve_type="Simulada",_xlfn.XLOOKUP(tbl_Bonds[[#This Row],[Coupon]],Simulador!$B$5:$B$147,Simulador!$N$5:$N$147),0)</f>
        <v>0</v>
      </c>
      <c r="K367" s="5" cm="1">
        <f t="array" ref="K36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5.9052515136362116E-2</v>
      </c>
      <c r="L367" s="5" cm="1">
        <f t="array" ref="L367">Interpola_FF(tbl_Bonds[[#This Row],[DU]],dus_svensson,svensson_real_spot)</f>
        <v>5.8772174898984231E-2</v>
      </c>
      <c r="M367" s="49">
        <f>IF(curve_type="Simulada",_xlfn.XLOOKUP(tbl_Bonds[[#This Row],[Coupon]],Simulador!$B$5:$B$147,Simulador!$K$5:$K$147),0)</f>
        <v>0</v>
      </c>
      <c r="N367" s="5" cm="1">
        <f t="array" ref="N36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5.8772174898984231E-2</v>
      </c>
      <c r="O367" s="6">
        <f>IF(curve_type="Mercado",tbl_Bonds[[#This Row],[FC]]/(1+tbl_Bonds[[#This Row],[Real Mercado]])^(tbl_Bonds[[#This Row],[DU]]/252),tbl_Bonds[[#This Row],[FC]]/(1+tbl_Bonds[[#This Row],[Real Simulada]])^(tbl_Bonds[[#This Row],[DU]]/252))</f>
        <v>5.8748244137649258E-3</v>
      </c>
      <c r="P367" s="7">
        <f>tbl_Bonds[[#This Row],[Cotação]]*VNA</f>
        <v>23.236718266356348</v>
      </c>
      <c r="Q367" s="18">
        <f>tbl_Bonds[[#This Row],[Cotação]]%%*VNA</f>
        <v>2.3236718266356352E-3</v>
      </c>
      <c r="R36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-6.2095662107994054E-2</v>
      </c>
      <c r="S36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-5.863322270236937E-2</v>
      </c>
      <c r="T36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6.2079224726514323E-2</v>
      </c>
      <c r="U367" s="18">
        <f>IF(curve_type="Mercado",tbl_Bonds[[#This Row],[VP Cupom]]*LN(1+tbl_Bonds[[#This Row],[Real Mercado]])/252,tbl_Bonds[[#This Row],[VP Cupom]]*LN(1+tbl_Bonds[[#This Row],[Real Simulada]])/252)</f>
        <v>5.2660591916382487E-3</v>
      </c>
      <c r="V367" s="18">
        <f>SUMIF(Dashboard!$B$28:$B$42,tbl_Bonds[[#This Row],[Bond]],Dashboard!$C$28:$C$42)</f>
        <v>9853</v>
      </c>
      <c r="W367" s="18">
        <f>tbl_Bonds[[#This Row],[Quantidade]]*tbl_Bonds[[#This Row],[𝛿P/𝛿VNA]]</f>
        <v>22.895138507840912</v>
      </c>
      <c r="X367" s="18">
        <f>+tbl_Bonds[[#This Row],[Quantidade]]*tbl_Bonds[[#This Row],[𝛿P/𝛿r_real]]</f>
        <v>-611.82855875006544</v>
      </c>
      <c r="Y367" s="18">
        <f>tbl_Bonds[[#This Row],[Quantidade]]*tbl_Bonds[[#This Row],[𝛿P/𝛿r_pre]]</f>
        <v>-577.71314328644542</v>
      </c>
      <c r="Z367" s="18">
        <f>tbl_Bonds[[#This Row],[Quantidade]]*tbl_Bonds[[#This Row],[𝛿P/𝛿r_implicita]]</f>
        <v>611.66660123034558</v>
      </c>
      <c r="AA367" s="18">
        <f>tbl_Bonds[[#This Row],[Quantidade]]*tbl_Bonds[[#This Row],[𝛿P/𝛿du]]</f>
        <v>51.886481215211667</v>
      </c>
    </row>
    <row r="368" spans="1:27">
      <c r="A368" s="2" t="s">
        <v>89</v>
      </c>
      <c r="B368" s="3">
        <v>58669</v>
      </c>
      <c r="C368" s="3">
        <v>55380</v>
      </c>
      <c r="D368" s="4">
        <f>NETWORKDAYS(Dashboard!$C$10,bonds!C368,feriados)-1</f>
        <v>7255</v>
      </c>
      <c r="E368" s="2">
        <f>IF(tbl_Bonds[[#This Row],[Coupon]]&lt;tbl_Bonds[[#This Row],[Maturity]],SQRT(1.06)-1,SQRT(1.06))</f>
        <v>2.9563014098699991E-2</v>
      </c>
      <c r="F368" s="5" cm="1">
        <f t="array" ref="F368">Svensson(betas_pre,tbl_Bonds[[#This Row],[DU]])</f>
        <v>0.12131384587953117</v>
      </c>
      <c r="G368" s="49">
        <f>IF(curve_type="Simulada",_xlfn.XLOOKUP(tbl_Bonds[[#This Row],[Coupon]],Simulador!$B$5:$B$147,Simulador!$H$5:$H$147),0)</f>
        <v>0</v>
      </c>
      <c r="H368" s="5" cm="1">
        <f t="array" ref="H36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0.12131384587953117</v>
      </c>
      <c r="I368" s="5" cm="1">
        <f t="array" ref="I368">Interpola_FF(tbl_Bonds[[#This Row],[DU]],dus_svensson,svensson_implicita)</f>
        <v>5.9075026627574356E-2</v>
      </c>
      <c r="J368" s="49">
        <f>IF(curve_type="Simulada",_xlfn.XLOOKUP(tbl_Bonds[[#This Row],[Coupon]],Simulador!$B$5:$B$147,Simulador!$N$5:$N$147),0)</f>
        <v>0</v>
      </c>
      <c r="K368" s="5" cm="1">
        <f t="array" ref="K36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5.9075026627574356E-2</v>
      </c>
      <c r="L368" s="5" cm="1">
        <f t="array" ref="L368">Interpola_FF(tbl_Bonds[[#This Row],[DU]],dus_svensson,svensson_real_spot)</f>
        <v>5.8767148322258267E-2</v>
      </c>
      <c r="M368" s="49">
        <f>IF(curve_type="Simulada",_xlfn.XLOOKUP(tbl_Bonds[[#This Row],[Coupon]],Simulador!$B$5:$B$147,Simulador!$K$5:$K$147),0)</f>
        <v>0</v>
      </c>
      <c r="N368" s="5" cm="1">
        <f t="array" ref="N36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5.8767148322258267E-2</v>
      </c>
      <c r="O368" s="6">
        <f>IF(curve_type="Mercado",tbl_Bonds[[#This Row],[FC]]/(1+tbl_Bonds[[#This Row],[Real Mercado]])^(tbl_Bonds[[#This Row],[DU]]/252),tbl_Bonds[[#This Row],[FC]]/(1+tbl_Bonds[[#This Row],[Real Simulada]])^(tbl_Bonds[[#This Row],[DU]]/252))</f>
        <v>5.7115162108320617E-3</v>
      </c>
      <c r="P368" s="7">
        <f>tbl_Bonds[[#This Row],[Cotação]]*VNA</f>
        <v>22.590784629047175</v>
      </c>
      <c r="Q368" s="18">
        <f>tbl_Bonds[[#This Row],[Cotação]]%%*VNA</f>
        <v>2.2590784629047175E-3</v>
      </c>
      <c r="R36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-6.1428192102788097E-2</v>
      </c>
      <c r="S36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-5.8001737772569333E-2</v>
      </c>
      <c r="T36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6.1410334503455899E-2</v>
      </c>
      <c r="U368" s="18">
        <f>IF(curve_type="Mercado",tbl_Bonds[[#This Row],[VP Cupom]]*LN(1+tbl_Bonds[[#This Row],[Real Mercado]])/252,tbl_Bonds[[#This Row],[VP Cupom]]*LN(1+tbl_Bonds[[#This Row],[Real Simulada]])/252)</f>
        <v>5.1192478271529984E-3</v>
      </c>
      <c r="V368" s="18">
        <f>SUMIF(Dashboard!$B$28:$B$42,tbl_Bonds[[#This Row],[Bond]],Dashboard!$C$28:$C$42)</f>
        <v>9853</v>
      </c>
      <c r="W368" s="18">
        <f>tbl_Bonds[[#This Row],[Quantidade]]*tbl_Bonds[[#This Row],[𝛿P/𝛿VNA]]</f>
        <v>22.258700095000179</v>
      </c>
      <c r="X368" s="18">
        <f>+tbl_Bonds[[#This Row],[Quantidade]]*tbl_Bonds[[#This Row],[𝛿P/𝛿r_real]]</f>
        <v>-605.25197678877112</v>
      </c>
      <c r="Y368" s="18">
        <f>tbl_Bonds[[#This Row],[Quantidade]]*tbl_Bonds[[#This Row],[𝛿P/𝛿r_pre]]</f>
        <v>-571.4911222731256</v>
      </c>
      <c r="Z368" s="18">
        <f>tbl_Bonds[[#This Row],[Quantidade]]*tbl_Bonds[[#This Row],[𝛿P/𝛿r_implicita]]</f>
        <v>605.07602586255098</v>
      </c>
      <c r="AA368" s="18">
        <f>tbl_Bonds[[#This Row],[Quantidade]]*tbl_Bonds[[#This Row],[𝛿P/𝛿du]]</f>
        <v>50.439948840938492</v>
      </c>
    </row>
    <row r="369" spans="1:27">
      <c r="A369" s="2" t="s">
        <v>89</v>
      </c>
      <c r="B369" s="3">
        <v>58669</v>
      </c>
      <c r="C369" s="3">
        <v>55564</v>
      </c>
      <c r="D369" s="4">
        <f>NETWORKDAYS(Dashboard!$C$10,bonds!C369,feriados)-1</f>
        <v>7381</v>
      </c>
      <c r="E369" s="2">
        <f>IF(tbl_Bonds[[#This Row],[Coupon]]&lt;tbl_Bonds[[#This Row],[Maturity]],SQRT(1.06)-1,SQRT(1.06))</f>
        <v>2.9563014098699991E-2</v>
      </c>
      <c r="F369" s="5" cm="1">
        <f t="array" ref="F369">Svensson(betas_pre,tbl_Bonds[[#This Row],[DU]])</f>
        <v>0.12133187012609083</v>
      </c>
      <c r="G369" s="49">
        <f>IF(curve_type="Simulada",_xlfn.XLOOKUP(tbl_Bonds[[#This Row],[Coupon]],Simulador!$B$5:$B$147,Simulador!$H$5:$H$147),0)</f>
        <v>0</v>
      </c>
      <c r="H369" s="5" cm="1">
        <f t="array" ref="H36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0.12133187012609083</v>
      </c>
      <c r="I369" s="5" cm="1">
        <f t="array" ref="I369">Interpola_FF(tbl_Bonds[[#This Row],[DU]],dus_svensson,svensson_implicita)</f>
        <v>5.9097036281481996E-2</v>
      </c>
      <c r="J369" s="49">
        <f>IF(curve_type="Simulada",_xlfn.XLOOKUP(tbl_Bonds[[#This Row],[Coupon]],Simulador!$B$5:$B$147,Simulador!$N$5:$N$147),0)</f>
        <v>0</v>
      </c>
      <c r="K369" s="5" cm="1">
        <f t="array" ref="K36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5.9097036281481996E-2</v>
      </c>
      <c r="L369" s="5" cm="1">
        <f t="array" ref="L369">Interpola_FF(tbl_Bonds[[#This Row],[DU]],dus_svensson,svensson_real_spot)</f>
        <v>5.8762164032261532E-2</v>
      </c>
      <c r="M369" s="49">
        <f>IF(curve_type="Simulada",_xlfn.XLOOKUP(tbl_Bonds[[#This Row],[Coupon]],Simulador!$B$5:$B$147,Simulador!$K$5:$K$147),0)</f>
        <v>0</v>
      </c>
      <c r="N369" s="5" cm="1">
        <f t="array" ref="N36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5.8762164032261532E-2</v>
      </c>
      <c r="O369" s="6">
        <f>IF(curve_type="Mercado",tbl_Bonds[[#This Row],[FC]]/(1+tbl_Bonds[[#This Row],[Real Mercado]])^(tbl_Bonds[[#This Row],[DU]]/252),tbl_Bonds[[#This Row],[FC]]/(1+tbl_Bonds[[#This Row],[Real Simulada]])^(tbl_Bonds[[#This Row],[DU]]/252))</f>
        <v>5.5515092522827394E-3</v>
      </c>
      <c r="P369" s="7">
        <f>tbl_Bonds[[#This Row],[Cotação]]*VNA</f>
        <v>21.957908417844052</v>
      </c>
      <c r="Q369" s="18">
        <f>tbl_Bonds[[#This Row],[Cotação]]%%*VNA</f>
        <v>2.1957908417844052E-3</v>
      </c>
      <c r="R36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-6.0744536274766059E-2</v>
      </c>
      <c r="S36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-5.7355024209104856E-2</v>
      </c>
      <c r="T36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6.0725329553683739E-2</v>
      </c>
      <c r="U369" s="18">
        <f>IF(curve_type="Mercado",tbl_Bonds[[#This Row],[VP Cupom]]*LN(1+tbl_Bonds[[#This Row],[Real Mercado]])/252,tbl_Bonds[[#This Row],[VP Cupom]]*LN(1+tbl_Bonds[[#This Row],[Real Simulada]])/252)</f>
        <v>4.9754229475285983E-3</v>
      </c>
      <c r="V369" s="18">
        <f>SUMIF(Dashboard!$B$28:$B$42,tbl_Bonds[[#This Row],[Bond]],Dashboard!$C$28:$C$42)</f>
        <v>9853</v>
      </c>
      <c r="W369" s="18">
        <f>tbl_Bonds[[#This Row],[Quantidade]]*tbl_Bonds[[#This Row],[𝛿P/𝛿VNA]]</f>
        <v>21.635127164101743</v>
      </c>
      <c r="X369" s="18">
        <f>+tbl_Bonds[[#This Row],[Quantidade]]*tbl_Bonds[[#This Row],[𝛿P/𝛿r_real]]</f>
        <v>-598.51591591526994</v>
      </c>
      <c r="Y369" s="18">
        <f>tbl_Bonds[[#This Row],[Quantidade]]*tbl_Bonds[[#This Row],[𝛿P/𝛿r_pre]]</f>
        <v>-565.11905353231009</v>
      </c>
      <c r="Z369" s="18">
        <f>tbl_Bonds[[#This Row],[Quantidade]]*tbl_Bonds[[#This Row],[𝛿P/𝛿r_implicita]]</f>
        <v>598.32667209244585</v>
      </c>
      <c r="AA369" s="18">
        <f>tbl_Bonds[[#This Row],[Quantidade]]*tbl_Bonds[[#This Row],[𝛿P/𝛿du]]</f>
        <v>49.022842301999276</v>
      </c>
    </row>
    <row r="370" spans="1:27">
      <c r="A370" s="2" t="s">
        <v>89</v>
      </c>
      <c r="B370" s="3">
        <v>58669</v>
      </c>
      <c r="C370" s="3">
        <v>55746</v>
      </c>
      <c r="D370" s="4">
        <f>NETWORKDAYS(Dashboard!$C$10,bonds!C370,feriados)-1</f>
        <v>7506</v>
      </c>
      <c r="E370" s="2">
        <f>IF(tbl_Bonds[[#This Row],[Coupon]]&lt;tbl_Bonds[[#This Row],[Maturity]],SQRT(1.06)-1,SQRT(1.06))</f>
        <v>2.9563014098699991E-2</v>
      </c>
      <c r="F370" s="5" cm="1">
        <f t="array" ref="F370">Svensson(betas_pre,tbl_Bonds[[#This Row],[DU]])</f>
        <v>0.12134915307226335</v>
      </c>
      <c r="G370" s="49">
        <f>IF(curve_type="Simulada",_xlfn.XLOOKUP(tbl_Bonds[[#This Row],[Coupon]],Simulador!$B$5:$B$147,Simulador!$H$5:$H$147),0)</f>
        <v>0</v>
      </c>
      <c r="H370" s="5" cm="1">
        <f t="array" ref="H37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0.12134915307226335</v>
      </c>
      <c r="I370" s="5" cm="1">
        <f t="array" ref="I370">Interpola_FF(tbl_Bonds[[#This Row],[DU]],dus_svensson,svensson_implicita)</f>
        <v>5.9118217242231763E-2</v>
      </c>
      <c r="J370" s="49">
        <f>IF(curve_type="Simulada",_xlfn.XLOOKUP(tbl_Bonds[[#This Row],[Coupon]],Simulador!$B$5:$B$147,Simulador!$N$5:$N$147),0)</f>
        <v>0</v>
      </c>
      <c r="K370" s="5" cm="1">
        <f t="array" ref="K37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5.9118217242231763E-2</v>
      </c>
      <c r="L370" s="5" cm="1">
        <f t="array" ref="L370">Interpola_FF(tbl_Bonds[[#This Row],[DU]],dus_svensson,svensson_real_spot)</f>
        <v>5.8757308437127342E-2</v>
      </c>
      <c r="M370" s="49">
        <f>IF(curve_type="Simulada",_xlfn.XLOOKUP(tbl_Bonds[[#This Row],[Coupon]],Simulador!$B$5:$B$147,Simulador!$K$5:$K$147),0)</f>
        <v>0</v>
      </c>
      <c r="N370" s="5" cm="1">
        <f t="array" ref="N37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5.8757308437127342E-2</v>
      </c>
      <c r="O370" s="6">
        <f>IF(curve_type="Mercado",tbl_Bonds[[#This Row],[FC]]/(1+tbl_Bonds[[#This Row],[Real Mercado]])^(tbl_Bonds[[#This Row],[DU]]/252),tbl_Bonds[[#This Row],[FC]]/(1+tbl_Bonds[[#This Row],[Real Simulada]])^(tbl_Bonds[[#This Row],[DU]]/252))</f>
        <v>5.3972134360010119E-3</v>
      </c>
      <c r="P370" s="7">
        <f>tbl_Bonds[[#This Row],[Cotação]]*VNA</f>
        <v>21.347621512210679</v>
      </c>
      <c r="Q370" s="18">
        <f>tbl_Bonds[[#This Row],[Cotação]]%%*VNA</f>
        <v>2.1347621512210683E-3</v>
      </c>
      <c r="R37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-6.005664848546681E-2</v>
      </c>
      <c r="S37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-5.6704386153870086E-2</v>
      </c>
      <c r="T37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6.0036183264499651E-2</v>
      </c>
      <c r="U370" s="18">
        <f>IF(curve_type="Mercado",tbl_Bonds[[#This Row],[VP Cupom]]*LN(1+tbl_Bonds[[#This Row],[Real Mercado]])/252,tbl_Bonds[[#This Row],[VP Cupom]]*LN(1+tbl_Bonds[[#This Row],[Real Simulada]])/252)</f>
        <v>4.8367500774677448E-3</v>
      </c>
      <c r="V370" s="18">
        <f>SUMIF(Dashboard!$B$28:$B$42,tbl_Bonds[[#This Row],[Bond]],Dashboard!$C$28:$C$42)</f>
        <v>9853</v>
      </c>
      <c r="W370" s="18">
        <f>tbl_Bonds[[#This Row],[Quantidade]]*tbl_Bonds[[#This Row],[𝛿P/𝛿VNA]]</f>
        <v>21.033811475981185</v>
      </c>
      <c r="X370" s="18">
        <f>+tbl_Bonds[[#This Row],[Quantidade]]*tbl_Bonds[[#This Row],[𝛿P/𝛿r_real]]</f>
        <v>-591.73815752730445</v>
      </c>
      <c r="Y370" s="18">
        <f>tbl_Bonds[[#This Row],[Quantidade]]*tbl_Bonds[[#This Row],[𝛿P/𝛿r_pre]]</f>
        <v>-558.70831677408194</v>
      </c>
      <c r="Z370" s="18">
        <f>tbl_Bonds[[#This Row],[Quantidade]]*tbl_Bonds[[#This Row],[𝛿P/𝛿r_implicita]]</f>
        <v>591.53651370511511</v>
      </c>
      <c r="AA370" s="18">
        <f>tbl_Bonds[[#This Row],[Quantidade]]*tbl_Bonds[[#This Row],[𝛿P/𝛿du]]</f>
        <v>47.656498513289691</v>
      </c>
    </row>
    <row r="371" spans="1:27">
      <c r="A371" s="2" t="s">
        <v>89</v>
      </c>
      <c r="B371" s="3">
        <v>58669</v>
      </c>
      <c r="C371" s="3">
        <v>55934</v>
      </c>
      <c r="D371" s="4">
        <f>NETWORKDAYS(Dashboard!$C$10,bonds!C371,feriados)-1</f>
        <v>7635</v>
      </c>
      <c r="E371" s="2">
        <f>IF(tbl_Bonds[[#This Row],[Coupon]]&lt;tbl_Bonds[[#This Row],[Maturity]],SQRT(1.06)-1,SQRT(1.06))</f>
        <v>2.9563014098699991E-2</v>
      </c>
      <c r="F371" s="5" cm="1">
        <f t="array" ref="F371">Svensson(betas_pre,tbl_Bonds[[#This Row],[DU]])</f>
        <v>0.12136639540975604</v>
      </c>
      <c r="G371" s="49">
        <f>IF(curve_type="Simulada",_xlfn.XLOOKUP(tbl_Bonds[[#This Row],[Coupon]],Simulador!$B$5:$B$147,Simulador!$H$5:$H$147),0)</f>
        <v>0</v>
      </c>
      <c r="H371" s="5" cm="1">
        <f t="array" ref="H37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0.12136639540975604</v>
      </c>
      <c r="I371" s="5" cm="1">
        <f t="array" ref="I371">Interpola_FF(tbl_Bonds[[#This Row],[DU]],dus_svensson,svensson_implicita)</f>
        <v>5.9139416421125635E-2</v>
      </c>
      <c r="J371" s="49">
        <f>IF(curve_type="Simulada",_xlfn.XLOOKUP(tbl_Bonds[[#This Row],[Coupon]],Simulador!$B$5:$B$147,Simulador!$N$5:$N$147),0)</f>
        <v>0</v>
      </c>
      <c r="K371" s="5" cm="1">
        <f t="array" ref="K37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5.9139416421125635E-2</v>
      </c>
      <c r="L371" s="5" cm="1">
        <f t="array" ref="L371">Interpola_FF(tbl_Bonds[[#This Row],[DU]],dus_svensson,svensson_real_spot)</f>
        <v>5.8752396484521574E-2</v>
      </c>
      <c r="M371" s="49">
        <f>IF(curve_type="Simulada",_xlfn.XLOOKUP(tbl_Bonds[[#This Row],[Coupon]],Simulador!$B$5:$B$147,Simulador!$K$5:$K$147),0)</f>
        <v>0</v>
      </c>
      <c r="N371" s="5" cm="1">
        <f t="array" ref="N37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5.8752396484521574E-2</v>
      </c>
      <c r="O371" s="6">
        <f>IF(curve_type="Mercado",tbl_Bonds[[#This Row],[FC]]/(1+tbl_Bonds[[#This Row],[Real Mercado]])^(tbl_Bonds[[#This Row],[DU]]/252),tbl_Bonds[[#This Row],[FC]]/(1+tbl_Bonds[[#This Row],[Real Simulada]])^(tbl_Bonds[[#This Row],[DU]]/252))</f>
        <v>5.2424854276321613E-3</v>
      </c>
      <c r="P371" s="7">
        <f>tbl_Bonds[[#This Row],[Cotação]]*VNA</f>
        <v>20.735625155356622</v>
      </c>
      <c r="Q371" s="18">
        <f>tbl_Bonds[[#This Row],[Cotação]]%%*VNA</f>
        <v>2.0735625155356621E-3</v>
      </c>
      <c r="R37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-5.9337770923327121E-2</v>
      </c>
      <c r="S37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-5.6024513769904936E-2</v>
      </c>
      <c r="T37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5.9316088219082054E-2</v>
      </c>
      <c r="U371" s="18">
        <f>IF(curve_type="Mercado",tbl_Bonds[[#This Row],[VP Cupom]]*LN(1+tbl_Bonds[[#This Row],[Real Mercado]])/252,tbl_Bonds[[#This Row],[VP Cupom]]*LN(1+tbl_Bonds[[#This Row],[Real Simulada]])/252)</f>
        <v>4.6977077579370011E-3</v>
      </c>
      <c r="V371" s="18">
        <f>SUMIF(Dashboard!$B$28:$B$42,tbl_Bonds[[#This Row],[Bond]],Dashboard!$C$28:$C$42)</f>
        <v>9853</v>
      </c>
      <c r="W371" s="18">
        <f>tbl_Bonds[[#This Row],[Quantidade]]*tbl_Bonds[[#This Row],[𝛿P/𝛿VNA]]</f>
        <v>20.430811465572877</v>
      </c>
      <c r="X371" s="18">
        <f>+tbl_Bonds[[#This Row],[Quantidade]]*tbl_Bonds[[#This Row],[𝛿P/𝛿r_real]]</f>
        <v>-584.65505690754208</v>
      </c>
      <c r="Y371" s="18">
        <f>tbl_Bonds[[#This Row],[Quantidade]]*tbl_Bonds[[#This Row],[𝛿P/𝛿r_pre]]</f>
        <v>-552.00953417487335</v>
      </c>
      <c r="Z371" s="18">
        <f>tbl_Bonds[[#This Row],[Quantidade]]*tbl_Bonds[[#This Row],[𝛿P/𝛿r_implicita]]</f>
        <v>584.44141722261543</v>
      </c>
      <c r="AA371" s="18">
        <f>tbl_Bonds[[#This Row],[Quantidade]]*tbl_Bonds[[#This Row],[𝛿P/𝛿du]]</f>
        <v>46.28651453895327</v>
      </c>
    </row>
    <row r="372" spans="1:27">
      <c r="A372" s="2" t="s">
        <v>89</v>
      </c>
      <c r="B372" s="3">
        <v>58669</v>
      </c>
      <c r="C372" s="3">
        <v>56111</v>
      </c>
      <c r="D372" s="4">
        <f>NETWORKDAYS(Dashboard!$C$10,bonds!C372,feriados)-1</f>
        <v>7758</v>
      </c>
      <c r="E372" s="2">
        <f>IF(tbl_Bonds[[#This Row],[Coupon]]&lt;tbl_Bonds[[#This Row],[Maturity]],SQRT(1.06)-1,SQRT(1.06))</f>
        <v>2.9563014098699991E-2</v>
      </c>
      <c r="F372" s="5" cm="1">
        <f t="array" ref="F372">Svensson(betas_pre,tbl_Bonds[[#This Row],[DU]])</f>
        <v>0.12138230148854567</v>
      </c>
      <c r="G372" s="49">
        <f>IF(curve_type="Simulada",_xlfn.XLOOKUP(tbl_Bonds[[#This Row],[Coupon]],Simulador!$B$5:$B$147,Simulador!$H$5:$H$147),0)</f>
        <v>0</v>
      </c>
      <c r="H372" s="5" cm="1">
        <f t="array" ref="H37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0.12138230148854567</v>
      </c>
      <c r="I372" s="5" cm="1">
        <f t="array" ref="I372">Interpola_FF(tbl_Bonds[[#This Row],[DU]],dus_svensson,svensson_implicita)</f>
        <v>5.9159027917921936E-2</v>
      </c>
      <c r="J372" s="49">
        <f>IF(curve_type="Simulada",_xlfn.XLOOKUP(tbl_Bonds[[#This Row],[Coupon]],Simulador!$B$5:$B$147,Simulador!$N$5:$N$147),0)</f>
        <v>0</v>
      </c>
      <c r="K372" s="5" cm="1">
        <f t="array" ref="K37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5.9159027917921936E-2</v>
      </c>
      <c r="L372" s="5" cm="1">
        <f t="array" ref="L372">Interpola_FF(tbl_Bonds[[#This Row],[DU]],dus_svensson,svensson_real_spot)</f>
        <v>5.8747810169011316E-2</v>
      </c>
      <c r="M372" s="49">
        <f>IF(curve_type="Simulada",_xlfn.XLOOKUP(tbl_Bonds[[#This Row],[Coupon]],Simulador!$B$5:$B$147,Simulador!$K$5:$K$147),0)</f>
        <v>0</v>
      </c>
      <c r="N372" s="5" cm="1">
        <f t="array" ref="N37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5.8747810169011316E-2</v>
      </c>
      <c r="O372" s="6">
        <f>IF(curve_type="Mercado",tbl_Bonds[[#This Row],[FC]]/(1+tbl_Bonds[[#This Row],[Real Mercado]])^(tbl_Bonds[[#This Row],[DU]]/252),tbl_Bonds[[#This Row],[FC]]/(1+tbl_Bonds[[#This Row],[Real Simulada]])^(tbl_Bonds[[#This Row],[DU]]/252))</f>
        <v>5.0990951610343825E-3</v>
      </c>
      <c r="P372" s="7">
        <f>tbl_Bonds[[#This Row],[Cotação]]*VNA</f>
        <v>20.16847301728361</v>
      </c>
      <c r="Q372" s="18">
        <f>tbl_Bonds[[#This Row],[Cotação]]%%*VNA</f>
        <v>2.016847301728361E-3</v>
      </c>
      <c r="R37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-5.8644829479280305E-2</v>
      </c>
      <c r="S37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-5.5369239022880629E-2</v>
      </c>
      <c r="T37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5.862206056932074E-2</v>
      </c>
      <c r="U372" s="18">
        <f>IF(curve_type="Mercado",tbl_Bonds[[#This Row],[VP Cupom]]*LN(1+tbl_Bonds[[#This Row],[Real Mercado]])/252,tbl_Bonds[[#This Row],[VP Cupom]]*LN(1+tbl_Bonds[[#This Row],[Real Simulada]])/252)</f>
        <v>4.5688713307867656E-3</v>
      </c>
      <c r="V372" s="18">
        <f>SUMIF(Dashboard!$B$28:$B$42,tbl_Bonds[[#This Row],[Bond]],Dashboard!$C$28:$C$42)</f>
        <v>9853</v>
      </c>
      <c r="W372" s="18">
        <f>tbl_Bonds[[#This Row],[Quantidade]]*tbl_Bonds[[#This Row],[𝛿P/𝛿VNA]]</f>
        <v>19.871996463929541</v>
      </c>
      <c r="X372" s="18">
        <f>+tbl_Bonds[[#This Row],[Quantidade]]*tbl_Bonds[[#This Row],[𝛿P/𝛿r_real]]</f>
        <v>-577.82750485934889</v>
      </c>
      <c r="Y372" s="18">
        <f>tbl_Bonds[[#This Row],[Quantidade]]*tbl_Bonds[[#This Row],[𝛿P/𝛿r_pre]]</f>
        <v>-545.5531120924428</v>
      </c>
      <c r="Z372" s="18">
        <f>tbl_Bonds[[#This Row],[Quantidade]]*tbl_Bonds[[#This Row],[𝛿P/𝛿r_implicita]]</f>
        <v>577.60316278951723</v>
      </c>
      <c r="AA372" s="18">
        <f>tbl_Bonds[[#This Row],[Quantidade]]*tbl_Bonds[[#This Row],[𝛿P/𝛿du]]</f>
        <v>45.017089222241999</v>
      </c>
    </row>
    <row r="373" spans="1:27">
      <c r="A373" s="2" t="s">
        <v>89</v>
      </c>
      <c r="B373" s="3">
        <v>58669</v>
      </c>
      <c r="C373" s="3">
        <v>56296</v>
      </c>
      <c r="D373" s="4">
        <f>NETWORKDAYS(Dashboard!$C$10,bonds!C373,feriados)-1</f>
        <v>7885</v>
      </c>
      <c r="E373" s="2">
        <f>IF(tbl_Bonds[[#This Row],[Coupon]]&lt;tbl_Bonds[[#This Row],[Maturity]],SQRT(1.06)-1,SQRT(1.06))</f>
        <v>2.9563014098699991E-2</v>
      </c>
      <c r="F373" s="5" cm="1">
        <f t="array" ref="F373">Svensson(betas_pre,tbl_Bonds[[#This Row],[DU]])</f>
        <v>0.12139820387031922</v>
      </c>
      <c r="G373" s="49">
        <f>IF(curve_type="Simulada",_xlfn.XLOOKUP(tbl_Bonds[[#This Row],[Coupon]],Simulador!$B$5:$B$147,Simulador!$H$5:$H$147),0)</f>
        <v>0</v>
      </c>
      <c r="H373" s="5" cm="1">
        <f t="array" ref="H37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0.12139820387031922</v>
      </c>
      <c r="I373" s="5" cm="1">
        <f t="array" ref="I373">Interpola_FF(tbl_Bonds[[#This Row],[DU]],dus_svensson,svensson_implicita)</f>
        <v>5.9178682816678041E-2</v>
      </c>
      <c r="J373" s="49">
        <f>IF(curve_type="Simulada",_xlfn.XLOOKUP(tbl_Bonds[[#This Row],[Coupon]],Simulador!$B$5:$B$147,Simulador!$N$5:$N$147),0)</f>
        <v>0</v>
      </c>
      <c r="K373" s="5" cm="1">
        <f t="array" ref="K37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5.9178682816678041E-2</v>
      </c>
      <c r="L373" s="5" cm="1">
        <f t="array" ref="L373">Interpola_FF(tbl_Bonds[[#This Row],[DU]],dus_svensson,svensson_real_spot)</f>
        <v>5.8743177149762404E-2</v>
      </c>
      <c r="M373" s="49">
        <f>IF(curve_type="Simulada",_xlfn.XLOOKUP(tbl_Bonds[[#This Row],[Coupon]],Simulador!$B$5:$B$147,Simulador!$K$5:$K$147),0)</f>
        <v>0</v>
      </c>
      <c r="N373" s="5" cm="1">
        <f t="array" ref="N37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5.8743177149762404E-2</v>
      </c>
      <c r="O373" s="6">
        <f>IF(curve_type="Mercado",tbl_Bonds[[#This Row],[FC]]/(1+tbl_Bonds[[#This Row],[Real Mercado]])^(tbl_Bonds[[#This Row],[DU]]/252),tbl_Bonds[[#This Row],[FC]]/(1+tbl_Bonds[[#This Row],[Real Simulada]])^(tbl_Bonds[[#This Row],[DU]]/252))</f>
        <v>4.9551628948378531E-3</v>
      </c>
      <c r="P373" s="7">
        <f>tbl_Bonds[[#This Row],[Cotação]]*VNA</f>
        <v>19.599177105866982</v>
      </c>
      <c r="Q373" s="18">
        <f>tbl_Bonds[[#This Row],[Cotação]]%%*VNA</f>
        <v>1.9599177105866982E-3</v>
      </c>
      <c r="R37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-5.7922642895562718E-2</v>
      </c>
      <c r="S37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-5.4686375153103393E-2</v>
      </c>
      <c r="T37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5.7898826579275781E-2</v>
      </c>
      <c r="U373" s="18">
        <f>IF(curve_type="Mercado",tbl_Bonds[[#This Row],[VP Cupom]]*LN(1+tbl_Bonds[[#This Row],[Real Mercado]])/252,tbl_Bonds[[#This Row],[VP Cupom]]*LN(1+tbl_Bonds[[#This Row],[Real Simulada]])/252)</f>
        <v>4.4395653662646414E-3</v>
      </c>
      <c r="V373" s="18">
        <f>SUMIF(Dashboard!$B$28:$B$42,tbl_Bonds[[#This Row],[Bond]],Dashboard!$C$28:$C$42)</f>
        <v>9853</v>
      </c>
      <c r="W373" s="18">
        <f>tbl_Bonds[[#This Row],[Quantidade]]*tbl_Bonds[[#This Row],[𝛿P/𝛿VNA]]</f>
        <v>19.311069202410739</v>
      </c>
      <c r="X373" s="18">
        <f>+tbl_Bonds[[#This Row],[Quantidade]]*tbl_Bonds[[#This Row],[𝛿P/𝛿r_real]]</f>
        <v>-570.71180044997948</v>
      </c>
      <c r="Y373" s="18">
        <f>tbl_Bonds[[#This Row],[Quantidade]]*tbl_Bonds[[#This Row],[𝛿P/𝛿r_pre]]</f>
        <v>-538.82485438352774</v>
      </c>
      <c r="Z373" s="18">
        <f>tbl_Bonds[[#This Row],[Quantidade]]*tbl_Bonds[[#This Row],[𝛿P/𝛿r_implicita]]</f>
        <v>570.47713828560427</v>
      </c>
      <c r="AA373" s="18">
        <f>tbl_Bonds[[#This Row],[Quantidade]]*tbl_Bonds[[#This Row],[𝛿P/𝛿du]]</f>
        <v>43.743037553805515</v>
      </c>
    </row>
    <row r="374" spans="1:27">
      <c r="A374" s="2" t="s">
        <v>89</v>
      </c>
      <c r="B374" s="3">
        <v>58669</v>
      </c>
      <c r="C374" s="3">
        <v>56478</v>
      </c>
      <c r="D374" s="4">
        <f>NETWORKDAYS(Dashboard!$C$10,bonds!C374,feriados)-1</f>
        <v>8011</v>
      </c>
      <c r="E374" s="2">
        <f>IF(tbl_Bonds[[#This Row],[Coupon]]&lt;tbl_Bonds[[#This Row],[Maturity]],SQRT(1.06)-1,SQRT(1.06))</f>
        <v>2.9563014098699991E-2</v>
      </c>
      <c r="F374" s="5" cm="1">
        <f t="array" ref="F374">Svensson(betas_pre,tbl_Bonds[[#This Row],[DU]])</f>
        <v>0.12141348253052206</v>
      </c>
      <c r="G374" s="49">
        <f>IF(curve_type="Simulada",_xlfn.XLOOKUP(tbl_Bonds[[#This Row],[Coupon]],Simulador!$B$5:$B$147,Simulador!$H$5:$H$147),0)</f>
        <v>0</v>
      </c>
      <c r="H374" s="5" cm="1">
        <f t="array" ref="H37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0.12141348253052206</v>
      </c>
      <c r="I374" s="5" cm="1">
        <f t="array" ref="I374">Interpola_FF(tbl_Bonds[[#This Row],[DU]],dus_svensson,svensson_implicita)</f>
        <v>5.9197608042833805E-2</v>
      </c>
      <c r="J374" s="49">
        <f>IF(curve_type="Simulada",_xlfn.XLOOKUP(tbl_Bonds[[#This Row],[Coupon]],Simulador!$B$5:$B$147,Simulador!$N$5:$N$147),0)</f>
        <v>0</v>
      </c>
      <c r="K374" s="5" cm="1">
        <f t="array" ref="K37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5.9197608042833805E-2</v>
      </c>
      <c r="L374" s="5" cm="1">
        <f t="array" ref="L374">Interpola_FF(tbl_Bonds[[#This Row],[DU]],dus_svensson,svensson_real_spot)</f>
        <v>5.8738684795924589E-2</v>
      </c>
      <c r="M374" s="49">
        <f>IF(curve_type="Simulada",_xlfn.XLOOKUP(tbl_Bonds[[#This Row],[Coupon]],Simulador!$B$5:$B$147,Simulador!$K$5:$K$147),0)</f>
        <v>0</v>
      </c>
      <c r="N374" s="5" cm="1">
        <f t="array" ref="N37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5.8738684795924589E-2</v>
      </c>
      <c r="O374" s="6">
        <f>IF(curve_type="Mercado",tbl_Bonds[[#This Row],[FC]]/(1+tbl_Bonds[[#This Row],[Real Mercado]])^(tbl_Bonds[[#This Row],[DU]]/252),tbl_Bonds[[#This Row],[FC]]/(1+tbl_Bonds[[#This Row],[Real Simulada]])^(tbl_Bonds[[#This Row],[DU]]/252))</f>
        <v>4.8163851019270218E-3</v>
      </c>
      <c r="P374" s="7">
        <f>tbl_Bonds[[#This Row],[Cotação]]*VNA</f>
        <v>19.050268704802253</v>
      </c>
      <c r="Q374" s="18">
        <f>tbl_Bonds[[#This Row],[Cotação]]%%*VNA</f>
        <v>1.9050268704802252E-3</v>
      </c>
      <c r="R37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-5.7200327438497699E-2</v>
      </c>
      <c r="S37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-5.400345215731836E-2</v>
      </c>
      <c r="T37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5.7175543914143555E-2</v>
      </c>
      <c r="U374" s="18">
        <f>IF(curve_type="Mercado",tbl_Bonds[[#This Row],[VP Cupom]]*LN(1+tbl_Bonds[[#This Row],[Real Mercado]])/252,tbl_Bonds[[#This Row],[VP Cupom]]*LN(1+tbl_Bonds[[#This Row],[Real Simulada]])/252)</f>
        <v>4.3149069986074739E-3</v>
      </c>
      <c r="V374" s="18">
        <f>SUMIF(Dashboard!$B$28:$B$42,tbl_Bonds[[#This Row],[Bond]],Dashboard!$C$28:$C$42)</f>
        <v>9853</v>
      </c>
      <c r="W374" s="18">
        <f>tbl_Bonds[[#This Row],[Quantidade]]*tbl_Bonds[[#This Row],[𝛿P/𝛿VNA]]</f>
        <v>18.770229754841658</v>
      </c>
      <c r="X374" s="18">
        <f>+tbl_Bonds[[#This Row],[Quantidade]]*tbl_Bonds[[#This Row],[𝛿P/𝛿r_real]]</f>
        <v>-563.59482625151782</v>
      </c>
      <c r="Y374" s="18">
        <f>tbl_Bonds[[#This Row],[Quantidade]]*tbl_Bonds[[#This Row],[𝛿P/𝛿r_pre]]</f>
        <v>-532.09601410605785</v>
      </c>
      <c r="Z374" s="18">
        <f>tbl_Bonds[[#This Row],[Quantidade]]*tbl_Bonds[[#This Row],[𝛿P/𝛿r_implicita]]</f>
        <v>563.35063418605648</v>
      </c>
      <c r="AA374" s="18">
        <f>tbl_Bonds[[#This Row],[Quantidade]]*tbl_Bonds[[#This Row],[𝛿P/𝛿du]]</f>
        <v>42.514778657279443</v>
      </c>
    </row>
    <row r="375" spans="1:27">
      <c r="A375" s="2" t="s">
        <v>89</v>
      </c>
      <c r="B375" s="3">
        <v>58669</v>
      </c>
      <c r="C375" s="3">
        <v>56660</v>
      </c>
      <c r="D375" s="4">
        <f>NETWORKDAYS(Dashboard!$C$10,bonds!C375,feriados)-1</f>
        <v>8136</v>
      </c>
      <c r="E375" s="2">
        <f>IF(tbl_Bonds[[#This Row],[Coupon]]&lt;tbl_Bonds[[#This Row],[Maturity]],SQRT(1.06)-1,SQRT(1.06))</f>
        <v>2.9563014098699991E-2</v>
      </c>
      <c r="F375" s="5" cm="1">
        <f t="array" ref="F375">Svensson(betas_pre,tbl_Bonds[[#This Row],[DU]])</f>
        <v>0.12142817209738736</v>
      </c>
      <c r="G375" s="49">
        <f>IF(curve_type="Simulada",_xlfn.XLOOKUP(tbl_Bonds[[#This Row],[Coupon]],Simulador!$B$5:$B$147,Simulador!$H$5:$H$147),0)</f>
        <v>0</v>
      </c>
      <c r="H375" s="5" cm="1">
        <f t="array" ref="H37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0.12142817209738736</v>
      </c>
      <c r="I375" s="5" cm="1">
        <f t="array" ref="I375">Interpola_FF(tbl_Bonds[[#This Row],[DU]],dus_svensson,svensson_implicita)</f>
        <v>5.9215838179056624E-2</v>
      </c>
      <c r="J375" s="49">
        <f>IF(curve_type="Simulada",_xlfn.XLOOKUP(tbl_Bonds[[#This Row],[Coupon]],Simulador!$B$5:$B$147,Simulador!$N$5:$N$147),0)</f>
        <v>0</v>
      </c>
      <c r="K375" s="5" cm="1">
        <f t="array" ref="K37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5.9215838179056624E-2</v>
      </c>
      <c r="L375" s="5" cm="1">
        <f t="array" ref="L375">Interpola_FF(tbl_Bonds[[#This Row],[DU]],dus_svensson,svensson_real_spot)</f>
        <v>5.8734331216131475E-2</v>
      </c>
      <c r="M375" s="49">
        <f>IF(curve_type="Simulada",_xlfn.XLOOKUP(tbl_Bonds[[#This Row],[Coupon]],Simulador!$B$5:$B$147,Simulador!$K$5:$K$147),0)</f>
        <v>0</v>
      </c>
      <c r="N375" s="5" cm="1">
        <f t="array" ref="N37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5.8734331216131475E-2</v>
      </c>
      <c r="O375" s="6">
        <f>IF(curve_type="Mercado",tbl_Bonds[[#This Row],[FC]]/(1+tbl_Bonds[[#This Row],[Real Mercado]])^(tbl_Bonds[[#This Row],[DU]]/252),tbl_Bonds[[#This Row],[FC]]/(1+tbl_Bonds[[#This Row],[Real Simulada]])^(tbl_Bonds[[#This Row],[DU]]/252))</f>
        <v>4.6825544781552986E-3</v>
      </c>
      <c r="P375" s="7">
        <f>tbl_Bonds[[#This Row],[Cotação]]*VNA</f>
        <v>18.52092786310698</v>
      </c>
      <c r="Q375" s="18">
        <f>tbl_Bonds[[#This Row],[Cotação]]%%*VNA</f>
        <v>1.852092786310698E-3</v>
      </c>
      <c r="R37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-5.6478888769738785E-2</v>
      </c>
      <c r="S37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-5.3321416326350679E-2</v>
      </c>
      <c r="T37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5.6453214056260095E-2</v>
      </c>
      <c r="U375" s="18">
        <f>IF(curve_type="Mercado",tbl_Bonds[[#This Row],[VP Cupom]]*LN(1+tbl_Bonds[[#This Row],[Real Mercado]])/252,tbl_Bonds[[#This Row],[VP Cupom]]*LN(1+tbl_Bonds[[#This Row],[Real Simulada]])/252)</f>
        <v>4.1947084922981199E-3</v>
      </c>
      <c r="V375" s="18">
        <f>SUMIF(Dashboard!$B$28:$B$42,tbl_Bonds[[#This Row],[Bond]],Dashboard!$C$28:$C$42)</f>
        <v>9853</v>
      </c>
      <c r="W375" s="18">
        <f>tbl_Bonds[[#This Row],[Quantidade]]*tbl_Bonds[[#This Row],[𝛿P/𝛿VNA]]</f>
        <v>18.248670223519309</v>
      </c>
      <c r="X375" s="18">
        <f>+tbl_Bonds[[#This Row],[Quantidade]]*tbl_Bonds[[#This Row],[𝛿P/𝛿r_real]]</f>
        <v>-556.48649104823619</v>
      </c>
      <c r="Y375" s="18">
        <f>tbl_Bonds[[#This Row],[Quantidade]]*tbl_Bonds[[#This Row],[𝛿P/𝛿r_pre]]</f>
        <v>-525.37591506353328</v>
      </c>
      <c r="Z375" s="18">
        <f>tbl_Bonds[[#This Row],[Quantidade]]*tbl_Bonds[[#This Row],[𝛿P/𝛿r_implicita]]</f>
        <v>556.23351809633073</v>
      </c>
      <c r="AA375" s="18">
        <f>tbl_Bonds[[#This Row],[Quantidade]]*tbl_Bonds[[#This Row],[𝛿P/𝛿du]]</f>
        <v>41.330462774613373</v>
      </c>
    </row>
    <row r="376" spans="1:27">
      <c r="A376" s="2" t="s">
        <v>89</v>
      </c>
      <c r="B376" s="3">
        <v>58669</v>
      </c>
      <c r="C376" s="3">
        <v>56842</v>
      </c>
      <c r="D376" s="4">
        <f>NETWORKDAYS(Dashboard!$C$10,bonds!C376,feriados)-1</f>
        <v>8261</v>
      </c>
      <c r="E376" s="2">
        <f>IF(tbl_Bonds[[#This Row],[Coupon]]&lt;tbl_Bonds[[#This Row],[Maturity]],SQRT(1.06)-1,SQRT(1.06))</f>
        <v>2.9563014098699991E-2</v>
      </c>
      <c r="F376" s="5" cm="1">
        <f t="array" ref="F376">Svensson(betas_pre,tbl_Bonds[[#This Row],[DU]])</f>
        <v>0.12144241691250647</v>
      </c>
      <c r="G376" s="49">
        <f>IF(curve_type="Simulada",_xlfn.XLOOKUP(tbl_Bonds[[#This Row],[Coupon]],Simulador!$B$5:$B$147,Simulador!$H$5:$H$147),0)</f>
        <v>0</v>
      </c>
      <c r="H376" s="5" cm="1">
        <f t="array" ref="H37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0.12144241691250647</v>
      </c>
      <c r="I376" s="5" cm="1">
        <f t="array" ref="I376">Interpola_FF(tbl_Bonds[[#This Row],[DU]],dus_svensson,svensson_implicita)</f>
        <v>5.92335457572577E-2</v>
      </c>
      <c r="J376" s="49">
        <f>IF(curve_type="Simulada",_xlfn.XLOOKUP(tbl_Bonds[[#This Row],[Coupon]],Simulador!$B$5:$B$147,Simulador!$N$5:$N$147),0)</f>
        <v>0</v>
      </c>
      <c r="K376" s="5" cm="1">
        <f t="array" ref="K37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5.92335457572577E-2</v>
      </c>
      <c r="L376" s="5" cm="1">
        <f t="array" ref="L376">Interpola_FF(tbl_Bonds[[#This Row],[DU]],dus_svensson,svensson_real_spot)</f>
        <v>5.8730080214894009E-2</v>
      </c>
      <c r="M376" s="49">
        <f>IF(curve_type="Simulada",_xlfn.XLOOKUP(tbl_Bonds[[#This Row],[Coupon]],Simulador!$B$5:$B$147,Simulador!$K$5:$K$147),0)</f>
        <v>0</v>
      </c>
      <c r="N376" s="5" cm="1">
        <f t="array" ref="N37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5.8730080214894009E-2</v>
      </c>
      <c r="O376" s="6">
        <f>IF(curve_type="Mercado",tbl_Bonds[[#This Row],[FC]]/(1+tbl_Bonds[[#This Row],[Real Mercado]])^(tbl_Bonds[[#This Row],[DU]]/252),tbl_Bonds[[#This Row],[FC]]/(1+tbl_Bonds[[#This Row],[Real Simulada]])^(tbl_Bonds[[#This Row],[DU]]/252))</f>
        <v>4.5524466573922447E-3</v>
      </c>
      <c r="P376" s="7">
        <f>tbl_Bonds[[#This Row],[Cotação]]*VNA</f>
        <v>18.006311840160485</v>
      </c>
      <c r="Q376" s="18">
        <f>tbl_Bonds[[#This Row],[Cotação]]%%*VNA</f>
        <v>1.8006311840160487E-3</v>
      </c>
      <c r="R37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-5.5753430713213682E-2</v>
      </c>
      <c r="S37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-5.2635635321632269E-2</v>
      </c>
      <c r="T37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5.5726930408550188E-2</v>
      </c>
      <c r="U376" s="18">
        <f>IF(curve_type="Mercado",tbl_Bonds[[#This Row],[VP Cupom]]*LN(1+tbl_Bonds[[#This Row],[Real Mercado]])/252,tbl_Bonds[[#This Row],[VP Cupom]]*LN(1+tbl_Bonds[[#This Row],[Real Simulada]])/252)</f>
        <v>4.0778688902509824E-3</v>
      </c>
      <c r="V376" s="18">
        <f>SUMIF(Dashboard!$B$28:$B$42,tbl_Bonds[[#This Row],[Bond]],Dashboard!$C$28:$C$42)</f>
        <v>9853</v>
      </c>
      <c r="W376" s="18">
        <f>tbl_Bonds[[#This Row],[Quantidade]]*tbl_Bonds[[#This Row],[𝛿P/𝛿VNA]]</f>
        <v>17.741619056110128</v>
      </c>
      <c r="X376" s="18">
        <f>+tbl_Bonds[[#This Row],[Quantidade]]*tbl_Bonds[[#This Row],[𝛿P/𝛿r_real]]</f>
        <v>-549.33855281729439</v>
      </c>
      <c r="Y376" s="18">
        <f>tbl_Bonds[[#This Row],[Quantidade]]*tbl_Bonds[[#This Row],[𝛿P/𝛿r_pre]]</f>
        <v>-518.6189148240428</v>
      </c>
      <c r="Z376" s="18">
        <f>tbl_Bonds[[#This Row],[Quantidade]]*tbl_Bonds[[#This Row],[𝛿P/𝛿r_implicita]]</f>
        <v>549.07744531544495</v>
      </c>
      <c r="AA376" s="18">
        <f>tbl_Bonds[[#This Row],[Quantidade]]*tbl_Bonds[[#This Row],[𝛿P/𝛿du]]</f>
        <v>40.179242175642926</v>
      </c>
    </row>
    <row r="377" spans="1:27">
      <c r="A377" s="2" t="s">
        <v>89</v>
      </c>
      <c r="B377" s="3">
        <v>58669</v>
      </c>
      <c r="C377" s="3">
        <v>57026</v>
      </c>
      <c r="D377" s="4">
        <f>NETWORKDAYS(Dashboard!$C$10,bonds!C377,feriados)-1</f>
        <v>8387</v>
      </c>
      <c r="E377" s="2">
        <f>IF(tbl_Bonds[[#This Row],[Coupon]]&lt;tbl_Bonds[[#This Row],[Maturity]],SQRT(1.06)-1,SQRT(1.06))</f>
        <v>2.9563014098699991E-2</v>
      </c>
      <c r="F377" s="5" cm="1">
        <f t="array" ref="F377">Svensson(betas_pre,tbl_Bonds[[#This Row],[DU]])</f>
        <v>0.12145634577105889</v>
      </c>
      <c r="G377" s="49">
        <f>IF(curve_type="Simulada",_xlfn.XLOOKUP(tbl_Bonds[[#This Row],[Coupon]],Simulador!$B$5:$B$147,Simulador!$H$5:$H$147),0)</f>
        <v>0</v>
      </c>
      <c r="H377" s="5" cm="1">
        <f t="array" ref="H377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0.12145634577105889</v>
      </c>
      <c r="I377" s="5" cm="1">
        <f t="array" ref="I377">Interpola_FF(tbl_Bonds[[#This Row],[DU]],dus_svensson,svensson_implicita)</f>
        <v>5.9250885939442277E-2</v>
      </c>
      <c r="J377" s="49">
        <f>IF(curve_type="Simulada",_xlfn.XLOOKUP(tbl_Bonds[[#This Row],[Coupon]],Simulador!$B$5:$B$147,Simulador!$N$5:$N$147),0)</f>
        <v>0</v>
      </c>
      <c r="K377" s="5" cm="1">
        <f t="array" ref="K377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5.9250885939442277E-2</v>
      </c>
      <c r="L377" s="5" cm="1">
        <f t="array" ref="L377">Interpola_FF(tbl_Bonds[[#This Row],[DU]],dus_svensson,svensson_real_spot)</f>
        <v>5.8725898286665412E-2</v>
      </c>
      <c r="M377" s="49">
        <f>IF(curve_type="Simulada",_xlfn.XLOOKUP(tbl_Bonds[[#This Row],[Coupon]],Simulador!$B$5:$B$147,Simulador!$K$5:$K$147),0)</f>
        <v>0</v>
      </c>
      <c r="N377" s="5" cm="1">
        <f t="array" ref="N377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5.8725898286665412E-2</v>
      </c>
      <c r="O377" s="6">
        <f>IF(curve_type="Mercado",tbl_Bonds[[#This Row],[FC]]/(1+tbl_Bonds[[#This Row],[Real Mercado]])^(tbl_Bonds[[#This Row],[DU]]/252),tbl_Bonds[[#This Row],[FC]]/(1+tbl_Bonds[[#This Row],[Real Simulada]])^(tbl_Bonds[[#This Row],[DU]]/252))</f>
        <v>4.4249598304879779E-3</v>
      </c>
      <c r="P377" s="7">
        <f>tbl_Bonds[[#This Row],[Cotação]]*VNA</f>
        <v>17.502062645494306</v>
      </c>
      <c r="Q377" s="18">
        <f>tbl_Bonds[[#This Row],[Cotação]]%%*VNA</f>
        <v>1.7502062645494303E-3</v>
      </c>
      <c r="R377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-5.5018886847077994E-2</v>
      </c>
      <c r="S377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-5.1941317683663953E-2</v>
      </c>
      <c r="T377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5.499161822498172E-2</v>
      </c>
      <c r="U377" s="18">
        <f>IF(curve_type="Mercado",tbl_Bonds[[#This Row],[VP Cupom]]*LN(1+tbl_Bonds[[#This Row],[Real Mercado]])/252,tbl_Bonds[[#This Row],[VP Cupom]]*LN(1+tbl_Bonds[[#This Row],[Real Simulada]])/252)</f>
        <v>3.9633978158970422E-3</v>
      </c>
      <c r="V377" s="18">
        <f>SUMIF(Dashboard!$B$28:$B$42,tbl_Bonds[[#This Row],[Bond]],Dashboard!$C$28:$C$42)</f>
        <v>9853</v>
      </c>
      <c r="W377" s="18">
        <f>tbl_Bonds[[#This Row],[Quantidade]]*tbl_Bonds[[#This Row],[𝛿P/𝛿VNA]]</f>
        <v>17.244782324605538</v>
      </c>
      <c r="X377" s="18">
        <f>+tbl_Bonds[[#This Row],[Quantidade]]*tbl_Bonds[[#This Row],[𝛿P/𝛿r_real]]</f>
        <v>-542.10109210425946</v>
      </c>
      <c r="Y377" s="18">
        <f>tbl_Bonds[[#This Row],[Quantidade]]*tbl_Bonds[[#This Row],[𝛿P/𝛿r_pre]]</f>
        <v>-511.77780313714095</v>
      </c>
      <c r="Z377" s="18">
        <f>tbl_Bonds[[#This Row],[Quantidade]]*tbl_Bonds[[#This Row],[𝛿P/𝛿r_implicita]]</f>
        <v>541.83241437074491</v>
      </c>
      <c r="AA377" s="18">
        <f>tbl_Bonds[[#This Row],[Quantidade]]*tbl_Bonds[[#This Row],[𝛿P/𝛿du]]</f>
        <v>39.051358680033559</v>
      </c>
    </row>
    <row r="378" spans="1:27">
      <c r="A378" s="2" t="s">
        <v>89</v>
      </c>
      <c r="B378" s="3">
        <v>58669</v>
      </c>
      <c r="C378" s="3">
        <v>57207</v>
      </c>
      <c r="D378" s="4">
        <f>NETWORKDAYS(Dashboard!$C$10,bonds!C378,feriados)-1</f>
        <v>8512</v>
      </c>
      <c r="E378" s="2">
        <f>IF(tbl_Bonds[[#This Row],[Coupon]]&lt;tbl_Bonds[[#This Row],[Maturity]],SQRT(1.06)-1,SQRT(1.06))</f>
        <v>2.9563014098699991E-2</v>
      </c>
      <c r="F378" s="5" cm="1">
        <f t="array" ref="F378">Svensson(betas_pre,tbl_Bonds[[#This Row],[DU]])</f>
        <v>0.12146975642842052</v>
      </c>
      <c r="G378" s="49">
        <f>IF(curve_type="Simulada",_xlfn.XLOOKUP(tbl_Bonds[[#This Row],[Coupon]],Simulador!$B$5:$B$147,Simulador!$H$5:$H$147),0)</f>
        <v>0</v>
      </c>
      <c r="H378" s="5" cm="1">
        <f t="array" ref="H378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0.12146975642842052</v>
      </c>
      <c r="I378" s="5" cm="1">
        <f t="array" ref="I378">Interpola_FF(tbl_Bonds[[#This Row],[DU]],dus_svensson,svensson_implicita)</f>
        <v>5.9267602491539062E-2</v>
      </c>
      <c r="J378" s="49">
        <f>IF(curve_type="Simulada",_xlfn.XLOOKUP(tbl_Bonds[[#This Row],[Coupon]],Simulador!$B$5:$B$147,Simulador!$N$5:$N$147),0)</f>
        <v>0</v>
      </c>
      <c r="K378" s="5" cm="1">
        <f t="array" ref="K378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5.9267602491539062E-2</v>
      </c>
      <c r="L378" s="5" cm="1">
        <f t="array" ref="L378">Interpola_FF(tbl_Bonds[[#This Row],[DU]],dus_svensson,svensson_real_spot)</f>
        <v>5.8721850596649583E-2</v>
      </c>
      <c r="M378" s="49">
        <f>IF(curve_type="Simulada",_xlfn.XLOOKUP(tbl_Bonds[[#This Row],[Coupon]],Simulador!$B$5:$B$147,Simulador!$K$5:$K$147),0)</f>
        <v>0</v>
      </c>
      <c r="N378" s="5" cm="1">
        <f t="array" ref="N378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5.8721850596649583E-2</v>
      </c>
      <c r="O378" s="6">
        <f>IF(curve_type="Mercado",tbl_Bonds[[#This Row],[FC]]/(1+tbl_Bonds[[#This Row],[Real Mercado]])^(tbl_Bonds[[#This Row],[DU]]/252),tbl_Bonds[[#This Row],[FC]]/(1+tbl_Bonds[[#This Row],[Real Simulada]])^(tbl_Bonds[[#This Row],[DU]]/252))</f>
        <v>4.3020157460244204E-3</v>
      </c>
      <c r="P378" s="7">
        <f>tbl_Bonds[[#This Row],[Cotação]]*VNA</f>
        <v>17.015781379538307</v>
      </c>
      <c r="Q378" s="18">
        <f>tbl_Bonds[[#This Row],[Cotação]]%%*VNA</f>
        <v>1.7015781379538309E-3</v>
      </c>
      <c r="R378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-5.4287656557705573E-2</v>
      </c>
      <c r="S378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-5.1250181125283588E-2</v>
      </c>
      <c r="T378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5.4259686606381703E-2</v>
      </c>
      <c r="U378" s="18">
        <f>IF(curve_type="Mercado",tbl_Bonds[[#This Row],[VP Cupom]]*LN(1+tbl_Bonds[[#This Row],[Real Mercado]])/252,tbl_Bonds[[#This Row],[VP Cupom]]*LN(1+tbl_Bonds[[#This Row],[Real Simulada]])/252)</f>
        <v>3.8530197225727886E-3</v>
      </c>
      <c r="V378" s="18">
        <f>SUMIF(Dashboard!$B$28:$B$42,tbl_Bonds[[#This Row],[Bond]],Dashboard!$C$28:$C$42)</f>
        <v>9853</v>
      </c>
      <c r="W378" s="18">
        <f>tbl_Bonds[[#This Row],[Quantidade]]*tbl_Bonds[[#This Row],[𝛿P/𝛿VNA]]</f>
        <v>16.765649393259096</v>
      </c>
      <c r="X378" s="18">
        <f>+tbl_Bonds[[#This Row],[Quantidade]]*tbl_Bonds[[#This Row],[𝛿P/𝛿r_real]]</f>
        <v>-534.89628006307305</v>
      </c>
      <c r="Y378" s="18">
        <f>tbl_Bonds[[#This Row],[Quantidade]]*tbl_Bonds[[#This Row],[𝛿P/𝛿r_pre]]</f>
        <v>-504.96803462741917</v>
      </c>
      <c r="Z378" s="18">
        <f>tbl_Bonds[[#This Row],[Quantidade]]*tbl_Bonds[[#This Row],[𝛿P/𝛿r_implicita]]</f>
        <v>534.62069213267887</v>
      </c>
      <c r="AA378" s="18">
        <f>tbl_Bonds[[#This Row],[Quantidade]]*tbl_Bonds[[#This Row],[𝛿P/𝛿du]]</f>
        <v>37.963803326509684</v>
      </c>
    </row>
    <row r="379" spans="1:27">
      <c r="A379" s="2" t="s">
        <v>89</v>
      </c>
      <c r="B379" s="3">
        <v>58669</v>
      </c>
      <c r="C379" s="3">
        <v>57391</v>
      </c>
      <c r="D379" s="4">
        <f>NETWORKDAYS(Dashboard!$C$10,bonds!C379,feriados)-1</f>
        <v>8638</v>
      </c>
      <c r="E379" s="2">
        <f>IF(tbl_Bonds[[#This Row],[Coupon]]&lt;tbl_Bonds[[#This Row],[Maturity]],SQRT(1.06)-1,SQRT(1.06))</f>
        <v>2.9563014098699991E-2</v>
      </c>
      <c r="F379" s="5" cm="1">
        <f t="array" ref="F379">Svensson(betas_pre,tbl_Bonds[[#This Row],[DU]])</f>
        <v>0.1214828813972245</v>
      </c>
      <c r="G379" s="49">
        <f>IF(curve_type="Simulada",_xlfn.XLOOKUP(tbl_Bonds[[#This Row],[Coupon]],Simulador!$B$5:$B$147,Simulador!$H$5:$H$147),0)</f>
        <v>0</v>
      </c>
      <c r="H379" s="5" cm="1">
        <f t="array" ref="H379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0.1214828813972245</v>
      </c>
      <c r="I379" s="5" cm="1">
        <f t="array" ref="I379">Interpola_FF(tbl_Bonds[[#This Row],[DU]],dus_svensson,svensson_implicita)</f>
        <v>5.9283981376885508E-2</v>
      </c>
      <c r="J379" s="49">
        <f>IF(curve_type="Simulada",_xlfn.XLOOKUP(tbl_Bonds[[#This Row],[Coupon]],Simulador!$B$5:$B$147,Simulador!$N$5:$N$147),0)</f>
        <v>0</v>
      </c>
      <c r="K379" s="5" cm="1">
        <f t="array" ref="K379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5.9283981376885508E-2</v>
      </c>
      <c r="L379" s="5" cm="1">
        <f t="array" ref="L379">Interpola_FF(tbl_Bonds[[#This Row],[DU]],dus_svensson,svensson_real_spot)</f>
        <v>5.871787082096791E-2</v>
      </c>
      <c r="M379" s="49">
        <f>IF(curve_type="Simulada",_xlfn.XLOOKUP(tbl_Bonds[[#This Row],[Coupon]],Simulador!$B$5:$B$147,Simulador!$K$5:$K$147),0)</f>
        <v>0</v>
      </c>
      <c r="N379" s="5" cm="1">
        <f t="array" ref="N379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5.871787082096791E-2</v>
      </c>
      <c r="O379" s="6">
        <f>IF(curve_type="Mercado",tbl_Bonds[[#This Row],[FC]]/(1+tbl_Bonds[[#This Row],[Real Mercado]])^(tbl_Bonds[[#This Row],[DU]]/252),tbl_Bonds[[#This Row],[FC]]/(1+tbl_Bonds[[#This Row],[Real Simulada]])^(tbl_Bonds[[#This Row],[DU]]/252))</f>
        <v>4.1815473317394734E-3</v>
      </c>
      <c r="P379" s="7">
        <f>tbl_Bonds[[#This Row],[Cotação]]*VNA</f>
        <v>16.539292142485507</v>
      </c>
      <c r="Q379" s="18">
        <f>tbl_Bonds[[#This Row],[Cotação]]%%*VNA</f>
        <v>1.6539292142485509E-3</v>
      </c>
      <c r="R379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-5.3548749509843098E-2</v>
      </c>
      <c r="S379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-5.0551835376879711E-2</v>
      </c>
      <c r="T379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5.3520131518169554E-2</v>
      </c>
      <c r="U379" s="18">
        <f>IF(curve_type="Mercado",tbl_Bonds[[#This Row],[VP Cupom]]*LN(1+tbl_Bonds[[#This Row],[Real Mercado]])/252,tbl_Bonds[[#This Row],[VP Cupom]]*LN(1+tbl_Bonds[[#This Row],[Real Simulada]])/252)</f>
        <v>3.744877732526563E-3</v>
      </c>
      <c r="V379" s="18">
        <f>SUMIF(Dashboard!$B$28:$B$42,tbl_Bonds[[#This Row],[Bond]],Dashboard!$C$28:$C$42)</f>
        <v>9853</v>
      </c>
      <c r="W379" s="18">
        <f>tbl_Bonds[[#This Row],[Quantidade]]*tbl_Bonds[[#This Row],[𝛿P/𝛿VNA]]</f>
        <v>16.296164547990973</v>
      </c>
      <c r="X379" s="18">
        <f>+tbl_Bonds[[#This Row],[Quantidade]]*tbl_Bonds[[#This Row],[𝛿P/𝛿r_real]]</f>
        <v>-527.61582892048409</v>
      </c>
      <c r="Y379" s="18">
        <f>tbl_Bonds[[#This Row],[Quantidade]]*tbl_Bonds[[#This Row],[𝛿P/𝛿r_pre]]</f>
        <v>-498.08723396839582</v>
      </c>
      <c r="Z379" s="18">
        <f>tbl_Bonds[[#This Row],[Quantidade]]*tbl_Bonds[[#This Row],[𝛿P/𝛿r_implicita]]</f>
        <v>527.33385584852465</v>
      </c>
      <c r="AA379" s="18">
        <f>tbl_Bonds[[#This Row],[Quantidade]]*tbl_Bonds[[#This Row],[𝛿P/𝛿du]]</f>
        <v>36.898280298584226</v>
      </c>
    </row>
    <row r="380" spans="1:27">
      <c r="A380" s="2" t="s">
        <v>89</v>
      </c>
      <c r="B380" s="3">
        <v>58669</v>
      </c>
      <c r="C380" s="3">
        <v>57572</v>
      </c>
      <c r="D380" s="4">
        <f>NETWORKDAYS(Dashboard!$C$10,bonds!C380,feriados)-1</f>
        <v>8762</v>
      </c>
      <c r="E380" s="2">
        <f>IF(tbl_Bonds[[#This Row],[Coupon]]&lt;tbl_Bonds[[#This Row],[Maturity]],SQRT(1.06)-1,SQRT(1.06))</f>
        <v>2.9563014098699991E-2</v>
      </c>
      <c r="F380" s="5" cm="1">
        <f t="array" ref="F380">Svensson(betas_pre,tbl_Bonds[[#This Row],[DU]])</f>
        <v>0.12149542933080461</v>
      </c>
      <c r="G380" s="49">
        <f>IF(curve_type="Simulada",_xlfn.XLOOKUP(tbl_Bonds[[#This Row],[Coupon]],Simulador!$B$5:$B$147,Simulador!$H$5:$H$147),0)</f>
        <v>0</v>
      </c>
      <c r="H380" s="5" cm="1">
        <f t="array" ref="H380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0.12149542933080461</v>
      </c>
      <c r="I380" s="5" cm="1">
        <f t="array" ref="I380">Interpola_FF(tbl_Bonds[[#This Row],[DU]],dus_svensson,svensson_implicita)</f>
        <v>5.9299655612397473E-2</v>
      </c>
      <c r="J380" s="49">
        <f>IF(curve_type="Simulada",_xlfn.XLOOKUP(tbl_Bonds[[#This Row],[Coupon]],Simulador!$B$5:$B$147,Simulador!$N$5:$N$147),0)</f>
        <v>0</v>
      </c>
      <c r="K380" s="5" cm="1">
        <f t="array" ref="K380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5.9299655612397473E-2</v>
      </c>
      <c r="L380" s="5" cm="1">
        <f t="array" ref="L380">Interpola_FF(tbl_Bonds[[#This Row],[DU]],dus_svensson,svensson_real_spot)</f>
        <v>5.8714050695392261E-2</v>
      </c>
      <c r="M380" s="49">
        <f>IF(curve_type="Simulada",_xlfn.XLOOKUP(tbl_Bonds[[#This Row],[Coupon]],Simulador!$B$5:$B$147,Simulador!$K$5:$K$147),0)</f>
        <v>0</v>
      </c>
      <c r="N380" s="5" cm="1">
        <f t="array" ref="N380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5.8714050695392261E-2</v>
      </c>
      <c r="O380" s="6">
        <f>IF(curve_type="Mercado",tbl_Bonds[[#This Row],[FC]]/(1+tbl_Bonds[[#This Row],[Real Mercado]])^(tbl_Bonds[[#This Row],[DU]]/252),tbl_Bonds[[#This Row],[FC]]/(1+tbl_Bonds[[#This Row],[Real Simulada]])^(tbl_Bonds[[#This Row],[DU]]/252))</f>
        <v>4.0662872027665831E-3</v>
      </c>
      <c r="P380" s="7">
        <f>tbl_Bonds[[#This Row],[Cotação]]*VNA</f>
        <v>16.083403258723862</v>
      </c>
      <c r="Q380" s="18">
        <f>tbl_Bonds[[#This Row],[Cotação]]%%*VNA</f>
        <v>1.6083403258723864E-3</v>
      </c>
      <c r="R380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-5.2820436076896057E-2</v>
      </c>
      <c r="S380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-4.986354496994605E-2</v>
      </c>
      <c r="T380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5.2791235678913098E-2</v>
      </c>
      <c r="U380" s="18">
        <f>IF(curve_type="Mercado",tbl_Bonds[[#This Row],[VP Cupom]]*LN(1+tbl_Bonds[[#This Row],[Real Mercado]])/252,tbl_Bonds[[#This Row],[VP Cupom]]*LN(1+tbl_Bonds[[#This Row],[Real Simulada]])/252)</f>
        <v>3.6414236697637293E-3</v>
      </c>
      <c r="V380" s="18">
        <f>SUMIF(Dashboard!$B$28:$B$42,tbl_Bonds[[#This Row],[Bond]],Dashboard!$C$28:$C$42)</f>
        <v>9853</v>
      </c>
      <c r="W380" s="18">
        <f>tbl_Bonds[[#This Row],[Quantidade]]*tbl_Bonds[[#This Row],[𝛿P/𝛿VNA]]</f>
        <v>15.846977230820622</v>
      </c>
      <c r="X380" s="18">
        <f>+tbl_Bonds[[#This Row],[Quantidade]]*tbl_Bonds[[#This Row],[𝛿P/𝛿r_real]]</f>
        <v>-520.43975666565689</v>
      </c>
      <c r="Y380" s="18">
        <f>tbl_Bonds[[#This Row],[Quantidade]]*tbl_Bonds[[#This Row],[𝛿P/𝛿r_pre]]</f>
        <v>-491.30550858887841</v>
      </c>
      <c r="Z380" s="18">
        <f>tbl_Bonds[[#This Row],[Quantidade]]*tbl_Bonds[[#This Row],[𝛿P/𝛿r_implicita]]</f>
        <v>520.15204514433071</v>
      </c>
      <c r="AA380" s="18">
        <f>tbl_Bonds[[#This Row],[Quantidade]]*tbl_Bonds[[#This Row],[𝛿P/𝛿du]]</f>
        <v>35.878947418182022</v>
      </c>
    </row>
    <row r="381" spans="1:27">
      <c r="A381" s="2" t="s">
        <v>89</v>
      </c>
      <c r="B381" s="3">
        <v>58669</v>
      </c>
      <c r="C381" s="3">
        <v>57756</v>
      </c>
      <c r="D381" s="4">
        <f>NETWORKDAYS(Dashboard!$C$10,bonds!C381,feriados)-1</f>
        <v>8888</v>
      </c>
      <c r="E381" s="2">
        <f>IF(tbl_Bonds[[#This Row],[Coupon]]&lt;tbl_Bonds[[#This Row],[Maturity]],SQRT(1.06)-1,SQRT(1.06))</f>
        <v>2.9563014098699991E-2</v>
      </c>
      <c r="F381" s="5" cm="1">
        <f t="array" ref="F381">Svensson(betas_pre,tbl_Bonds[[#This Row],[DU]])</f>
        <v>0.12150782085728758</v>
      </c>
      <c r="G381" s="49">
        <f>IF(curve_type="Simulada",_xlfn.XLOOKUP(tbl_Bonds[[#This Row],[Coupon]],Simulador!$B$5:$B$147,Simulador!$H$5:$H$147),0)</f>
        <v>0</v>
      </c>
      <c r="H381" s="5" cm="1">
        <f t="array" ref="H381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0.12150782085728758</v>
      </c>
      <c r="I381" s="5" cm="1">
        <f t="array" ref="I381">Interpola_FF(tbl_Bonds[[#This Row],[DU]],dus_svensson,svensson_implicita)</f>
        <v>5.9315147837361915E-2</v>
      </c>
      <c r="J381" s="49">
        <f>IF(curve_type="Simulada",_xlfn.XLOOKUP(tbl_Bonds[[#This Row],[Coupon]],Simulador!$B$5:$B$147,Simulador!$N$5:$N$147),0)</f>
        <v>0</v>
      </c>
      <c r="K381" s="5" cm="1">
        <f t="array" ref="K381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5.9315147837361915E-2</v>
      </c>
      <c r="L381" s="5" cm="1">
        <f t="array" ref="L381">Interpola_FF(tbl_Bonds[[#This Row],[DU]],dus_svensson,svensson_real_spot)</f>
        <v>5.8710264940315726E-2</v>
      </c>
      <c r="M381" s="49">
        <f>IF(curve_type="Simulada",_xlfn.XLOOKUP(tbl_Bonds[[#This Row],[Coupon]],Simulador!$B$5:$B$147,Simulador!$K$5:$K$147),0)</f>
        <v>0</v>
      </c>
      <c r="N381" s="5" cm="1">
        <f t="array" ref="N381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5.8710264940315726E-2</v>
      </c>
      <c r="O381" s="6">
        <f>IF(curve_type="Mercado",tbl_Bonds[[#This Row],[FC]]/(1+tbl_Bonds[[#This Row],[Real Mercado]])^(tbl_Bonds[[#This Row],[DU]]/252),tbl_Bonds[[#This Row],[FC]]/(1+tbl_Bonds[[#This Row],[Real Simulada]])^(tbl_Bonds[[#This Row],[DU]]/252))</f>
        <v>3.9524235995433178E-3</v>
      </c>
      <c r="P381" s="7">
        <f>tbl_Bonds[[#This Row],[Cotação]]*VNA</f>
        <v>15.633038059264974</v>
      </c>
      <c r="Q381" s="18">
        <f>tbl_Bonds[[#This Row],[Cotação]]%%*VNA</f>
        <v>1.5633038059264975E-3</v>
      </c>
      <c r="R381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-5.2079855006104674E-2</v>
      </c>
      <c r="S381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-4.9163702655722924E-2</v>
      </c>
      <c r="T381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5.2050116665716531E-2</v>
      </c>
      <c r="U381" s="18">
        <f>IF(curve_type="Mercado",tbl_Bonds[[#This Row],[VP Cupom]]*LN(1+tbl_Bonds[[#This Row],[Real Mercado]])/252,tbl_Bonds[[#This Row],[VP Cupom]]*LN(1+tbl_Bonds[[#This Row],[Real Simulada]])/252)</f>
        <v>3.5392352069693401E-3</v>
      </c>
      <c r="V381" s="18">
        <f>SUMIF(Dashboard!$B$28:$B$42,tbl_Bonds[[#This Row],[Bond]],Dashboard!$C$28:$C$42)</f>
        <v>9853</v>
      </c>
      <c r="W381" s="18">
        <f>tbl_Bonds[[#This Row],[Quantidade]]*tbl_Bonds[[#This Row],[𝛿P/𝛿VNA]]</f>
        <v>15.403232399793779</v>
      </c>
      <c r="X381" s="18">
        <f>+tbl_Bonds[[#This Row],[Quantidade]]*tbl_Bonds[[#This Row],[𝛿P/𝛿r_real]]</f>
        <v>-513.14281137514934</v>
      </c>
      <c r="Y381" s="18">
        <f>tbl_Bonds[[#This Row],[Quantidade]]*tbl_Bonds[[#This Row],[𝛿P/𝛿r_pre]]</f>
        <v>-484.40996226683797</v>
      </c>
      <c r="Z381" s="18">
        <f>tbl_Bonds[[#This Row],[Quantidade]]*tbl_Bonds[[#This Row],[𝛿P/𝛿r_implicita]]</f>
        <v>512.84979950730497</v>
      </c>
      <c r="AA381" s="18">
        <f>tbl_Bonds[[#This Row],[Quantidade]]*tbl_Bonds[[#This Row],[𝛿P/𝛿du]]</f>
        <v>34.872084494268904</v>
      </c>
    </row>
    <row r="382" spans="1:27">
      <c r="A382" s="2" t="s">
        <v>89</v>
      </c>
      <c r="B382" s="3">
        <v>58669</v>
      </c>
      <c r="C382" s="3">
        <v>57937</v>
      </c>
      <c r="D382" s="4">
        <f>NETWORKDAYS(Dashboard!$C$10,bonds!C382,feriados)-1</f>
        <v>9012</v>
      </c>
      <c r="E382" s="2">
        <f>IF(tbl_Bonds[[#This Row],[Coupon]]&lt;tbl_Bonds[[#This Row],[Maturity]],SQRT(1.06)-1,SQRT(1.06))</f>
        <v>2.9563014098699991E-2</v>
      </c>
      <c r="F382" s="5" cm="1">
        <f t="array" ref="F382">Svensson(betas_pre,tbl_Bonds[[#This Row],[DU]])</f>
        <v>0.12151967725475281</v>
      </c>
      <c r="G382" s="49">
        <f>IF(curve_type="Simulada",_xlfn.XLOOKUP(tbl_Bonds[[#This Row],[Coupon]],Simulador!$B$5:$B$147,Simulador!$H$5:$H$147),0)</f>
        <v>0</v>
      </c>
      <c r="H382" s="5" cm="1">
        <f t="array" ref="H382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0.12151967725475281</v>
      </c>
      <c r="I382" s="5" cm="1">
        <f t="array" ref="I382">Interpola_FF(tbl_Bonds[[#This Row],[DU]],dus_svensson,svensson_implicita)</f>
        <v>5.9329982265626136E-2</v>
      </c>
      <c r="J382" s="49">
        <f>IF(curve_type="Simulada",_xlfn.XLOOKUP(tbl_Bonds[[#This Row],[Coupon]],Simulador!$B$5:$B$147,Simulador!$N$5:$N$147),0)</f>
        <v>0</v>
      </c>
      <c r="K382" s="5" cm="1">
        <f t="array" ref="K382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5.9329982265626136E-2</v>
      </c>
      <c r="L382" s="5" cm="1">
        <f t="array" ref="L382">Interpola_FF(tbl_Bonds[[#This Row],[DU]],dus_svensson,svensson_real_spot)</f>
        <v>5.8706631547225108E-2</v>
      </c>
      <c r="M382" s="49">
        <f>IF(curve_type="Simulada",_xlfn.XLOOKUP(tbl_Bonds[[#This Row],[Coupon]],Simulador!$B$5:$B$147,Simulador!$K$5:$K$147),0)</f>
        <v>0</v>
      </c>
      <c r="N382" s="5" cm="1">
        <f t="array" ref="N382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5.8706631547225108E-2</v>
      </c>
      <c r="O382" s="6">
        <f>IF(curve_type="Mercado",tbl_Bonds[[#This Row],[FC]]/(1+tbl_Bonds[[#This Row],[Real Mercado]])^(tbl_Bonds[[#This Row],[DU]]/252),tbl_Bonds[[#This Row],[FC]]/(1+tbl_Bonds[[#This Row],[Real Simulada]])^(tbl_Bonds[[#This Row],[DU]]/252))</f>
        <v>3.8434821402286877E-3</v>
      </c>
      <c r="P382" s="7">
        <f>tbl_Bonds[[#This Row],[Cotação]]*VNA</f>
        <v>15.202141436773836</v>
      </c>
      <c r="Q382" s="18">
        <f>tbl_Bonds[[#This Row],[Cotação]]%%*VNA</f>
        <v>1.5202141436773838E-3</v>
      </c>
      <c r="R382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-5.1351103132734201E-2</v>
      </c>
      <c r="S382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-4.8475077583290789E-2</v>
      </c>
      <c r="T382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5.1320886103721396E-2</v>
      </c>
      <c r="U382" s="18">
        <f>IF(curve_type="Mercado",tbl_Bonds[[#This Row],[VP Cupom]]*LN(1+tbl_Bonds[[#This Row],[Real Mercado]])/252,tbl_Bonds[[#This Row],[VP Cupom]]*LN(1+tbl_Bonds[[#This Row],[Real Simulada]])/252)</f>
        <v>3.4414755104357265E-3</v>
      </c>
      <c r="V382" s="18">
        <f>SUMIF(Dashboard!$B$28:$B$42,tbl_Bonds[[#This Row],[Bond]],Dashboard!$C$28:$C$42)</f>
        <v>9853</v>
      </c>
      <c r="W382" s="18">
        <f>tbl_Bonds[[#This Row],[Quantidade]]*tbl_Bonds[[#This Row],[𝛿P/𝛿VNA]]</f>
        <v>14.978669957653262</v>
      </c>
      <c r="X382" s="18">
        <f>+tbl_Bonds[[#This Row],[Quantidade]]*tbl_Bonds[[#This Row],[𝛿P/𝛿r_real]]</f>
        <v>-505.9624191668301</v>
      </c>
      <c r="Y382" s="18">
        <f>tbl_Bonds[[#This Row],[Quantidade]]*tbl_Bonds[[#This Row],[𝛿P/𝛿r_pre]]</f>
        <v>-477.62493942816417</v>
      </c>
      <c r="Z382" s="18">
        <f>tbl_Bonds[[#This Row],[Quantidade]]*tbl_Bonds[[#This Row],[𝛿P/𝛿r_implicita]]</f>
        <v>505.66469077996692</v>
      </c>
      <c r="AA382" s="18">
        <f>tbl_Bonds[[#This Row],[Quantidade]]*tbl_Bonds[[#This Row],[𝛿P/𝛿du]]</f>
        <v>33.908858204323217</v>
      </c>
    </row>
    <row r="383" spans="1:27">
      <c r="A383" s="2" t="s">
        <v>89</v>
      </c>
      <c r="B383" s="3">
        <v>58669</v>
      </c>
      <c r="C383" s="3">
        <v>58123</v>
      </c>
      <c r="D383" s="4">
        <f>NETWORKDAYS(Dashboard!$C$10,bonds!C383,feriados)-1</f>
        <v>9139</v>
      </c>
      <c r="E383" s="2">
        <f>IF(tbl_Bonds[[#This Row],[Coupon]]&lt;tbl_Bonds[[#This Row],[Maturity]],SQRT(1.06)-1,SQRT(1.06))</f>
        <v>2.9563014098699991E-2</v>
      </c>
      <c r="F383" s="5" cm="1">
        <f t="array" ref="F383">Svensson(betas_pre,tbl_Bonds[[#This Row],[DU]])</f>
        <v>0.12153148685005542</v>
      </c>
      <c r="G383" s="49">
        <f>IF(curve_type="Simulada",_xlfn.XLOOKUP(tbl_Bonds[[#This Row],[Coupon]],Simulador!$B$5:$B$147,Simulador!$H$5:$H$147),0)</f>
        <v>0</v>
      </c>
      <c r="H383" s="5" cm="1">
        <f t="array" ref="H383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0.12153148685005542</v>
      </c>
      <c r="I383" s="5" cm="1">
        <f t="array" ref="I383">Interpola_FF(tbl_Bonds[[#This Row],[DU]],dus_svensson,svensson_implicita)</f>
        <v>5.9344767976036161E-2</v>
      </c>
      <c r="J383" s="49">
        <f>IF(curve_type="Simulada",_xlfn.XLOOKUP(tbl_Bonds[[#This Row],[Coupon]],Simulador!$B$5:$B$147,Simulador!$N$5:$N$147),0)</f>
        <v>0</v>
      </c>
      <c r="K383" s="5" cm="1">
        <f t="array" ref="K383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5.9344767976036161E-2</v>
      </c>
      <c r="L383" s="5" cm="1">
        <f t="array" ref="L383">Interpola_FF(tbl_Bonds[[#This Row],[DU]],dus_svensson,svensson_real_spot)</f>
        <v>5.8703002764025847E-2</v>
      </c>
      <c r="M383" s="49">
        <f>IF(curve_type="Simulada",_xlfn.XLOOKUP(tbl_Bonds[[#This Row],[Coupon]],Simulador!$B$5:$B$147,Simulador!$K$5:$K$147),0)</f>
        <v>0</v>
      </c>
      <c r="N383" s="5" cm="1">
        <f t="array" ref="N383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5.8703002764025847E-2</v>
      </c>
      <c r="O383" s="6">
        <f>IF(curve_type="Mercado",tbl_Bonds[[#This Row],[FC]]/(1+tbl_Bonds[[#This Row],[Real Mercado]])^(tbl_Bonds[[#This Row],[DU]]/252),tbl_Bonds[[#This Row],[FC]]/(1+tbl_Bonds[[#This Row],[Real Simulada]])^(tbl_Bonds[[#This Row],[DU]]/252))</f>
        <v>3.7350181713928709E-3</v>
      </c>
      <c r="P383" s="7">
        <f>tbl_Bonds[[#This Row],[Cotação]]*VNA</f>
        <v>14.773133434426827</v>
      </c>
      <c r="Q383" s="18">
        <f>tbl_Bonds[[#This Row],[Cotação]]%%*VNA</f>
        <v>1.4773133434426828E-3</v>
      </c>
      <c r="R383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-5.0605370890677161E-2</v>
      </c>
      <c r="S383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-4.7770444870798068E-2</v>
      </c>
      <c r="T383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5.0574713429506202E-2</v>
      </c>
      <c r="U383" s="18">
        <f>IF(curve_type="Mercado",tbl_Bonds[[#This Row],[VP Cupom]]*LN(1+tbl_Bonds[[#This Row],[Real Mercado]])/252,tbl_Bonds[[#This Row],[VP Cupom]]*LN(1+tbl_Bonds[[#This Row],[Real Simulada]])/252)</f>
        <v>3.3441553269116069E-3</v>
      </c>
      <c r="V383" s="18">
        <f>SUMIF(Dashboard!$B$28:$B$42,tbl_Bonds[[#This Row],[Bond]],Dashboard!$C$28:$C$42)</f>
        <v>9853</v>
      </c>
      <c r="W383" s="18">
        <f>tbl_Bonds[[#This Row],[Quantidade]]*tbl_Bonds[[#This Row],[𝛿P/𝛿VNA]]</f>
        <v>14.555968372940754</v>
      </c>
      <c r="X383" s="18">
        <f>+tbl_Bonds[[#This Row],[Quantidade]]*tbl_Bonds[[#This Row],[𝛿P/𝛿r_real]]</f>
        <v>-498.61471938584208</v>
      </c>
      <c r="Y383" s="18">
        <f>tbl_Bonds[[#This Row],[Quantidade]]*tbl_Bonds[[#This Row],[𝛿P/𝛿r_pre]]</f>
        <v>-470.68219331197338</v>
      </c>
      <c r="Z383" s="18">
        <f>tbl_Bonds[[#This Row],[Quantidade]]*tbl_Bonds[[#This Row],[𝛿P/𝛿r_implicita]]</f>
        <v>498.31265142092462</v>
      </c>
      <c r="AA383" s="18">
        <f>tbl_Bonds[[#This Row],[Quantidade]]*tbl_Bonds[[#This Row],[𝛿P/𝛿du]]</f>
        <v>32.949962436060062</v>
      </c>
    </row>
    <row r="384" spans="1:27">
      <c r="A384" s="2" t="s">
        <v>89</v>
      </c>
      <c r="B384" s="3">
        <v>58669</v>
      </c>
      <c r="C384" s="3">
        <v>58302</v>
      </c>
      <c r="D384" s="4">
        <f>NETWORKDAYS(Dashboard!$C$10,bonds!C384,feriados)-1</f>
        <v>9264</v>
      </c>
      <c r="E384" s="2">
        <f>IF(tbl_Bonds[[#This Row],[Coupon]]&lt;tbl_Bonds[[#This Row],[Maturity]],SQRT(1.06)-1,SQRT(1.06))</f>
        <v>2.9563014098699991E-2</v>
      </c>
      <c r="F384" s="5" cm="1">
        <f t="array" ref="F384">Svensson(betas_pre,tbl_Bonds[[#This Row],[DU]])</f>
        <v>0.12154279415029962</v>
      </c>
      <c r="G384" s="49">
        <f>IF(curve_type="Simulada",_xlfn.XLOOKUP(tbl_Bonds[[#This Row],[Coupon]],Simulador!$B$5:$B$147,Simulador!$H$5:$H$147),0)</f>
        <v>0</v>
      </c>
      <c r="H384" s="5" cm="1">
        <f t="array" ref="H384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0.12154279415029962</v>
      </c>
      <c r="I384" s="5" cm="1">
        <f t="array" ref="I384">Interpola_FF(tbl_Bonds[[#This Row],[DU]],dus_svensson,svensson_implicita)</f>
        <v>5.9358933106441247E-2</v>
      </c>
      <c r="J384" s="49">
        <f>IF(curve_type="Simulada",_xlfn.XLOOKUP(tbl_Bonds[[#This Row],[Coupon]],Simulador!$B$5:$B$147,Simulador!$N$5:$N$147),0)</f>
        <v>0</v>
      </c>
      <c r="K384" s="5" cm="1">
        <f t="array" ref="K384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5.9358933106441247E-2</v>
      </c>
      <c r="L384" s="5" cm="1">
        <f t="array" ref="L384">Interpola_FF(tbl_Bonds[[#This Row],[DU]],dus_svensson,svensson_real_spot)</f>
        <v>5.8699520125501836E-2</v>
      </c>
      <c r="M384" s="49">
        <f>IF(curve_type="Simulada",_xlfn.XLOOKUP(tbl_Bonds[[#This Row],[Coupon]],Simulador!$B$5:$B$147,Simulador!$K$5:$K$147),0)</f>
        <v>0</v>
      </c>
      <c r="N384" s="5" cm="1">
        <f t="array" ref="N384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5.8699520125501836E-2</v>
      </c>
      <c r="O384" s="6">
        <f>IF(curve_type="Mercado",tbl_Bonds[[#This Row],[FC]]/(1+tbl_Bonds[[#This Row],[Real Mercado]])^(tbl_Bonds[[#This Row],[DU]]/252),tbl_Bonds[[#This Row],[FC]]/(1+tbl_Bonds[[#This Row],[Real Simulada]])^(tbl_Bonds[[#This Row],[DU]]/252))</f>
        <v>3.6312527265932684E-3</v>
      </c>
      <c r="P384" s="7">
        <f>tbl_Bonds[[#This Row],[Cotação]]*VNA</f>
        <v>14.362709524404588</v>
      </c>
      <c r="Q384" s="18">
        <f>tbl_Bonds[[#This Row],[Cotação]]%%*VNA</f>
        <v>1.4362709524404587E-3</v>
      </c>
      <c r="R384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-4.9872560591741166E-2</v>
      </c>
      <c r="S384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-4.7078057288267521E-2</v>
      </c>
      <c r="T384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4.9841516660856101E-2</v>
      </c>
      <c r="U384" s="18">
        <f>IF(curve_type="Mercado",tbl_Bonds[[#This Row],[VP Cupom]]*LN(1+tbl_Bonds[[#This Row],[Real Mercado]])/252,tbl_Bonds[[#This Row],[VP Cupom]]*LN(1+tbl_Bonds[[#This Row],[Real Simulada]])/252)</f>
        <v>3.2510612599483402E-3</v>
      </c>
      <c r="V384" s="18">
        <f>SUMIF(Dashboard!$B$28:$B$42,tbl_Bonds[[#This Row],[Bond]],Dashboard!$C$28:$C$42)</f>
        <v>9853</v>
      </c>
      <c r="W384" s="18">
        <f>tbl_Bonds[[#This Row],[Quantidade]]*tbl_Bonds[[#This Row],[𝛿P/𝛿VNA]]</f>
        <v>14.15157769439584</v>
      </c>
      <c r="X384" s="18">
        <f>+tbl_Bonds[[#This Row],[Quantidade]]*tbl_Bonds[[#This Row],[𝛿P/𝛿r_real]]</f>
        <v>-491.39433951042571</v>
      </c>
      <c r="Y384" s="18">
        <f>tbl_Bonds[[#This Row],[Quantidade]]*tbl_Bonds[[#This Row],[𝛿P/𝛿r_pre]]</f>
        <v>-463.86009846129986</v>
      </c>
      <c r="Z384" s="18">
        <f>tbl_Bonds[[#This Row],[Quantidade]]*tbl_Bonds[[#This Row],[𝛿P/𝛿r_implicita]]</f>
        <v>491.08846365941514</v>
      </c>
      <c r="AA384" s="18">
        <f>tbl_Bonds[[#This Row],[Quantidade]]*tbl_Bonds[[#This Row],[𝛿P/𝛿du]]</f>
        <v>32.032706594270998</v>
      </c>
    </row>
    <row r="385" spans="1:27">
      <c r="A385" s="2" t="s">
        <v>89</v>
      </c>
      <c r="B385" s="3">
        <v>58669</v>
      </c>
      <c r="C385" s="3">
        <v>58487</v>
      </c>
      <c r="D385" s="4">
        <f>NETWORKDAYS(Dashboard!$C$10,bonds!C385,feriados)-1</f>
        <v>9393</v>
      </c>
      <c r="E385" s="2">
        <f>IF(tbl_Bonds[[#This Row],[Coupon]]&lt;tbl_Bonds[[#This Row],[Maturity]],SQRT(1.06)-1,SQRT(1.06))</f>
        <v>2.9563014098699991E-2</v>
      </c>
      <c r="F385" s="5" cm="1">
        <f t="array" ref="F385">Svensson(betas_pre,tbl_Bonds[[#This Row],[DU]])</f>
        <v>0.12155414760563446</v>
      </c>
      <c r="G385" s="49">
        <f>IF(curve_type="Simulada",_xlfn.XLOOKUP(tbl_Bonds[[#This Row],[Coupon]],Simulador!$B$5:$B$147,Simulador!$H$5:$H$147),0)</f>
        <v>0</v>
      </c>
      <c r="H385" s="5" cm="1">
        <f t="array" ref="H385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0.12155414760563446</v>
      </c>
      <c r="I385" s="5" cm="1">
        <f t="array" ref="I385">Interpola_FF(tbl_Bonds[[#This Row],[DU]],dus_svensson,svensson_implicita)</f>
        <v>5.9373163394883077E-2</v>
      </c>
      <c r="J385" s="49">
        <f>IF(curve_type="Simulada",_xlfn.XLOOKUP(tbl_Bonds[[#This Row],[Coupon]],Simulador!$B$5:$B$147,Simulador!$N$5:$N$147),0)</f>
        <v>0</v>
      </c>
      <c r="K385" s="5" cm="1">
        <f t="array" ref="K385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5.9373163394883077E-2</v>
      </c>
      <c r="L385" s="5" cm="1">
        <f t="array" ref="L385">Interpola_FF(tbl_Bonds[[#This Row],[DU]],dus_svensson,svensson_real_spot)</f>
        <v>5.8696016032179221E-2</v>
      </c>
      <c r="M385" s="49">
        <f>IF(curve_type="Simulada",_xlfn.XLOOKUP(tbl_Bonds[[#This Row],[Coupon]],Simulador!$B$5:$B$147,Simulador!$K$5:$K$147),0)</f>
        <v>0</v>
      </c>
      <c r="N385" s="5" cm="1">
        <f t="array" ref="N385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5.8696016032179221E-2</v>
      </c>
      <c r="O385" s="6">
        <f>IF(curve_type="Mercado",tbl_Bonds[[#This Row],[FC]]/(1+tbl_Bonds[[#This Row],[Real Mercado]])^(tbl_Bonds[[#This Row],[DU]]/252),tbl_Bonds[[#This Row],[FC]]/(1+tbl_Bonds[[#This Row],[Real Simulada]])^(tbl_Bonds[[#This Row],[DU]]/252))</f>
        <v>3.5271894195890601E-3</v>
      </c>
      <c r="P385" s="7">
        <f>tbl_Bonds[[#This Row],[Cotação]]*VNA</f>
        <v>13.951107478723619</v>
      </c>
      <c r="Q385" s="18">
        <f>tbl_Bonds[[#This Row],[Cotação]]%%*VNA</f>
        <v>1.3951107478723619E-3</v>
      </c>
      <c r="R385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-4.9118057963139901E-2</v>
      </c>
      <c r="S385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-4.6365208798279614E-2</v>
      </c>
      <c r="T385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4.9086661838467077E-2</v>
      </c>
      <c r="U385" s="18">
        <f>IF(curve_type="Mercado",tbl_Bonds[[#This Row],[VP Cupom]]*LN(1+tbl_Bonds[[#This Row],[Real Mercado]])/252,tbl_Bonds[[#This Row],[VP Cupom]]*LN(1+tbl_Bonds[[#This Row],[Real Simulada]])/252)</f>
        <v>3.1577101248788275E-3</v>
      </c>
      <c r="V385" s="18">
        <f>SUMIF(Dashboard!$B$28:$B$42,tbl_Bonds[[#This Row],[Bond]],Dashboard!$C$28:$C$42)</f>
        <v>9853</v>
      </c>
      <c r="W385" s="18">
        <f>tbl_Bonds[[#This Row],[Quantidade]]*tbl_Bonds[[#This Row],[𝛿P/𝛿VNA]]</f>
        <v>13.746026198786382</v>
      </c>
      <c r="X385" s="18">
        <f>+tbl_Bonds[[#This Row],[Quantidade]]*tbl_Bonds[[#This Row],[𝛿P/𝛿r_real]]</f>
        <v>-483.96022511081742</v>
      </c>
      <c r="Y385" s="18">
        <f>tbl_Bonds[[#This Row],[Quantidade]]*tbl_Bonds[[#This Row],[𝛿P/𝛿r_pre]]</f>
        <v>-456.83640228944904</v>
      </c>
      <c r="Z385" s="18">
        <f>tbl_Bonds[[#This Row],[Quantidade]]*tbl_Bonds[[#This Row],[𝛿P/𝛿r_implicita]]</f>
        <v>483.6508790944161</v>
      </c>
      <c r="AA385" s="18">
        <f>tbl_Bonds[[#This Row],[Quantidade]]*tbl_Bonds[[#This Row],[𝛿P/𝛿du]]</f>
        <v>31.112917860431089</v>
      </c>
    </row>
    <row r="386" spans="1:27">
      <c r="A386" s="2" t="s">
        <v>89</v>
      </c>
      <c r="B386" s="3">
        <v>58669</v>
      </c>
      <c r="C386" s="3">
        <v>58669</v>
      </c>
      <c r="D386" s="4">
        <f>NETWORKDAYS(Dashboard!$C$10,bonds!C386,feriados)-1</f>
        <v>9518</v>
      </c>
      <c r="E386" s="2">
        <f>IF(tbl_Bonds[[#This Row],[Coupon]]&lt;tbl_Bonds[[#This Row],[Maturity]],SQRT(1.06)-1,SQRT(1.06))</f>
        <v>1.0295630140987</v>
      </c>
      <c r="F386" s="5" cm="1">
        <f t="array" ref="F386">Svensson(betas_pre,tbl_Bonds[[#This Row],[DU]])</f>
        <v>0.12156485531103164</v>
      </c>
      <c r="G386" s="49">
        <f>IF(curve_type="Simulada",_xlfn.XLOOKUP(tbl_Bonds[[#This Row],[Coupon]],Simulador!$B$5:$B$147,Simulador!$H$5:$H$147),0)</f>
        <v>0</v>
      </c>
      <c r="H386" s="5" cm="1">
        <f t="array" ref="H386">IF(OR(curve_type="Mercado",AND(tbl_Bonds[[#This Row],[Shift Pré]]=0,tbl_Bonds[[#This Row],[Shift Implícita]]=0,tbl_Bonds[[#This Row],[Shift Real]]=0)),tbl_Bonds[[#This Row],[Pré Mercado]],IF(method="Float Pré",(1+Interpola_FF(tbl_Bonds[[#This Row],[DU]],dus_svensson,svensson_implicita)+tbl_Bonds[[#This Row],[Shift Implícita]]%%)*(1+Svensson(betas_real_spot,tbl_Bonds[[#This Row],[DU]])+tbl_Bonds[[#This Row],[Shift Real]]%%)-1,Svensson(betas_pre,tbl_Bonds[[#This Row],[DU]])+tbl_Bonds[[#This Row],[Shift Pré]]%%))</f>
        <v>0.12156485531103164</v>
      </c>
      <c r="I386" s="5" cm="1">
        <f t="array" ref="I386">Interpola_FF(tbl_Bonds[[#This Row],[DU]],dus_svensson,svensson_implicita)</f>
        <v>5.938659037320515E-2</v>
      </c>
      <c r="J386" s="49">
        <f>IF(curve_type="Simulada",_xlfn.XLOOKUP(tbl_Bonds[[#This Row],[Coupon]],Simulador!$B$5:$B$147,Simulador!$N$5:$N$147),0)</f>
        <v>0</v>
      </c>
      <c r="K386" s="5" cm="1">
        <f t="array" ref="K386">IF(OR(curve_type="Mercado",AND(tbl_Bonds[[#This Row],[Shift Pré]]=0,tbl_Bonds[[#This Row],[Shift Implícita]]=0,tbl_Bonds[[#This Row],[Shift Real]]=0)),tbl_Bonds[[#This Row],[Implícita Mercado]],IF(method="Float Implícita",(1+Interpola_FF(tbl_Bonds[[#This Row],[DU]],dus_svensson,svensson_pre)+tbl_Bonds[[#This Row],[Shift Pré]]%%)/(1+Interpola_FF(tbl_Bonds[[#This Row],[DU]],dus_svensson,svensson_real_spot)+tbl_Bonds[[#This Row],[Shift Real]]%%)-1,Interpola_FF(tbl_Bonds[[#This Row],[DU]],dus_svensson,svensson_implicita)+tbl_Bonds[[#This Row],[Shift Implícita]]%%))</f>
        <v>5.938659037320515E-2</v>
      </c>
      <c r="L386" s="5" cm="1">
        <f t="array" ref="L386">Interpola_FF(tbl_Bonds[[#This Row],[DU]],dus_svensson,svensson_real_spot)</f>
        <v>5.869270526563386E-2</v>
      </c>
      <c r="M386" s="49">
        <f>IF(curve_type="Simulada",_xlfn.XLOOKUP(tbl_Bonds[[#This Row],[Coupon]],Simulador!$B$5:$B$147,Simulador!$K$5:$K$147),0)</f>
        <v>0</v>
      </c>
      <c r="N386" s="5" cm="1">
        <f t="array" ref="N386">IF(OR(AND(tbl_Bonds[[#This Row],[Shift Real]]=0,tbl_Bonds[[#This Row],[Shift Implícita]]=0,tbl_Bonds[[#This Row],[Shift Pré]]=0),curve_type="Mercado"),tbl_Bonds[[#This Row],[Real Mercado]],IF(method="Float Real",(1+tbl_Bonds[[#This Row],[Pré Simulada]])/(1+tbl_Bonds[[#This Row],[Implícita Simulada]])-1,Svensson(betas_real_spot,tbl_Bonds[[#This Row],[DU]])+tbl_Bonds[[#This Row],[Shift Real]]%%))</f>
        <v>5.869270526563386E-2</v>
      </c>
      <c r="O386" s="6">
        <f>IF(curve_type="Mercado",tbl_Bonds[[#This Row],[FC]]/(1+tbl_Bonds[[#This Row],[Real Mercado]])^(tbl_Bonds[[#This Row],[DU]]/252),tbl_Bonds[[#This Row],[FC]]/(1+tbl_Bonds[[#This Row],[Real Simulada]])^(tbl_Bonds[[#This Row],[DU]]/252))</f>
        <v>0.11942547051646063</v>
      </c>
      <c r="P386" s="7">
        <f>tbl_Bonds[[#This Row],[Cotação]]*VNA</f>
        <v>472.36407708049722</v>
      </c>
      <c r="Q386" s="18">
        <f>tbl_Bonds[[#This Row],[Cotação]]%%*VNA</f>
        <v>4.7236407708049717E-2</v>
      </c>
      <c r="R386" s="18">
        <f>-IF(curve_type="Mercado",((tbl_Bonds[[#This Row],[DU]]/252)/(1+tbl_Bonds[[#This Row],[Real Mercado]]))%%*tbl_Bonds[[#This Row],[VP Cupom]],((tbl_Bonds[[#This Row],[DU]]/252)/(1+tbl_Bonds[[#This Row],[Real Simulada]]))%%*tbl_Bonds[[#This Row],[VP Cupom]])</f>
        <v>-1.685202526112521</v>
      </c>
      <c r="S386" s="18">
        <f>IF(curve_type="Mercado",(-VNA*tbl_Bonds[[#This Row],[FC]]*(1+tbl_Bonds[[#This Row],[Implícita Mercado]])^(tbl_Bonds[[#This Row],[DU]]/252)*(tbl_Bonds[[#This Row],[DU]]/252)*(1+tbl_Bonds[[#This Row],[Pré Mercado]])^(-tbl_Bonds[[#This Row],[DU]]/252-1))%%,(-VNA*tbl_Bonds[[#This Row],[FC]]*(1+tbl_Bonds[[#This Row],[Implícita Simulada]])^(tbl_Bonds[[#This Row],[DU]]/252)*(tbl_Bonds[[#This Row],[DU]]/252)*(1+tbl_Bonds[[#This Row],[Pré Simulada]])^(-tbl_Bonds[[#This Row],[DU]]/252-1))%%)</f>
        <v>-1.5907342417504406</v>
      </c>
      <c r="T386" s="18">
        <f>IF(curve_type="Mercado",+VNA*tbl_Bonds[[#This Row],[FC]]*(1+tbl_Bonds[[#This Row],[Pré Mercado]])^(-tbl_Bonds[[#This Row],[DU]]/252)*(tbl_Bonds[[#This Row],[DU]]/252)*(1+tbl_Bonds[[#This Row],[Implícita Mercado]])^(tbl_Bonds[[#This Row],[DU]]/252-1)/10000,+VNA*tbl_Bonds[[#This Row],[FC]]*(1+tbl_Bonds[[#This Row],[Pré Simulada]])^(-tbl_Bonds[[#This Row],[DU]]/252)*(tbl_Bonds[[#This Row],[DU]]/252)*(1+tbl_Bonds[[#This Row],[Implícita Simulada]])^(tbl_Bonds[[#This Row],[DU]]/252-1)/10000)</f>
        <v>1.6840987377975227</v>
      </c>
      <c r="U386" s="18">
        <f>IF(curve_type="Mercado",tbl_Bonds[[#This Row],[VP Cupom]]*LN(1+tbl_Bonds[[#This Row],[Real Mercado]])/252,tbl_Bonds[[#This Row],[VP Cupom]]*LN(1+tbl_Bonds[[#This Row],[Real Simulada]])/252)</f>
        <v>0.10690958061076337</v>
      </c>
      <c r="V386" s="18">
        <f>SUMIF(Dashboard!$B$28:$B$42,tbl_Bonds[[#This Row],[Bond]],Dashboard!$C$28:$C$42)</f>
        <v>9853</v>
      </c>
      <c r="W386" s="18">
        <f>tbl_Bonds[[#This Row],[Quantidade]]*tbl_Bonds[[#This Row],[𝛿P/𝛿VNA]]</f>
        <v>465.42032514741385</v>
      </c>
      <c r="X386" s="18">
        <f>+tbl_Bonds[[#This Row],[Quantidade]]*tbl_Bonds[[#This Row],[𝛿P/𝛿r_real]]</f>
        <v>-16604.30048978667</v>
      </c>
      <c r="Y386" s="18">
        <f>tbl_Bonds[[#This Row],[Quantidade]]*tbl_Bonds[[#This Row],[𝛿P/𝛿r_pre]]</f>
        <v>-15673.504483967092</v>
      </c>
      <c r="Z386" s="18">
        <f>tbl_Bonds[[#This Row],[Quantidade]]*tbl_Bonds[[#This Row],[𝛿P/𝛿r_implicita]]</f>
        <v>16593.424863518991</v>
      </c>
      <c r="AA386" s="18">
        <f>tbl_Bonds[[#This Row],[Quantidade]]*tbl_Bonds[[#This Row],[𝛿P/𝛿du]]</f>
        <v>1053.3800977578514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0708-13FD-B44E-ABFB-8C1364F179E0}">
  <sheetPr codeName="feriados"/>
  <dimension ref="A1:A936"/>
  <sheetViews>
    <sheetView workbookViewId="0">
      <selection sqref="A1:A936"/>
    </sheetView>
  </sheetViews>
  <sheetFormatPr baseColWidth="10" defaultRowHeight="16"/>
  <sheetData>
    <row r="1" spans="1:1">
      <c r="A1">
        <v>36892</v>
      </c>
    </row>
    <row r="2" spans="1:1">
      <c r="A2">
        <v>36948</v>
      </c>
    </row>
    <row r="3" spans="1:1">
      <c r="A3">
        <v>36949</v>
      </c>
    </row>
    <row r="4" spans="1:1">
      <c r="A4">
        <v>36994</v>
      </c>
    </row>
    <row r="5" spans="1:1">
      <c r="A5">
        <v>37002</v>
      </c>
    </row>
    <row r="6" spans="1:1">
      <c r="A6">
        <v>37012</v>
      </c>
    </row>
    <row r="7" spans="1:1">
      <c r="A7">
        <v>37056</v>
      </c>
    </row>
    <row r="8" spans="1:1">
      <c r="A8">
        <v>37141</v>
      </c>
    </row>
    <row r="9" spans="1:1">
      <c r="A9">
        <v>37176</v>
      </c>
    </row>
    <row r="10" spans="1:1">
      <c r="A10">
        <v>37197</v>
      </c>
    </row>
    <row r="11" spans="1:1">
      <c r="A11">
        <v>37210</v>
      </c>
    </row>
    <row r="12" spans="1:1">
      <c r="A12">
        <v>37250</v>
      </c>
    </row>
    <row r="13" spans="1:1">
      <c r="A13">
        <v>37257</v>
      </c>
    </row>
    <row r="14" spans="1:1">
      <c r="A14">
        <v>37298</v>
      </c>
    </row>
    <row r="15" spans="1:1">
      <c r="A15">
        <v>37299</v>
      </c>
    </row>
    <row r="16" spans="1:1">
      <c r="A16">
        <v>37344</v>
      </c>
    </row>
    <row r="17" spans="1:1">
      <c r="A17">
        <v>37367</v>
      </c>
    </row>
    <row r="18" spans="1:1">
      <c r="A18">
        <v>37377</v>
      </c>
    </row>
    <row r="19" spans="1:1">
      <c r="A19">
        <v>37406</v>
      </c>
    </row>
    <row r="20" spans="1:1">
      <c r="A20">
        <v>37506</v>
      </c>
    </row>
    <row r="21" spans="1:1">
      <c r="A21">
        <v>37541</v>
      </c>
    </row>
    <row r="22" spans="1:1">
      <c r="A22">
        <v>37562</v>
      </c>
    </row>
    <row r="23" spans="1:1">
      <c r="A23">
        <v>37575</v>
      </c>
    </row>
    <row r="24" spans="1:1">
      <c r="A24">
        <v>37615</v>
      </c>
    </row>
    <row r="25" spans="1:1">
      <c r="A25">
        <v>37622</v>
      </c>
    </row>
    <row r="26" spans="1:1">
      <c r="A26">
        <v>37683</v>
      </c>
    </row>
    <row r="27" spans="1:1">
      <c r="A27">
        <v>37684</v>
      </c>
    </row>
    <row r="28" spans="1:1">
      <c r="A28">
        <v>37729</v>
      </c>
    </row>
    <row r="29" spans="1:1">
      <c r="A29">
        <v>37732</v>
      </c>
    </row>
    <row r="30" spans="1:1">
      <c r="A30">
        <v>37742</v>
      </c>
    </row>
    <row r="31" spans="1:1">
      <c r="A31">
        <v>37791</v>
      </c>
    </row>
    <row r="32" spans="1:1">
      <c r="A32">
        <v>37871</v>
      </c>
    </row>
    <row r="33" spans="1:1">
      <c r="A33">
        <v>37906</v>
      </c>
    </row>
    <row r="34" spans="1:1">
      <c r="A34">
        <v>37927</v>
      </c>
    </row>
    <row r="35" spans="1:1">
      <c r="A35">
        <v>37940</v>
      </c>
    </row>
    <row r="36" spans="1:1">
      <c r="A36">
        <v>37980</v>
      </c>
    </row>
    <row r="37" spans="1:1">
      <c r="A37">
        <v>37987</v>
      </c>
    </row>
    <row r="38" spans="1:1">
      <c r="A38">
        <v>38040</v>
      </c>
    </row>
    <row r="39" spans="1:1">
      <c r="A39">
        <v>38041</v>
      </c>
    </row>
    <row r="40" spans="1:1">
      <c r="A40">
        <v>38086</v>
      </c>
    </row>
    <row r="41" spans="1:1">
      <c r="A41">
        <v>38098</v>
      </c>
    </row>
    <row r="42" spans="1:1">
      <c r="A42">
        <v>38108</v>
      </c>
    </row>
    <row r="43" spans="1:1">
      <c r="A43">
        <v>38148</v>
      </c>
    </row>
    <row r="44" spans="1:1">
      <c r="A44">
        <v>38237</v>
      </c>
    </row>
    <row r="45" spans="1:1">
      <c r="A45">
        <v>38272</v>
      </c>
    </row>
    <row r="46" spans="1:1">
      <c r="A46">
        <v>38293</v>
      </c>
    </row>
    <row r="47" spans="1:1">
      <c r="A47">
        <v>38306</v>
      </c>
    </row>
    <row r="48" spans="1:1">
      <c r="A48">
        <v>38346</v>
      </c>
    </row>
    <row r="49" spans="1:1">
      <c r="A49">
        <v>38353</v>
      </c>
    </row>
    <row r="50" spans="1:1">
      <c r="A50">
        <v>38390</v>
      </c>
    </row>
    <row r="51" spans="1:1">
      <c r="A51">
        <v>38391</v>
      </c>
    </row>
    <row r="52" spans="1:1">
      <c r="A52">
        <v>38436</v>
      </c>
    </row>
    <row r="53" spans="1:1">
      <c r="A53">
        <v>38463</v>
      </c>
    </row>
    <row r="54" spans="1:1">
      <c r="A54">
        <v>38473</v>
      </c>
    </row>
    <row r="55" spans="1:1">
      <c r="A55">
        <v>38498</v>
      </c>
    </row>
    <row r="56" spans="1:1">
      <c r="A56">
        <v>38602</v>
      </c>
    </row>
    <row r="57" spans="1:1">
      <c r="A57">
        <v>38637</v>
      </c>
    </row>
    <row r="58" spans="1:1">
      <c r="A58">
        <v>38658</v>
      </c>
    </row>
    <row r="59" spans="1:1">
      <c r="A59">
        <v>38671</v>
      </c>
    </row>
    <row r="60" spans="1:1">
      <c r="A60">
        <v>38711</v>
      </c>
    </row>
    <row r="61" spans="1:1">
      <c r="A61">
        <v>38718</v>
      </c>
    </row>
    <row r="62" spans="1:1">
      <c r="A62">
        <v>38775</v>
      </c>
    </row>
    <row r="63" spans="1:1">
      <c r="A63">
        <v>38776</v>
      </c>
    </row>
    <row r="64" spans="1:1">
      <c r="A64">
        <v>38821</v>
      </c>
    </row>
    <row r="65" spans="1:1">
      <c r="A65">
        <v>38828</v>
      </c>
    </row>
    <row r="66" spans="1:1">
      <c r="A66">
        <v>38838</v>
      </c>
    </row>
    <row r="67" spans="1:1">
      <c r="A67">
        <v>38883</v>
      </c>
    </row>
    <row r="68" spans="1:1">
      <c r="A68">
        <v>38967</v>
      </c>
    </row>
    <row r="69" spans="1:1">
      <c r="A69">
        <v>39002</v>
      </c>
    </row>
    <row r="70" spans="1:1">
      <c r="A70">
        <v>39023</v>
      </c>
    </row>
    <row r="71" spans="1:1">
      <c r="A71">
        <v>39036</v>
      </c>
    </row>
    <row r="72" spans="1:1">
      <c r="A72">
        <v>39076</v>
      </c>
    </row>
    <row r="73" spans="1:1">
      <c r="A73">
        <v>39083</v>
      </c>
    </row>
    <row r="74" spans="1:1">
      <c r="A74">
        <v>39132</v>
      </c>
    </row>
    <row r="75" spans="1:1">
      <c r="A75">
        <v>39133</v>
      </c>
    </row>
    <row r="76" spans="1:1">
      <c r="A76">
        <v>39178</v>
      </c>
    </row>
    <row r="77" spans="1:1">
      <c r="A77">
        <v>39193</v>
      </c>
    </row>
    <row r="78" spans="1:1">
      <c r="A78">
        <v>39203</v>
      </c>
    </row>
    <row r="79" spans="1:1">
      <c r="A79">
        <v>39240</v>
      </c>
    </row>
    <row r="80" spans="1:1">
      <c r="A80">
        <v>39332</v>
      </c>
    </row>
    <row r="81" spans="1:1">
      <c r="A81">
        <v>39367</v>
      </c>
    </row>
    <row r="82" spans="1:1">
      <c r="A82">
        <v>39388</v>
      </c>
    </row>
    <row r="83" spans="1:1">
      <c r="A83">
        <v>39401</v>
      </c>
    </row>
    <row r="84" spans="1:1">
      <c r="A84">
        <v>39441</v>
      </c>
    </row>
    <row r="85" spans="1:1">
      <c r="A85">
        <v>39448</v>
      </c>
    </row>
    <row r="86" spans="1:1">
      <c r="A86">
        <v>39482</v>
      </c>
    </row>
    <row r="87" spans="1:1">
      <c r="A87">
        <v>39483</v>
      </c>
    </row>
    <row r="88" spans="1:1">
      <c r="A88">
        <v>39528</v>
      </c>
    </row>
    <row r="89" spans="1:1">
      <c r="A89">
        <v>39559</v>
      </c>
    </row>
    <row r="90" spans="1:1">
      <c r="A90">
        <v>39569</v>
      </c>
    </row>
    <row r="91" spans="1:1">
      <c r="A91">
        <v>39590</v>
      </c>
    </row>
    <row r="92" spans="1:1">
      <c r="A92">
        <v>39698</v>
      </c>
    </row>
    <row r="93" spans="1:1">
      <c r="A93">
        <v>39733</v>
      </c>
    </row>
    <row r="94" spans="1:1">
      <c r="A94">
        <v>39754</v>
      </c>
    </row>
    <row r="95" spans="1:1">
      <c r="A95">
        <v>39767</v>
      </c>
    </row>
    <row r="96" spans="1:1">
      <c r="A96">
        <v>39807</v>
      </c>
    </row>
    <row r="97" spans="1:1">
      <c r="A97">
        <v>39814</v>
      </c>
    </row>
    <row r="98" spans="1:1">
      <c r="A98">
        <v>39867</v>
      </c>
    </row>
    <row r="99" spans="1:1">
      <c r="A99">
        <v>39868</v>
      </c>
    </row>
    <row r="100" spans="1:1">
      <c r="A100">
        <v>39913</v>
      </c>
    </row>
    <row r="101" spans="1:1">
      <c r="A101">
        <v>39924</v>
      </c>
    </row>
    <row r="102" spans="1:1">
      <c r="A102">
        <v>39934</v>
      </c>
    </row>
    <row r="103" spans="1:1">
      <c r="A103">
        <v>39975</v>
      </c>
    </row>
    <row r="104" spans="1:1">
      <c r="A104">
        <v>40063</v>
      </c>
    </row>
    <row r="105" spans="1:1">
      <c r="A105">
        <v>40098</v>
      </c>
    </row>
    <row r="106" spans="1:1">
      <c r="A106">
        <v>40119</v>
      </c>
    </row>
    <row r="107" spans="1:1">
      <c r="A107">
        <v>40132</v>
      </c>
    </row>
    <row r="108" spans="1:1">
      <c r="A108">
        <v>40172</v>
      </c>
    </row>
    <row r="109" spans="1:1">
      <c r="A109">
        <v>40179</v>
      </c>
    </row>
    <row r="110" spans="1:1">
      <c r="A110">
        <v>40224</v>
      </c>
    </row>
    <row r="111" spans="1:1">
      <c r="A111">
        <v>40225</v>
      </c>
    </row>
    <row r="112" spans="1:1">
      <c r="A112">
        <v>40270</v>
      </c>
    </row>
    <row r="113" spans="1:1">
      <c r="A113">
        <v>40289</v>
      </c>
    </row>
    <row r="114" spans="1:1">
      <c r="A114">
        <v>40299</v>
      </c>
    </row>
    <row r="115" spans="1:1">
      <c r="A115">
        <v>40332</v>
      </c>
    </row>
    <row r="116" spans="1:1">
      <c r="A116">
        <v>40428</v>
      </c>
    </row>
    <row r="117" spans="1:1">
      <c r="A117">
        <v>40463</v>
      </c>
    </row>
    <row r="118" spans="1:1">
      <c r="A118">
        <v>40484</v>
      </c>
    </row>
    <row r="119" spans="1:1">
      <c r="A119">
        <v>40497</v>
      </c>
    </row>
    <row r="120" spans="1:1">
      <c r="A120">
        <v>40537</v>
      </c>
    </row>
    <row r="121" spans="1:1">
      <c r="A121">
        <v>40544</v>
      </c>
    </row>
    <row r="122" spans="1:1">
      <c r="A122">
        <v>40609</v>
      </c>
    </row>
    <row r="123" spans="1:1">
      <c r="A123">
        <v>40610</v>
      </c>
    </row>
    <row r="124" spans="1:1">
      <c r="A124">
        <v>40654</v>
      </c>
    </row>
    <row r="125" spans="1:1">
      <c r="A125">
        <v>40655</v>
      </c>
    </row>
    <row r="126" spans="1:1">
      <c r="A126">
        <v>40664</v>
      </c>
    </row>
    <row r="127" spans="1:1">
      <c r="A127">
        <v>40717</v>
      </c>
    </row>
    <row r="128" spans="1:1">
      <c r="A128">
        <v>40793</v>
      </c>
    </row>
    <row r="129" spans="1:1">
      <c r="A129">
        <v>40828</v>
      </c>
    </row>
    <row r="130" spans="1:1">
      <c r="A130">
        <v>40849</v>
      </c>
    </row>
    <row r="131" spans="1:1">
      <c r="A131">
        <v>40862</v>
      </c>
    </row>
    <row r="132" spans="1:1">
      <c r="A132">
        <v>40902</v>
      </c>
    </row>
    <row r="133" spans="1:1">
      <c r="A133">
        <v>40909</v>
      </c>
    </row>
    <row r="134" spans="1:1">
      <c r="A134">
        <v>40959</v>
      </c>
    </row>
    <row r="135" spans="1:1">
      <c r="A135">
        <v>40960</v>
      </c>
    </row>
    <row r="136" spans="1:1">
      <c r="A136">
        <v>41005</v>
      </c>
    </row>
    <row r="137" spans="1:1">
      <c r="A137">
        <v>41020</v>
      </c>
    </row>
    <row r="138" spans="1:1">
      <c r="A138">
        <v>41030</v>
      </c>
    </row>
    <row r="139" spans="1:1">
      <c r="A139">
        <v>41067</v>
      </c>
    </row>
    <row r="140" spans="1:1">
      <c r="A140">
        <v>41159</v>
      </c>
    </row>
    <row r="141" spans="1:1">
      <c r="A141">
        <v>41194</v>
      </c>
    </row>
    <row r="142" spans="1:1">
      <c r="A142">
        <v>41215</v>
      </c>
    </row>
    <row r="143" spans="1:1">
      <c r="A143">
        <v>41228</v>
      </c>
    </row>
    <row r="144" spans="1:1">
      <c r="A144">
        <v>41268</v>
      </c>
    </row>
    <row r="145" spans="1:1">
      <c r="A145">
        <v>41275</v>
      </c>
    </row>
    <row r="146" spans="1:1">
      <c r="A146">
        <v>41316</v>
      </c>
    </row>
    <row r="147" spans="1:1">
      <c r="A147">
        <v>41317</v>
      </c>
    </row>
    <row r="148" spans="1:1">
      <c r="A148">
        <v>41362</v>
      </c>
    </row>
    <row r="149" spans="1:1">
      <c r="A149">
        <v>41385</v>
      </c>
    </row>
    <row r="150" spans="1:1">
      <c r="A150">
        <v>41395</v>
      </c>
    </row>
    <row r="151" spans="1:1">
      <c r="A151">
        <v>41424</v>
      </c>
    </row>
    <row r="152" spans="1:1">
      <c r="A152">
        <v>41524</v>
      </c>
    </row>
    <row r="153" spans="1:1">
      <c r="A153">
        <v>41559</v>
      </c>
    </row>
    <row r="154" spans="1:1">
      <c r="A154">
        <v>41580</v>
      </c>
    </row>
    <row r="155" spans="1:1">
      <c r="A155">
        <v>41593</v>
      </c>
    </row>
    <row r="156" spans="1:1">
      <c r="A156">
        <v>41633</v>
      </c>
    </row>
    <row r="157" spans="1:1">
      <c r="A157">
        <v>41640</v>
      </c>
    </row>
    <row r="158" spans="1:1">
      <c r="A158">
        <v>41701</v>
      </c>
    </row>
    <row r="159" spans="1:1">
      <c r="A159">
        <v>41702</v>
      </c>
    </row>
    <row r="160" spans="1:1">
      <c r="A160">
        <v>41747</v>
      </c>
    </row>
    <row r="161" spans="1:1">
      <c r="A161">
        <v>41750</v>
      </c>
    </row>
    <row r="162" spans="1:1">
      <c r="A162">
        <v>41760</v>
      </c>
    </row>
    <row r="163" spans="1:1">
      <c r="A163">
        <v>41809</v>
      </c>
    </row>
    <row r="164" spans="1:1">
      <c r="A164">
        <v>41889</v>
      </c>
    </row>
    <row r="165" spans="1:1">
      <c r="A165">
        <v>41924</v>
      </c>
    </row>
    <row r="166" spans="1:1">
      <c r="A166">
        <v>41945</v>
      </c>
    </row>
    <row r="167" spans="1:1">
      <c r="A167">
        <v>41958</v>
      </c>
    </row>
    <row r="168" spans="1:1">
      <c r="A168">
        <v>41998</v>
      </c>
    </row>
    <row r="169" spans="1:1">
      <c r="A169">
        <v>42005</v>
      </c>
    </row>
    <row r="170" spans="1:1">
      <c r="A170">
        <v>42051</v>
      </c>
    </row>
    <row r="171" spans="1:1">
      <c r="A171">
        <v>42052</v>
      </c>
    </row>
    <row r="172" spans="1:1">
      <c r="A172">
        <v>42097</v>
      </c>
    </row>
    <row r="173" spans="1:1">
      <c r="A173">
        <v>42115</v>
      </c>
    </row>
    <row r="174" spans="1:1">
      <c r="A174">
        <v>42125</v>
      </c>
    </row>
    <row r="175" spans="1:1">
      <c r="A175">
        <v>42159</v>
      </c>
    </row>
    <row r="176" spans="1:1">
      <c r="A176">
        <v>42254</v>
      </c>
    </row>
    <row r="177" spans="1:1">
      <c r="A177">
        <v>42289</v>
      </c>
    </row>
    <row r="178" spans="1:1">
      <c r="A178">
        <v>42310</v>
      </c>
    </row>
    <row r="179" spans="1:1">
      <c r="A179">
        <v>42323</v>
      </c>
    </row>
    <row r="180" spans="1:1">
      <c r="A180">
        <v>42363</v>
      </c>
    </row>
    <row r="181" spans="1:1">
      <c r="A181">
        <v>42370</v>
      </c>
    </row>
    <row r="182" spans="1:1">
      <c r="A182">
        <v>42408</v>
      </c>
    </row>
    <row r="183" spans="1:1">
      <c r="A183">
        <v>42409</v>
      </c>
    </row>
    <row r="184" spans="1:1">
      <c r="A184">
        <v>42454</v>
      </c>
    </row>
    <row r="185" spans="1:1">
      <c r="A185">
        <v>42481</v>
      </c>
    </row>
    <row r="186" spans="1:1">
      <c r="A186">
        <v>42491</v>
      </c>
    </row>
    <row r="187" spans="1:1">
      <c r="A187">
        <v>42516</v>
      </c>
    </row>
    <row r="188" spans="1:1">
      <c r="A188">
        <v>42620</v>
      </c>
    </row>
    <row r="189" spans="1:1">
      <c r="A189">
        <v>42655</v>
      </c>
    </row>
    <row r="190" spans="1:1">
      <c r="A190">
        <v>42676</v>
      </c>
    </row>
    <row r="191" spans="1:1">
      <c r="A191">
        <v>42689</v>
      </c>
    </row>
    <row r="192" spans="1:1">
      <c r="A192">
        <v>42729</v>
      </c>
    </row>
    <row r="193" spans="1:1">
      <c r="A193">
        <v>42736</v>
      </c>
    </row>
    <row r="194" spans="1:1">
      <c r="A194">
        <v>42793</v>
      </c>
    </row>
    <row r="195" spans="1:1">
      <c r="A195">
        <v>42794</v>
      </c>
    </row>
    <row r="196" spans="1:1">
      <c r="A196">
        <v>42839</v>
      </c>
    </row>
    <row r="197" spans="1:1">
      <c r="A197">
        <v>42846</v>
      </c>
    </row>
    <row r="198" spans="1:1">
      <c r="A198">
        <v>42856</v>
      </c>
    </row>
    <row r="199" spans="1:1">
      <c r="A199">
        <v>42901</v>
      </c>
    </row>
    <row r="200" spans="1:1">
      <c r="A200">
        <v>42985</v>
      </c>
    </row>
    <row r="201" spans="1:1">
      <c r="A201">
        <v>43020</v>
      </c>
    </row>
    <row r="202" spans="1:1">
      <c r="A202">
        <v>43041</v>
      </c>
    </row>
    <row r="203" spans="1:1">
      <c r="A203">
        <v>43054</v>
      </c>
    </row>
    <row r="204" spans="1:1">
      <c r="A204">
        <v>43094</v>
      </c>
    </row>
    <row r="205" spans="1:1">
      <c r="A205">
        <v>43101</v>
      </c>
    </row>
    <row r="206" spans="1:1">
      <c r="A206">
        <v>43143</v>
      </c>
    </row>
    <row r="207" spans="1:1">
      <c r="A207">
        <v>43144</v>
      </c>
    </row>
    <row r="208" spans="1:1">
      <c r="A208">
        <v>43189</v>
      </c>
    </row>
    <row r="209" spans="1:1">
      <c r="A209">
        <v>43211</v>
      </c>
    </row>
    <row r="210" spans="1:1">
      <c r="A210">
        <v>43221</v>
      </c>
    </row>
    <row r="211" spans="1:1">
      <c r="A211">
        <v>43251</v>
      </c>
    </row>
    <row r="212" spans="1:1">
      <c r="A212">
        <v>43350</v>
      </c>
    </row>
    <row r="213" spans="1:1">
      <c r="A213">
        <v>43385</v>
      </c>
    </row>
    <row r="214" spans="1:1">
      <c r="A214">
        <v>43406</v>
      </c>
    </row>
    <row r="215" spans="1:1">
      <c r="A215">
        <v>43419</v>
      </c>
    </row>
    <row r="216" spans="1:1">
      <c r="A216">
        <v>43459</v>
      </c>
    </row>
    <row r="217" spans="1:1">
      <c r="A217">
        <v>43466</v>
      </c>
    </row>
    <row r="218" spans="1:1">
      <c r="A218">
        <v>43528</v>
      </c>
    </row>
    <row r="219" spans="1:1">
      <c r="A219">
        <v>43529</v>
      </c>
    </row>
    <row r="220" spans="1:1">
      <c r="A220">
        <v>43574</v>
      </c>
    </row>
    <row r="221" spans="1:1">
      <c r="A221">
        <v>43576</v>
      </c>
    </row>
    <row r="222" spans="1:1">
      <c r="A222">
        <v>43586</v>
      </c>
    </row>
    <row r="223" spans="1:1">
      <c r="A223">
        <v>43636</v>
      </c>
    </row>
    <row r="224" spans="1:1">
      <c r="A224">
        <v>43715</v>
      </c>
    </row>
    <row r="225" spans="1:1">
      <c r="A225">
        <v>43750</v>
      </c>
    </row>
    <row r="226" spans="1:1">
      <c r="A226">
        <v>43771</v>
      </c>
    </row>
    <row r="227" spans="1:1">
      <c r="A227">
        <v>43784</v>
      </c>
    </row>
    <row r="228" spans="1:1">
      <c r="A228">
        <v>43824</v>
      </c>
    </row>
    <row r="229" spans="1:1">
      <c r="A229">
        <v>43831</v>
      </c>
    </row>
    <row r="230" spans="1:1">
      <c r="A230">
        <v>43885</v>
      </c>
    </row>
    <row r="231" spans="1:1">
      <c r="A231">
        <v>43886</v>
      </c>
    </row>
    <row r="232" spans="1:1">
      <c r="A232">
        <v>43931</v>
      </c>
    </row>
    <row r="233" spans="1:1">
      <c r="A233">
        <v>43942</v>
      </c>
    </row>
    <row r="234" spans="1:1">
      <c r="A234">
        <v>43952</v>
      </c>
    </row>
    <row r="235" spans="1:1">
      <c r="A235">
        <v>43993</v>
      </c>
    </row>
    <row r="236" spans="1:1">
      <c r="A236">
        <v>44081</v>
      </c>
    </row>
    <row r="237" spans="1:1">
      <c r="A237">
        <v>44116</v>
      </c>
    </row>
    <row r="238" spans="1:1">
      <c r="A238">
        <v>44137</v>
      </c>
    </row>
    <row r="239" spans="1:1">
      <c r="A239">
        <v>44150</v>
      </c>
    </row>
    <row r="240" spans="1:1">
      <c r="A240">
        <v>44190</v>
      </c>
    </row>
    <row r="241" spans="1:1">
      <c r="A241">
        <v>44197</v>
      </c>
    </row>
    <row r="242" spans="1:1">
      <c r="A242">
        <v>44242</v>
      </c>
    </row>
    <row r="243" spans="1:1">
      <c r="A243">
        <v>44243</v>
      </c>
    </row>
    <row r="244" spans="1:1">
      <c r="A244">
        <v>44288</v>
      </c>
    </row>
    <row r="245" spans="1:1">
      <c r="A245">
        <v>44307</v>
      </c>
    </row>
    <row r="246" spans="1:1">
      <c r="A246">
        <v>44317</v>
      </c>
    </row>
    <row r="247" spans="1:1">
      <c r="A247">
        <v>44350</v>
      </c>
    </row>
    <row r="248" spans="1:1">
      <c r="A248">
        <v>44446</v>
      </c>
    </row>
    <row r="249" spans="1:1">
      <c r="A249">
        <v>44481</v>
      </c>
    </row>
    <row r="250" spans="1:1">
      <c r="A250">
        <v>44502</v>
      </c>
    </row>
    <row r="251" spans="1:1">
      <c r="A251">
        <v>44515</v>
      </c>
    </row>
    <row r="252" spans="1:1">
      <c r="A252">
        <v>44555</v>
      </c>
    </row>
    <row r="253" spans="1:1">
      <c r="A253">
        <v>44562</v>
      </c>
    </row>
    <row r="254" spans="1:1">
      <c r="A254">
        <v>44620</v>
      </c>
    </row>
    <row r="255" spans="1:1">
      <c r="A255">
        <v>44621</v>
      </c>
    </row>
    <row r="256" spans="1:1">
      <c r="A256">
        <v>44666</v>
      </c>
    </row>
    <row r="257" spans="1:1">
      <c r="A257">
        <v>44672</v>
      </c>
    </row>
    <row r="258" spans="1:1">
      <c r="A258">
        <v>44682</v>
      </c>
    </row>
    <row r="259" spans="1:1">
      <c r="A259">
        <v>44728</v>
      </c>
    </row>
    <row r="260" spans="1:1">
      <c r="A260">
        <v>44811</v>
      </c>
    </row>
    <row r="261" spans="1:1">
      <c r="A261">
        <v>44846</v>
      </c>
    </row>
    <row r="262" spans="1:1">
      <c r="A262">
        <v>44867</v>
      </c>
    </row>
    <row r="263" spans="1:1">
      <c r="A263">
        <v>44880</v>
      </c>
    </row>
    <row r="264" spans="1:1">
      <c r="A264">
        <v>44920</v>
      </c>
    </row>
    <row r="265" spans="1:1">
      <c r="A265">
        <v>44927</v>
      </c>
    </row>
    <row r="266" spans="1:1">
      <c r="A266">
        <v>44977</v>
      </c>
    </row>
    <row r="267" spans="1:1">
      <c r="A267">
        <v>44978</v>
      </c>
    </row>
    <row r="268" spans="1:1">
      <c r="A268">
        <v>45023</v>
      </c>
    </row>
    <row r="269" spans="1:1">
      <c r="A269">
        <v>45037</v>
      </c>
    </row>
    <row r="270" spans="1:1">
      <c r="A270">
        <v>45047</v>
      </c>
    </row>
    <row r="271" spans="1:1">
      <c r="A271">
        <v>45085</v>
      </c>
    </row>
    <row r="272" spans="1:1">
      <c r="A272">
        <v>45176</v>
      </c>
    </row>
    <row r="273" spans="1:1">
      <c r="A273">
        <v>45211</v>
      </c>
    </row>
    <row r="274" spans="1:1">
      <c r="A274">
        <v>45232</v>
      </c>
    </row>
    <row r="275" spans="1:1">
      <c r="A275">
        <v>45245</v>
      </c>
    </row>
    <row r="276" spans="1:1">
      <c r="A276">
        <v>45285</v>
      </c>
    </row>
    <row r="277" spans="1:1">
      <c r="A277">
        <v>45292</v>
      </c>
    </row>
    <row r="278" spans="1:1">
      <c r="A278">
        <v>45334</v>
      </c>
    </row>
    <row r="279" spans="1:1">
      <c r="A279">
        <v>45335</v>
      </c>
    </row>
    <row r="280" spans="1:1">
      <c r="A280">
        <v>45380</v>
      </c>
    </row>
    <row r="281" spans="1:1">
      <c r="A281">
        <v>45403</v>
      </c>
    </row>
    <row r="282" spans="1:1">
      <c r="A282">
        <v>45413</v>
      </c>
    </row>
    <row r="283" spans="1:1">
      <c r="A283">
        <v>45442</v>
      </c>
    </row>
    <row r="284" spans="1:1">
      <c r="A284">
        <v>45542</v>
      </c>
    </row>
    <row r="285" spans="1:1">
      <c r="A285">
        <v>45577</v>
      </c>
    </row>
    <row r="286" spans="1:1">
      <c r="A286">
        <v>45598</v>
      </c>
    </row>
    <row r="287" spans="1:1">
      <c r="A287">
        <v>45611</v>
      </c>
    </row>
    <row r="288" spans="1:1">
      <c r="A288">
        <v>45651</v>
      </c>
    </row>
    <row r="289" spans="1:1">
      <c r="A289">
        <v>45658</v>
      </c>
    </row>
    <row r="290" spans="1:1">
      <c r="A290">
        <v>45719</v>
      </c>
    </row>
    <row r="291" spans="1:1">
      <c r="A291">
        <v>45720</v>
      </c>
    </row>
    <row r="292" spans="1:1">
      <c r="A292">
        <v>45765</v>
      </c>
    </row>
    <row r="293" spans="1:1">
      <c r="A293">
        <v>45768</v>
      </c>
    </row>
    <row r="294" spans="1:1">
      <c r="A294">
        <v>45778</v>
      </c>
    </row>
    <row r="295" spans="1:1">
      <c r="A295">
        <v>45827</v>
      </c>
    </row>
    <row r="296" spans="1:1">
      <c r="A296">
        <v>45907</v>
      </c>
    </row>
    <row r="297" spans="1:1">
      <c r="A297">
        <v>45942</v>
      </c>
    </row>
    <row r="298" spans="1:1">
      <c r="A298">
        <v>45963</v>
      </c>
    </row>
    <row r="299" spans="1:1">
      <c r="A299">
        <v>45976</v>
      </c>
    </row>
    <row r="300" spans="1:1">
      <c r="A300">
        <v>46016</v>
      </c>
    </row>
    <row r="301" spans="1:1">
      <c r="A301">
        <v>46023</v>
      </c>
    </row>
    <row r="302" spans="1:1">
      <c r="A302">
        <v>46069</v>
      </c>
    </row>
    <row r="303" spans="1:1">
      <c r="A303">
        <v>46070</v>
      </c>
    </row>
    <row r="304" spans="1:1">
      <c r="A304">
        <v>46115</v>
      </c>
    </row>
    <row r="305" spans="1:1">
      <c r="A305">
        <v>46133</v>
      </c>
    </row>
    <row r="306" spans="1:1">
      <c r="A306">
        <v>46143</v>
      </c>
    </row>
    <row r="307" spans="1:1">
      <c r="A307">
        <v>46177</v>
      </c>
    </row>
    <row r="308" spans="1:1">
      <c r="A308">
        <v>46272</v>
      </c>
    </row>
    <row r="309" spans="1:1">
      <c r="A309">
        <v>46307</v>
      </c>
    </row>
    <row r="310" spans="1:1">
      <c r="A310">
        <v>46328</v>
      </c>
    </row>
    <row r="311" spans="1:1">
      <c r="A311">
        <v>46341</v>
      </c>
    </row>
    <row r="312" spans="1:1">
      <c r="A312">
        <v>46381</v>
      </c>
    </row>
    <row r="313" spans="1:1">
      <c r="A313">
        <v>46388</v>
      </c>
    </row>
    <row r="314" spans="1:1">
      <c r="A314">
        <v>46426</v>
      </c>
    </row>
    <row r="315" spans="1:1">
      <c r="A315">
        <v>46427</v>
      </c>
    </row>
    <row r="316" spans="1:1">
      <c r="A316">
        <v>46472</v>
      </c>
    </row>
    <row r="317" spans="1:1">
      <c r="A317">
        <v>46498</v>
      </c>
    </row>
    <row r="318" spans="1:1">
      <c r="A318">
        <v>46508</v>
      </c>
    </row>
    <row r="319" spans="1:1">
      <c r="A319">
        <v>46534</v>
      </c>
    </row>
    <row r="320" spans="1:1">
      <c r="A320">
        <v>46637</v>
      </c>
    </row>
    <row r="321" spans="1:1">
      <c r="A321">
        <v>46672</v>
      </c>
    </row>
    <row r="322" spans="1:1">
      <c r="A322">
        <v>46693</v>
      </c>
    </row>
    <row r="323" spans="1:1">
      <c r="A323">
        <v>46706</v>
      </c>
    </row>
    <row r="324" spans="1:1">
      <c r="A324">
        <v>46746</v>
      </c>
    </row>
    <row r="325" spans="1:1">
      <c r="A325">
        <v>46753</v>
      </c>
    </row>
    <row r="326" spans="1:1">
      <c r="A326">
        <v>46811</v>
      </c>
    </row>
    <row r="327" spans="1:1">
      <c r="A327">
        <v>46812</v>
      </c>
    </row>
    <row r="328" spans="1:1">
      <c r="A328">
        <v>46857</v>
      </c>
    </row>
    <row r="329" spans="1:1">
      <c r="A329">
        <v>46864</v>
      </c>
    </row>
    <row r="330" spans="1:1">
      <c r="A330">
        <v>46874</v>
      </c>
    </row>
    <row r="331" spans="1:1">
      <c r="A331">
        <v>46919</v>
      </c>
    </row>
    <row r="332" spans="1:1">
      <c r="A332">
        <v>47003</v>
      </c>
    </row>
    <row r="333" spans="1:1">
      <c r="A333">
        <v>47038</v>
      </c>
    </row>
    <row r="334" spans="1:1">
      <c r="A334">
        <v>47059</v>
      </c>
    </row>
    <row r="335" spans="1:1">
      <c r="A335">
        <v>47072</v>
      </c>
    </row>
    <row r="336" spans="1:1">
      <c r="A336">
        <v>47112</v>
      </c>
    </row>
    <row r="337" spans="1:1">
      <c r="A337">
        <v>47119</v>
      </c>
    </row>
    <row r="338" spans="1:1">
      <c r="A338">
        <v>47161</v>
      </c>
    </row>
    <row r="339" spans="1:1">
      <c r="A339">
        <v>47162</v>
      </c>
    </row>
    <row r="340" spans="1:1">
      <c r="A340">
        <v>47207</v>
      </c>
    </row>
    <row r="341" spans="1:1">
      <c r="A341">
        <v>47229</v>
      </c>
    </row>
    <row r="342" spans="1:1">
      <c r="A342">
        <v>47239</v>
      </c>
    </row>
    <row r="343" spans="1:1">
      <c r="A343">
        <v>47269</v>
      </c>
    </row>
    <row r="344" spans="1:1">
      <c r="A344">
        <v>47368</v>
      </c>
    </row>
    <row r="345" spans="1:1">
      <c r="A345">
        <v>47403</v>
      </c>
    </row>
    <row r="346" spans="1:1">
      <c r="A346">
        <v>47424</v>
      </c>
    </row>
    <row r="347" spans="1:1">
      <c r="A347">
        <v>47437</v>
      </c>
    </row>
    <row r="348" spans="1:1">
      <c r="A348">
        <v>47477</v>
      </c>
    </row>
    <row r="349" spans="1:1">
      <c r="A349">
        <v>47484</v>
      </c>
    </row>
    <row r="350" spans="1:1">
      <c r="A350">
        <v>47546</v>
      </c>
    </row>
    <row r="351" spans="1:1">
      <c r="A351">
        <v>47547</v>
      </c>
    </row>
    <row r="352" spans="1:1">
      <c r="A352">
        <v>47592</v>
      </c>
    </row>
    <row r="353" spans="1:1">
      <c r="A353">
        <v>47594</v>
      </c>
    </row>
    <row r="354" spans="1:1">
      <c r="A354">
        <v>47604</v>
      </c>
    </row>
    <row r="355" spans="1:1">
      <c r="A355">
        <v>47654</v>
      </c>
    </row>
    <row r="356" spans="1:1">
      <c r="A356">
        <v>47733</v>
      </c>
    </row>
    <row r="357" spans="1:1">
      <c r="A357">
        <v>47768</v>
      </c>
    </row>
    <row r="358" spans="1:1">
      <c r="A358">
        <v>47789</v>
      </c>
    </row>
    <row r="359" spans="1:1">
      <c r="A359">
        <v>47802</v>
      </c>
    </row>
    <row r="360" spans="1:1">
      <c r="A360">
        <v>47842</v>
      </c>
    </row>
    <row r="361" spans="1:1">
      <c r="A361">
        <v>47849</v>
      </c>
    </row>
    <row r="362" spans="1:1">
      <c r="A362">
        <v>47903</v>
      </c>
    </row>
    <row r="363" spans="1:1">
      <c r="A363">
        <v>47904</v>
      </c>
    </row>
    <row r="364" spans="1:1">
      <c r="A364">
        <v>47949</v>
      </c>
    </row>
    <row r="365" spans="1:1">
      <c r="A365">
        <v>47959</v>
      </c>
    </row>
    <row r="366" spans="1:1">
      <c r="A366">
        <v>47969</v>
      </c>
    </row>
    <row r="367" spans="1:1">
      <c r="A367">
        <v>48011</v>
      </c>
    </row>
    <row r="368" spans="1:1">
      <c r="A368">
        <v>48098</v>
      </c>
    </row>
    <row r="369" spans="1:1">
      <c r="A369">
        <v>48133</v>
      </c>
    </row>
    <row r="370" spans="1:1">
      <c r="A370">
        <v>48154</v>
      </c>
    </row>
    <row r="371" spans="1:1">
      <c r="A371">
        <v>48167</v>
      </c>
    </row>
    <row r="372" spans="1:1">
      <c r="A372">
        <v>48207</v>
      </c>
    </row>
    <row r="373" spans="1:1">
      <c r="A373">
        <v>48214</v>
      </c>
    </row>
    <row r="374" spans="1:1">
      <c r="A374">
        <v>48253</v>
      </c>
    </row>
    <row r="375" spans="1:1">
      <c r="A375">
        <v>48254</v>
      </c>
    </row>
    <row r="376" spans="1:1">
      <c r="A376">
        <v>48299</v>
      </c>
    </row>
    <row r="377" spans="1:1">
      <c r="A377">
        <v>48325</v>
      </c>
    </row>
    <row r="378" spans="1:1">
      <c r="A378">
        <v>48335</v>
      </c>
    </row>
    <row r="379" spans="1:1">
      <c r="A379">
        <v>48361</v>
      </c>
    </row>
    <row r="380" spans="1:1">
      <c r="A380">
        <v>48464</v>
      </c>
    </row>
    <row r="381" spans="1:1">
      <c r="A381">
        <v>48499</v>
      </c>
    </row>
    <row r="382" spans="1:1">
      <c r="A382">
        <v>48520</v>
      </c>
    </row>
    <row r="383" spans="1:1">
      <c r="A383">
        <v>48533</v>
      </c>
    </row>
    <row r="384" spans="1:1">
      <c r="A384">
        <v>48573</v>
      </c>
    </row>
    <row r="385" spans="1:1">
      <c r="A385">
        <v>48580</v>
      </c>
    </row>
    <row r="386" spans="1:1">
      <c r="A386">
        <v>48638</v>
      </c>
    </row>
    <row r="387" spans="1:1">
      <c r="A387">
        <v>48639</v>
      </c>
    </row>
    <row r="388" spans="1:1">
      <c r="A388">
        <v>48684</v>
      </c>
    </row>
    <row r="389" spans="1:1">
      <c r="A389">
        <v>48690</v>
      </c>
    </row>
    <row r="390" spans="1:1">
      <c r="A390">
        <v>48700</v>
      </c>
    </row>
    <row r="391" spans="1:1">
      <c r="A391">
        <v>48746</v>
      </c>
    </row>
    <row r="392" spans="1:1">
      <c r="A392">
        <v>48829</v>
      </c>
    </row>
    <row r="393" spans="1:1">
      <c r="A393">
        <v>48864</v>
      </c>
    </row>
    <row r="394" spans="1:1">
      <c r="A394">
        <v>48885</v>
      </c>
    </row>
    <row r="395" spans="1:1">
      <c r="A395">
        <v>48898</v>
      </c>
    </row>
    <row r="396" spans="1:1">
      <c r="A396">
        <v>48938</v>
      </c>
    </row>
    <row r="397" spans="1:1">
      <c r="A397">
        <v>48945</v>
      </c>
    </row>
    <row r="398" spans="1:1">
      <c r="A398">
        <v>48995</v>
      </c>
    </row>
    <row r="399" spans="1:1">
      <c r="A399">
        <v>48996</v>
      </c>
    </row>
    <row r="400" spans="1:1">
      <c r="A400">
        <v>49041</v>
      </c>
    </row>
    <row r="401" spans="1:1">
      <c r="A401">
        <v>49055</v>
      </c>
    </row>
    <row r="402" spans="1:1">
      <c r="A402">
        <v>49065</v>
      </c>
    </row>
    <row r="403" spans="1:1">
      <c r="A403">
        <v>49103</v>
      </c>
    </row>
    <row r="404" spans="1:1">
      <c r="A404">
        <v>49194</v>
      </c>
    </row>
    <row r="405" spans="1:1">
      <c r="A405">
        <v>49229</v>
      </c>
    </row>
    <row r="406" spans="1:1">
      <c r="A406">
        <v>49250</v>
      </c>
    </row>
    <row r="407" spans="1:1">
      <c r="A407">
        <v>49263</v>
      </c>
    </row>
    <row r="408" spans="1:1">
      <c r="A408">
        <v>49303</v>
      </c>
    </row>
    <row r="409" spans="1:1">
      <c r="A409">
        <v>49310</v>
      </c>
    </row>
    <row r="410" spans="1:1">
      <c r="A410">
        <v>49345</v>
      </c>
    </row>
    <row r="411" spans="1:1">
      <c r="A411">
        <v>49346</v>
      </c>
    </row>
    <row r="412" spans="1:1">
      <c r="A412">
        <v>49391</v>
      </c>
    </row>
    <row r="413" spans="1:1">
      <c r="A413">
        <v>49420</v>
      </c>
    </row>
    <row r="414" spans="1:1">
      <c r="A414">
        <v>49430</v>
      </c>
    </row>
    <row r="415" spans="1:1">
      <c r="A415">
        <v>49453</v>
      </c>
    </row>
    <row r="416" spans="1:1">
      <c r="A416">
        <v>49559</v>
      </c>
    </row>
    <row r="417" spans="1:1">
      <c r="A417">
        <v>49594</v>
      </c>
    </row>
    <row r="418" spans="1:1">
      <c r="A418">
        <v>49615</v>
      </c>
    </row>
    <row r="419" spans="1:1">
      <c r="A419">
        <v>49628</v>
      </c>
    </row>
    <row r="420" spans="1:1">
      <c r="A420">
        <v>49668</v>
      </c>
    </row>
    <row r="421" spans="1:1">
      <c r="A421">
        <v>49675</v>
      </c>
    </row>
    <row r="422" spans="1:1">
      <c r="A422">
        <v>49730</v>
      </c>
    </row>
    <row r="423" spans="1:1">
      <c r="A423">
        <v>49731</v>
      </c>
    </row>
    <row r="424" spans="1:1">
      <c r="A424">
        <v>49776</v>
      </c>
    </row>
    <row r="425" spans="1:1">
      <c r="A425">
        <v>49786</v>
      </c>
    </row>
    <row r="426" spans="1:1">
      <c r="A426">
        <v>49796</v>
      </c>
    </row>
    <row r="427" spans="1:1">
      <c r="A427">
        <v>49838</v>
      </c>
    </row>
    <row r="428" spans="1:1">
      <c r="A428">
        <v>49925</v>
      </c>
    </row>
    <row r="429" spans="1:1">
      <c r="A429">
        <v>49960</v>
      </c>
    </row>
    <row r="430" spans="1:1">
      <c r="A430">
        <v>49981</v>
      </c>
    </row>
    <row r="431" spans="1:1">
      <c r="A431">
        <v>49994</v>
      </c>
    </row>
    <row r="432" spans="1:1">
      <c r="A432">
        <v>50034</v>
      </c>
    </row>
    <row r="433" spans="1:1">
      <c r="A433">
        <v>50041</v>
      </c>
    </row>
    <row r="434" spans="1:1">
      <c r="A434">
        <v>50087</v>
      </c>
    </row>
    <row r="435" spans="1:1">
      <c r="A435">
        <v>50088</v>
      </c>
    </row>
    <row r="436" spans="1:1">
      <c r="A436">
        <v>50133</v>
      </c>
    </row>
    <row r="437" spans="1:1">
      <c r="A437">
        <v>50151</v>
      </c>
    </row>
    <row r="438" spans="1:1">
      <c r="A438">
        <v>50161</v>
      </c>
    </row>
    <row r="439" spans="1:1">
      <c r="A439">
        <v>50195</v>
      </c>
    </row>
    <row r="440" spans="1:1">
      <c r="A440">
        <v>50290</v>
      </c>
    </row>
    <row r="441" spans="1:1">
      <c r="A441">
        <v>50325</v>
      </c>
    </row>
    <row r="442" spans="1:1">
      <c r="A442">
        <v>50346</v>
      </c>
    </row>
    <row r="443" spans="1:1">
      <c r="A443">
        <v>50359</v>
      </c>
    </row>
    <row r="444" spans="1:1">
      <c r="A444">
        <v>50399</v>
      </c>
    </row>
    <row r="445" spans="1:1">
      <c r="A445">
        <v>50406</v>
      </c>
    </row>
    <row r="446" spans="1:1">
      <c r="A446">
        <v>50472</v>
      </c>
    </row>
    <row r="447" spans="1:1">
      <c r="A447">
        <v>50473</v>
      </c>
    </row>
    <row r="448" spans="1:1">
      <c r="A448">
        <v>50516</v>
      </c>
    </row>
    <row r="449" spans="1:1">
      <c r="A449">
        <v>50518</v>
      </c>
    </row>
    <row r="450" spans="1:1">
      <c r="A450">
        <v>50526</v>
      </c>
    </row>
    <row r="451" spans="1:1">
      <c r="A451">
        <v>50580</v>
      </c>
    </row>
    <row r="452" spans="1:1">
      <c r="A452">
        <v>50655</v>
      </c>
    </row>
    <row r="453" spans="1:1">
      <c r="A453">
        <v>50690</v>
      </c>
    </row>
    <row r="454" spans="1:1">
      <c r="A454">
        <v>50711</v>
      </c>
    </row>
    <row r="455" spans="1:1">
      <c r="A455">
        <v>50724</v>
      </c>
    </row>
    <row r="456" spans="1:1">
      <c r="A456">
        <v>50764</v>
      </c>
    </row>
    <row r="457" spans="1:1">
      <c r="A457">
        <v>50771</v>
      </c>
    </row>
    <row r="458" spans="1:1">
      <c r="A458">
        <v>50822</v>
      </c>
    </row>
    <row r="459" spans="1:1">
      <c r="A459">
        <v>50823</v>
      </c>
    </row>
    <row r="460" spans="1:1">
      <c r="A460">
        <v>50868</v>
      </c>
    </row>
    <row r="461" spans="1:1">
      <c r="A461">
        <v>50881</v>
      </c>
    </row>
    <row r="462" spans="1:1">
      <c r="A462">
        <v>50891</v>
      </c>
    </row>
    <row r="463" spans="1:1">
      <c r="A463">
        <v>50930</v>
      </c>
    </row>
    <row r="464" spans="1:1">
      <c r="A464">
        <v>51020</v>
      </c>
    </row>
    <row r="465" spans="1:1">
      <c r="A465">
        <v>51055</v>
      </c>
    </row>
    <row r="466" spans="1:1">
      <c r="A466">
        <v>51076</v>
      </c>
    </row>
    <row r="467" spans="1:1">
      <c r="A467">
        <v>51089</v>
      </c>
    </row>
    <row r="468" spans="1:1">
      <c r="A468">
        <v>51129</v>
      </c>
    </row>
    <row r="469" spans="1:1">
      <c r="A469">
        <v>51136</v>
      </c>
    </row>
    <row r="470" spans="1:1">
      <c r="A470">
        <v>51179</v>
      </c>
    </row>
    <row r="471" spans="1:1">
      <c r="A471">
        <v>51180</v>
      </c>
    </row>
    <row r="472" spans="1:1">
      <c r="A472">
        <v>51225</v>
      </c>
    </row>
    <row r="473" spans="1:1">
      <c r="A473">
        <v>51247</v>
      </c>
    </row>
    <row r="474" spans="1:1">
      <c r="A474">
        <v>51257</v>
      </c>
    </row>
    <row r="475" spans="1:1">
      <c r="A475">
        <v>51287</v>
      </c>
    </row>
    <row r="476" spans="1:1">
      <c r="A476">
        <v>51386</v>
      </c>
    </row>
    <row r="477" spans="1:1">
      <c r="A477">
        <v>51421</v>
      </c>
    </row>
    <row r="478" spans="1:1">
      <c r="A478">
        <v>51442</v>
      </c>
    </row>
    <row r="479" spans="1:1">
      <c r="A479">
        <v>51455</v>
      </c>
    </row>
    <row r="480" spans="1:1">
      <c r="A480">
        <v>51495</v>
      </c>
    </row>
    <row r="481" spans="1:1">
      <c r="A481">
        <v>51502</v>
      </c>
    </row>
    <row r="482" spans="1:1">
      <c r="A482">
        <v>51564</v>
      </c>
    </row>
    <row r="483" spans="1:1">
      <c r="A483">
        <v>51565</v>
      </c>
    </row>
    <row r="484" spans="1:1">
      <c r="A484">
        <v>51610</v>
      </c>
    </row>
    <row r="485" spans="1:1">
      <c r="A485">
        <v>51612</v>
      </c>
    </row>
    <row r="486" spans="1:1">
      <c r="A486">
        <v>51622</v>
      </c>
    </row>
    <row r="487" spans="1:1">
      <c r="A487">
        <v>51672</v>
      </c>
    </row>
    <row r="488" spans="1:1">
      <c r="A488">
        <v>51751</v>
      </c>
    </row>
    <row r="489" spans="1:1">
      <c r="A489">
        <v>51786</v>
      </c>
    </row>
    <row r="490" spans="1:1">
      <c r="A490">
        <v>51807</v>
      </c>
    </row>
    <row r="491" spans="1:1">
      <c r="A491">
        <v>51820</v>
      </c>
    </row>
    <row r="492" spans="1:1">
      <c r="A492">
        <v>51860</v>
      </c>
    </row>
    <row r="493" spans="1:1">
      <c r="A493">
        <v>51867</v>
      </c>
    </row>
    <row r="494" spans="1:1">
      <c r="A494">
        <v>51914</v>
      </c>
    </row>
    <row r="495" spans="1:1">
      <c r="A495">
        <v>51915</v>
      </c>
    </row>
    <row r="496" spans="1:1">
      <c r="A496">
        <v>51960</v>
      </c>
    </row>
    <row r="497" spans="1:1">
      <c r="A497">
        <v>51977</v>
      </c>
    </row>
    <row r="498" spans="1:1">
      <c r="A498">
        <v>51987</v>
      </c>
    </row>
    <row r="499" spans="1:1">
      <c r="A499">
        <v>52022</v>
      </c>
    </row>
    <row r="500" spans="1:1">
      <c r="A500">
        <v>52116</v>
      </c>
    </row>
    <row r="501" spans="1:1">
      <c r="A501">
        <v>52151</v>
      </c>
    </row>
    <row r="502" spans="1:1">
      <c r="A502">
        <v>52172</v>
      </c>
    </row>
    <row r="503" spans="1:1">
      <c r="A503">
        <v>52185</v>
      </c>
    </row>
    <row r="504" spans="1:1">
      <c r="A504">
        <v>52225</v>
      </c>
    </row>
    <row r="505" spans="1:1">
      <c r="A505">
        <v>52232</v>
      </c>
    </row>
    <row r="506" spans="1:1">
      <c r="A506">
        <v>52271</v>
      </c>
    </row>
    <row r="507" spans="1:1">
      <c r="A507">
        <v>52272</v>
      </c>
    </row>
    <row r="508" spans="1:1">
      <c r="A508">
        <v>52317</v>
      </c>
    </row>
    <row r="509" spans="1:1">
      <c r="A509">
        <v>52342</v>
      </c>
    </row>
    <row r="510" spans="1:1">
      <c r="A510">
        <v>52352</v>
      </c>
    </row>
    <row r="511" spans="1:1">
      <c r="A511">
        <v>52379</v>
      </c>
    </row>
    <row r="512" spans="1:1">
      <c r="A512">
        <v>52481</v>
      </c>
    </row>
    <row r="513" spans="1:1">
      <c r="A513">
        <v>52516</v>
      </c>
    </row>
    <row r="514" spans="1:1">
      <c r="A514">
        <v>52537</v>
      </c>
    </row>
    <row r="515" spans="1:1">
      <c r="A515">
        <v>52550</v>
      </c>
    </row>
    <row r="516" spans="1:1">
      <c r="A516">
        <v>52590</v>
      </c>
    </row>
    <row r="517" spans="1:1">
      <c r="A517">
        <v>52597</v>
      </c>
    </row>
    <row r="518" spans="1:1">
      <c r="A518">
        <v>52656</v>
      </c>
    </row>
    <row r="519" spans="1:1">
      <c r="A519">
        <v>52657</v>
      </c>
    </row>
    <row r="520" spans="1:1">
      <c r="A520">
        <v>52702</v>
      </c>
    </row>
    <row r="521" spans="1:1">
      <c r="A521">
        <v>52708</v>
      </c>
    </row>
    <row r="522" spans="1:1">
      <c r="A522">
        <v>52718</v>
      </c>
    </row>
    <row r="523" spans="1:1">
      <c r="A523">
        <v>52764</v>
      </c>
    </row>
    <row r="524" spans="1:1">
      <c r="A524">
        <v>52847</v>
      </c>
    </row>
    <row r="525" spans="1:1">
      <c r="A525">
        <v>52882</v>
      </c>
    </row>
    <row r="526" spans="1:1">
      <c r="A526">
        <v>52903</v>
      </c>
    </row>
    <row r="527" spans="1:1">
      <c r="A527">
        <v>52916</v>
      </c>
    </row>
    <row r="528" spans="1:1">
      <c r="A528">
        <v>52956</v>
      </c>
    </row>
    <row r="529" spans="1:1">
      <c r="A529">
        <v>52963</v>
      </c>
    </row>
    <row r="530" spans="1:1">
      <c r="A530">
        <v>53013</v>
      </c>
    </row>
    <row r="531" spans="1:1">
      <c r="A531">
        <v>53014</v>
      </c>
    </row>
    <row r="532" spans="1:1">
      <c r="A532">
        <v>53059</v>
      </c>
    </row>
    <row r="533" spans="1:1">
      <c r="A533">
        <v>53073</v>
      </c>
    </row>
    <row r="534" spans="1:1">
      <c r="A534">
        <v>53083</v>
      </c>
    </row>
    <row r="535" spans="1:1">
      <c r="A535">
        <v>53121</v>
      </c>
    </row>
    <row r="536" spans="1:1">
      <c r="A536">
        <v>53212</v>
      </c>
    </row>
    <row r="537" spans="1:1">
      <c r="A537">
        <v>53247</v>
      </c>
    </row>
    <row r="538" spans="1:1">
      <c r="A538">
        <v>53268</v>
      </c>
    </row>
    <row r="539" spans="1:1">
      <c r="A539">
        <v>53281</v>
      </c>
    </row>
    <row r="540" spans="1:1">
      <c r="A540">
        <v>53321</v>
      </c>
    </row>
    <row r="541" spans="1:1">
      <c r="A541">
        <v>53328</v>
      </c>
    </row>
    <row r="542" spans="1:1">
      <c r="A542">
        <v>53363</v>
      </c>
    </row>
    <row r="543" spans="1:1">
      <c r="A543">
        <v>53364</v>
      </c>
    </row>
    <row r="544" spans="1:1">
      <c r="A544">
        <v>53409</v>
      </c>
    </row>
    <row r="545" spans="1:1">
      <c r="A545">
        <v>53438</v>
      </c>
    </row>
    <row r="546" spans="1:1">
      <c r="A546">
        <v>53448</v>
      </c>
    </row>
    <row r="547" spans="1:1">
      <c r="A547">
        <v>53471</v>
      </c>
    </row>
    <row r="548" spans="1:1">
      <c r="A548">
        <v>53577</v>
      </c>
    </row>
    <row r="549" spans="1:1">
      <c r="A549">
        <v>53612</v>
      </c>
    </row>
    <row r="550" spans="1:1">
      <c r="A550">
        <v>53633</v>
      </c>
    </row>
    <row r="551" spans="1:1">
      <c r="A551">
        <v>53646</v>
      </c>
    </row>
    <row r="552" spans="1:1">
      <c r="A552">
        <v>53686</v>
      </c>
    </row>
    <row r="553" spans="1:1">
      <c r="A553">
        <v>53693</v>
      </c>
    </row>
    <row r="554" spans="1:1">
      <c r="A554">
        <v>53748</v>
      </c>
    </row>
    <row r="555" spans="1:1">
      <c r="A555">
        <v>53749</v>
      </c>
    </row>
    <row r="556" spans="1:1">
      <c r="A556">
        <v>53794</v>
      </c>
    </row>
    <row r="557" spans="1:1">
      <c r="A557">
        <v>53803</v>
      </c>
    </row>
    <row r="558" spans="1:1">
      <c r="A558">
        <v>53813</v>
      </c>
    </row>
    <row r="559" spans="1:1">
      <c r="A559">
        <v>53856</v>
      </c>
    </row>
    <row r="560" spans="1:1">
      <c r="A560">
        <v>53942</v>
      </c>
    </row>
    <row r="561" spans="1:1">
      <c r="A561">
        <v>53977</v>
      </c>
    </row>
    <row r="562" spans="1:1">
      <c r="A562">
        <v>53998</v>
      </c>
    </row>
    <row r="563" spans="1:1">
      <c r="A563">
        <v>54011</v>
      </c>
    </row>
    <row r="564" spans="1:1">
      <c r="A564">
        <v>54051</v>
      </c>
    </row>
    <row r="565" spans="1:1">
      <c r="A565">
        <v>54058</v>
      </c>
    </row>
    <row r="566" spans="1:1">
      <c r="A566">
        <v>54105</v>
      </c>
    </row>
    <row r="567" spans="1:1">
      <c r="A567">
        <v>54106</v>
      </c>
    </row>
    <row r="568" spans="1:1">
      <c r="A568">
        <v>54151</v>
      </c>
    </row>
    <row r="569" spans="1:1">
      <c r="A569">
        <v>54169</v>
      </c>
    </row>
    <row r="570" spans="1:1">
      <c r="A570">
        <v>54179</v>
      </c>
    </row>
    <row r="571" spans="1:1">
      <c r="A571">
        <v>54213</v>
      </c>
    </row>
    <row r="572" spans="1:1">
      <c r="A572">
        <v>54308</v>
      </c>
    </row>
    <row r="573" spans="1:1">
      <c r="A573">
        <v>54343</v>
      </c>
    </row>
    <row r="574" spans="1:1">
      <c r="A574">
        <v>54364</v>
      </c>
    </row>
    <row r="575" spans="1:1">
      <c r="A575">
        <v>54377</v>
      </c>
    </row>
    <row r="576" spans="1:1">
      <c r="A576">
        <v>54417</v>
      </c>
    </row>
    <row r="577" spans="1:1">
      <c r="A577">
        <v>54424</v>
      </c>
    </row>
    <row r="578" spans="1:1">
      <c r="A578">
        <v>54483</v>
      </c>
    </row>
    <row r="579" spans="1:1">
      <c r="A579">
        <v>54484</v>
      </c>
    </row>
    <row r="580" spans="1:1">
      <c r="A580">
        <v>54529</v>
      </c>
    </row>
    <row r="581" spans="1:1">
      <c r="A581">
        <v>54534</v>
      </c>
    </row>
    <row r="582" spans="1:1">
      <c r="A582">
        <v>54544</v>
      </c>
    </row>
    <row r="583" spans="1:1">
      <c r="A583">
        <v>54591</v>
      </c>
    </row>
    <row r="584" spans="1:1">
      <c r="A584">
        <v>54673</v>
      </c>
    </row>
    <row r="585" spans="1:1">
      <c r="A585">
        <v>54708</v>
      </c>
    </row>
    <row r="586" spans="1:1">
      <c r="A586">
        <v>54729</v>
      </c>
    </row>
    <row r="587" spans="1:1">
      <c r="A587">
        <v>54742</v>
      </c>
    </row>
    <row r="588" spans="1:1">
      <c r="A588">
        <v>54782</v>
      </c>
    </row>
    <row r="589" spans="1:1">
      <c r="A589">
        <v>54789</v>
      </c>
    </row>
    <row r="590" spans="1:1">
      <c r="A590">
        <v>54840</v>
      </c>
    </row>
    <row r="591" spans="1:1">
      <c r="A591">
        <v>54841</v>
      </c>
    </row>
    <row r="592" spans="1:1">
      <c r="A592">
        <v>54886</v>
      </c>
    </row>
    <row r="593" spans="1:1">
      <c r="A593">
        <v>54899</v>
      </c>
    </row>
    <row r="594" spans="1:1">
      <c r="A594">
        <v>54909</v>
      </c>
    </row>
    <row r="595" spans="1:1">
      <c r="A595">
        <v>54948</v>
      </c>
    </row>
    <row r="596" spans="1:1">
      <c r="A596">
        <v>55038</v>
      </c>
    </row>
    <row r="597" spans="1:1">
      <c r="A597">
        <v>55073</v>
      </c>
    </row>
    <row r="598" spans="1:1">
      <c r="A598">
        <v>55094</v>
      </c>
    </row>
    <row r="599" spans="1:1">
      <c r="A599">
        <v>55107</v>
      </c>
    </row>
    <row r="600" spans="1:1">
      <c r="A600">
        <v>55147</v>
      </c>
    </row>
    <row r="601" spans="1:1">
      <c r="A601">
        <v>55154</v>
      </c>
    </row>
    <row r="602" spans="1:1">
      <c r="A602">
        <v>55197</v>
      </c>
    </row>
    <row r="603" spans="1:1">
      <c r="A603">
        <v>55198</v>
      </c>
    </row>
    <row r="604" spans="1:1">
      <c r="A604">
        <v>55243</v>
      </c>
    </row>
    <row r="605" spans="1:1">
      <c r="A605">
        <v>55264</v>
      </c>
    </row>
    <row r="606" spans="1:1">
      <c r="A606">
        <v>55274</v>
      </c>
    </row>
    <row r="607" spans="1:1">
      <c r="A607">
        <v>55305</v>
      </c>
    </row>
    <row r="608" spans="1:1">
      <c r="A608">
        <v>55403</v>
      </c>
    </row>
    <row r="609" spans="1:1">
      <c r="A609">
        <v>55438</v>
      </c>
    </row>
    <row r="610" spans="1:1">
      <c r="A610">
        <v>55459</v>
      </c>
    </row>
    <row r="611" spans="1:1">
      <c r="A611">
        <v>55472</v>
      </c>
    </row>
    <row r="612" spans="1:1">
      <c r="A612">
        <v>55512</v>
      </c>
    </row>
    <row r="613" spans="1:1">
      <c r="A613">
        <v>55519</v>
      </c>
    </row>
    <row r="614" spans="1:1">
      <c r="A614">
        <v>55582</v>
      </c>
    </row>
    <row r="615" spans="1:1">
      <c r="A615">
        <v>55583</v>
      </c>
    </row>
    <row r="616" spans="1:1">
      <c r="A616">
        <v>55628</v>
      </c>
    </row>
    <row r="617" spans="1:1">
      <c r="A617">
        <v>55630</v>
      </c>
    </row>
    <row r="618" spans="1:1">
      <c r="A618">
        <v>55640</v>
      </c>
    </row>
    <row r="619" spans="1:1">
      <c r="A619">
        <v>55690</v>
      </c>
    </row>
    <row r="620" spans="1:1">
      <c r="A620">
        <v>55769</v>
      </c>
    </row>
    <row r="621" spans="1:1">
      <c r="A621">
        <v>55804</v>
      </c>
    </row>
    <row r="622" spans="1:1">
      <c r="A622">
        <v>55825</v>
      </c>
    </row>
    <row r="623" spans="1:1">
      <c r="A623">
        <v>55838</v>
      </c>
    </row>
    <row r="624" spans="1:1">
      <c r="A624">
        <v>55878</v>
      </c>
    </row>
    <row r="625" spans="1:1">
      <c r="A625">
        <v>55885</v>
      </c>
    </row>
    <row r="626" spans="1:1">
      <c r="A626">
        <v>55932</v>
      </c>
    </row>
    <row r="627" spans="1:1">
      <c r="A627">
        <v>55933</v>
      </c>
    </row>
    <row r="628" spans="1:1">
      <c r="A628">
        <v>55978</v>
      </c>
    </row>
    <row r="629" spans="1:1">
      <c r="A629">
        <v>55995</v>
      </c>
    </row>
    <row r="630" spans="1:1">
      <c r="A630">
        <v>56005</v>
      </c>
    </row>
    <row r="631" spans="1:1">
      <c r="A631">
        <v>56040</v>
      </c>
    </row>
    <row r="632" spans="1:1">
      <c r="A632">
        <v>56134</v>
      </c>
    </row>
    <row r="633" spans="1:1">
      <c r="A633">
        <v>56169</v>
      </c>
    </row>
    <row r="634" spans="1:1">
      <c r="A634">
        <v>56190</v>
      </c>
    </row>
    <row r="635" spans="1:1">
      <c r="A635">
        <v>56203</v>
      </c>
    </row>
    <row r="636" spans="1:1">
      <c r="A636">
        <v>56243</v>
      </c>
    </row>
    <row r="637" spans="1:1">
      <c r="A637">
        <v>56250</v>
      </c>
    </row>
    <row r="638" spans="1:1">
      <c r="A638">
        <v>56289</v>
      </c>
    </row>
    <row r="639" spans="1:1">
      <c r="A639">
        <v>56290</v>
      </c>
    </row>
    <row r="640" spans="1:1">
      <c r="A640">
        <v>56335</v>
      </c>
    </row>
    <row r="641" spans="1:1">
      <c r="A641">
        <v>56360</v>
      </c>
    </row>
    <row r="642" spans="1:1">
      <c r="A642">
        <v>56370</v>
      </c>
    </row>
    <row r="643" spans="1:1">
      <c r="A643">
        <v>56397</v>
      </c>
    </row>
    <row r="644" spans="1:1">
      <c r="A644">
        <v>56499</v>
      </c>
    </row>
    <row r="645" spans="1:1">
      <c r="A645">
        <v>56534</v>
      </c>
    </row>
    <row r="646" spans="1:1">
      <c r="A646">
        <v>56555</v>
      </c>
    </row>
    <row r="647" spans="1:1">
      <c r="A647">
        <v>56568</v>
      </c>
    </row>
    <row r="648" spans="1:1">
      <c r="A648">
        <v>56608</v>
      </c>
    </row>
    <row r="649" spans="1:1">
      <c r="A649">
        <v>56615</v>
      </c>
    </row>
    <row r="650" spans="1:1">
      <c r="A650">
        <v>56674</v>
      </c>
    </row>
    <row r="651" spans="1:1">
      <c r="A651">
        <v>56675</v>
      </c>
    </row>
    <row r="652" spans="1:1">
      <c r="A652">
        <v>56720</v>
      </c>
    </row>
    <row r="653" spans="1:1">
      <c r="A653">
        <v>56725</v>
      </c>
    </row>
    <row r="654" spans="1:1">
      <c r="A654">
        <v>56735</v>
      </c>
    </row>
    <row r="655" spans="1:1">
      <c r="A655">
        <v>56782</v>
      </c>
    </row>
    <row r="656" spans="1:1">
      <c r="A656">
        <v>56864</v>
      </c>
    </row>
    <row r="657" spans="1:1">
      <c r="A657">
        <v>56899</v>
      </c>
    </row>
    <row r="658" spans="1:1">
      <c r="A658">
        <v>56920</v>
      </c>
    </row>
    <row r="659" spans="1:1">
      <c r="A659">
        <v>56933</v>
      </c>
    </row>
    <row r="660" spans="1:1">
      <c r="A660">
        <v>56973</v>
      </c>
    </row>
    <row r="661" spans="1:1">
      <c r="A661">
        <v>56980</v>
      </c>
    </row>
    <row r="662" spans="1:1">
      <c r="A662">
        <v>57024</v>
      </c>
    </row>
    <row r="663" spans="1:1">
      <c r="A663">
        <v>57025</v>
      </c>
    </row>
    <row r="664" spans="1:1">
      <c r="A664">
        <v>57070</v>
      </c>
    </row>
    <row r="665" spans="1:1">
      <c r="A665">
        <v>57091</v>
      </c>
    </row>
    <row r="666" spans="1:1">
      <c r="A666">
        <v>57101</v>
      </c>
    </row>
    <row r="667" spans="1:1">
      <c r="A667">
        <v>57132</v>
      </c>
    </row>
    <row r="668" spans="1:1">
      <c r="A668">
        <v>57230</v>
      </c>
    </row>
    <row r="669" spans="1:1">
      <c r="A669">
        <v>57265</v>
      </c>
    </row>
    <row r="670" spans="1:1">
      <c r="A670">
        <v>57286</v>
      </c>
    </row>
    <row r="671" spans="1:1">
      <c r="A671">
        <v>57299</v>
      </c>
    </row>
    <row r="672" spans="1:1">
      <c r="A672">
        <v>57339</v>
      </c>
    </row>
    <row r="673" spans="1:1">
      <c r="A673">
        <v>57346</v>
      </c>
    </row>
    <row r="674" spans="1:1">
      <c r="A674">
        <v>57409</v>
      </c>
    </row>
    <row r="675" spans="1:1">
      <c r="A675">
        <v>57410</v>
      </c>
    </row>
    <row r="676" spans="1:1">
      <c r="A676">
        <v>57455</v>
      </c>
    </row>
    <row r="677" spans="1:1">
      <c r="A677">
        <v>57456</v>
      </c>
    </row>
    <row r="678" spans="1:1">
      <c r="A678">
        <v>57466</v>
      </c>
    </row>
    <row r="679" spans="1:1">
      <c r="A679">
        <v>57517</v>
      </c>
    </row>
    <row r="680" spans="1:1">
      <c r="A680">
        <v>57595</v>
      </c>
    </row>
    <row r="681" spans="1:1">
      <c r="A681">
        <v>57630</v>
      </c>
    </row>
    <row r="682" spans="1:1">
      <c r="A682">
        <v>57651</v>
      </c>
    </row>
    <row r="683" spans="1:1">
      <c r="A683">
        <v>57664</v>
      </c>
    </row>
    <row r="684" spans="1:1">
      <c r="A684">
        <v>57704</v>
      </c>
    </row>
    <row r="685" spans="1:1">
      <c r="A685">
        <v>57711</v>
      </c>
    </row>
    <row r="686" spans="1:1">
      <c r="A686">
        <v>57766</v>
      </c>
    </row>
    <row r="687" spans="1:1">
      <c r="A687">
        <v>57767</v>
      </c>
    </row>
    <row r="688" spans="1:1">
      <c r="A688">
        <v>57812</v>
      </c>
    </row>
    <row r="689" spans="1:1">
      <c r="A689">
        <v>57821</v>
      </c>
    </row>
    <row r="690" spans="1:1">
      <c r="A690">
        <v>57831</v>
      </c>
    </row>
    <row r="691" spans="1:1">
      <c r="A691">
        <v>57874</v>
      </c>
    </row>
    <row r="692" spans="1:1">
      <c r="A692">
        <v>57960</v>
      </c>
    </row>
    <row r="693" spans="1:1">
      <c r="A693">
        <v>57995</v>
      </c>
    </row>
    <row r="694" spans="1:1">
      <c r="A694">
        <v>58016</v>
      </c>
    </row>
    <row r="695" spans="1:1">
      <c r="A695">
        <v>58029</v>
      </c>
    </row>
    <row r="696" spans="1:1">
      <c r="A696">
        <v>58069</v>
      </c>
    </row>
    <row r="697" spans="1:1">
      <c r="A697">
        <v>58076</v>
      </c>
    </row>
    <row r="698" spans="1:1">
      <c r="A698">
        <v>58116</v>
      </c>
    </row>
    <row r="699" spans="1:1">
      <c r="A699">
        <v>58117</v>
      </c>
    </row>
    <row r="700" spans="1:1">
      <c r="A700">
        <v>58162</v>
      </c>
    </row>
    <row r="701" spans="1:1">
      <c r="A701">
        <v>58186</v>
      </c>
    </row>
    <row r="702" spans="1:1">
      <c r="A702">
        <v>58196</v>
      </c>
    </row>
    <row r="703" spans="1:1">
      <c r="A703">
        <v>58224</v>
      </c>
    </row>
    <row r="704" spans="1:1">
      <c r="A704">
        <v>58325</v>
      </c>
    </row>
    <row r="705" spans="1:1">
      <c r="A705">
        <v>58360</v>
      </c>
    </row>
    <row r="706" spans="1:1">
      <c r="A706">
        <v>58381</v>
      </c>
    </row>
    <row r="707" spans="1:1">
      <c r="A707">
        <v>58394</v>
      </c>
    </row>
    <row r="708" spans="1:1">
      <c r="A708">
        <v>58434</v>
      </c>
    </row>
    <row r="709" spans="1:1">
      <c r="A709">
        <v>58441</v>
      </c>
    </row>
    <row r="710" spans="1:1">
      <c r="A710">
        <v>58501</v>
      </c>
    </row>
    <row r="711" spans="1:1">
      <c r="A711">
        <v>58502</v>
      </c>
    </row>
    <row r="712" spans="1:1">
      <c r="A712">
        <v>58547</v>
      </c>
    </row>
    <row r="713" spans="1:1">
      <c r="A713">
        <v>58552</v>
      </c>
    </row>
    <row r="714" spans="1:1">
      <c r="A714">
        <v>58562</v>
      </c>
    </row>
    <row r="715" spans="1:1">
      <c r="A715">
        <v>58609</v>
      </c>
    </row>
    <row r="716" spans="1:1">
      <c r="A716">
        <v>58691</v>
      </c>
    </row>
    <row r="717" spans="1:1">
      <c r="A717">
        <v>58726</v>
      </c>
    </row>
    <row r="718" spans="1:1">
      <c r="A718">
        <v>58747</v>
      </c>
    </row>
    <row r="719" spans="1:1">
      <c r="A719">
        <v>58760</v>
      </c>
    </row>
    <row r="720" spans="1:1">
      <c r="A720">
        <v>58800</v>
      </c>
    </row>
    <row r="721" spans="1:1">
      <c r="A721">
        <v>58807</v>
      </c>
    </row>
    <row r="722" spans="1:1">
      <c r="A722">
        <v>58858</v>
      </c>
    </row>
    <row r="723" spans="1:1">
      <c r="A723">
        <v>58859</v>
      </c>
    </row>
    <row r="724" spans="1:1">
      <c r="A724">
        <v>58904</v>
      </c>
    </row>
    <row r="725" spans="1:1">
      <c r="A725">
        <v>58917</v>
      </c>
    </row>
    <row r="726" spans="1:1">
      <c r="A726">
        <v>58927</v>
      </c>
    </row>
    <row r="727" spans="1:1">
      <c r="A727">
        <v>58966</v>
      </c>
    </row>
    <row r="728" spans="1:1">
      <c r="A728">
        <v>59056</v>
      </c>
    </row>
    <row r="729" spans="1:1">
      <c r="A729">
        <v>59091</v>
      </c>
    </row>
    <row r="730" spans="1:1">
      <c r="A730">
        <v>59112</v>
      </c>
    </row>
    <row r="731" spans="1:1">
      <c r="A731">
        <v>59125</v>
      </c>
    </row>
    <row r="732" spans="1:1">
      <c r="A732">
        <v>59165</v>
      </c>
    </row>
    <row r="733" spans="1:1">
      <c r="A733">
        <v>59172</v>
      </c>
    </row>
    <row r="734" spans="1:1">
      <c r="A734">
        <v>59208</v>
      </c>
    </row>
    <row r="735" spans="1:1">
      <c r="A735">
        <v>59209</v>
      </c>
    </row>
    <row r="736" spans="1:1">
      <c r="A736">
        <v>59254</v>
      </c>
    </row>
    <row r="737" spans="1:1">
      <c r="A737">
        <v>59282</v>
      </c>
    </row>
    <row r="738" spans="1:1">
      <c r="A738">
        <v>59292</v>
      </c>
    </row>
    <row r="739" spans="1:1">
      <c r="A739">
        <v>59316</v>
      </c>
    </row>
    <row r="740" spans="1:1">
      <c r="A740">
        <v>59421</v>
      </c>
    </row>
    <row r="741" spans="1:1">
      <c r="A741">
        <v>59456</v>
      </c>
    </row>
    <row r="742" spans="1:1">
      <c r="A742">
        <v>59477</v>
      </c>
    </row>
    <row r="743" spans="1:1">
      <c r="A743">
        <v>59490</v>
      </c>
    </row>
    <row r="744" spans="1:1">
      <c r="A744">
        <v>59530</v>
      </c>
    </row>
    <row r="745" spans="1:1">
      <c r="A745">
        <v>59537</v>
      </c>
    </row>
    <row r="746" spans="1:1">
      <c r="A746">
        <v>59593</v>
      </c>
    </row>
    <row r="747" spans="1:1">
      <c r="A747">
        <v>59594</v>
      </c>
    </row>
    <row r="748" spans="1:1">
      <c r="A748">
        <v>59639</v>
      </c>
    </row>
    <row r="749" spans="1:1">
      <c r="A749">
        <v>59647</v>
      </c>
    </row>
    <row r="750" spans="1:1">
      <c r="A750">
        <v>59657</v>
      </c>
    </row>
    <row r="751" spans="1:1">
      <c r="A751">
        <v>59701</v>
      </c>
    </row>
    <row r="752" spans="1:1">
      <c r="A752">
        <v>59786</v>
      </c>
    </row>
    <row r="753" spans="1:1">
      <c r="A753">
        <v>59821</v>
      </c>
    </row>
    <row r="754" spans="1:1">
      <c r="A754">
        <v>59842</v>
      </c>
    </row>
    <row r="755" spans="1:1">
      <c r="A755">
        <v>59855</v>
      </c>
    </row>
    <row r="756" spans="1:1">
      <c r="A756">
        <v>59895</v>
      </c>
    </row>
    <row r="757" spans="1:1">
      <c r="A757">
        <v>59902</v>
      </c>
    </row>
    <row r="758" spans="1:1">
      <c r="A758">
        <v>59950</v>
      </c>
    </row>
    <row r="759" spans="1:1">
      <c r="A759">
        <v>59951</v>
      </c>
    </row>
    <row r="760" spans="1:1">
      <c r="A760">
        <v>59996</v>
      </c>
    </row>
    <row r="761" spans="1:1">
      <c r="A761">
        <v>60013</v>
      </c>
    </row>
    <row r="762" spans="1:1">
      <c r="A762">
        <v>60023</v>
      </c>
    </row>
    <row r="763" spans="1:1">
      <c r="A763">
        <v>60058</v>
      </c>
    </row>
    <row r="764" spans="1:1">
      <c r="A764">
        <v>60152</v>
      </c>
    </row>
    <row r="765" spans="1:1">
      <c r="A765">
        <v>60187</v>
      </c>
    </row>
    <row r="766" spans="1:1">
      <c r="A766">
        <v>60208</v>
      </c>
    </row>
    <row r="767" spans="1:1">
      <c r="A767">
        <v>60221</v>
      </c>
    </row>
    <row r="768" spans="1:1">
      <c r="A768">
        <v>60261</v>
      </c>
    </row>
    <row r="769" spans="1:1">
      <c r="A769">
        <v>60268</v>
      </c>
    </row>
    <row r="770" spans="1:1">
      <c r="A770">
        <v>60307</v>
      </c>
    </row>
    <row r="771" spans="1:1">
      <c r="A771">
        <v>60308</v>
      </c>
    </row>
    <row r="772" spans="1:1">
      <c r="A772">
        <v>60353</v>
      </c>
    </row>
    <row r="773" spans="1:1">
      <c r="A773">
        <v>60378</v>
      </c>
    </row>
    <row r="774" spans="1:1">
      <c r="A774">
        <v>60388</v>
      </c>
    </row>
    <row r="775" spans="1:1">
      <c r="A775">
        <v>60415</v>
      </c>
    </row>
    <row r="776" spans="1:1">
      <c r="A776">
        <v>60517</v>
      </c>
    </row>
    <row r="777" spans="1:1">
      <c r="A777">
        <v>60552</v>
      </c>
    </row>
    <row r="778" spans="1:1">
      <c r="A778">
        <v>60573</v>
      </c>
    </row>
    <row r="779" spans="1:1">
      <c r="A779">
        <v>60586</v>
      </c>
    </row>
    <row r="780" spans="1:1">
      <c r="A780">
        <v>60626</v>
      </c>
    </row>
    <row r="781" spans="1:1">
      <c r="A781">
        <v>60633</v>
      </c>
    </row>
    <row r="782" spans="1:1">
      <c r="A782">
        <v>60685</v>
      </c>
    </row>
    <row r="783" spans="1:1">
      <c r="A783">
        <v>60686</v>
      </c>
    </row>
    <row r="784" spans="1:1">
      <c r="A784">
        <v>60731</v>
      </c>
    </row>
    <row r="785" spans="1:1">
      <c r="A785">
        <v>60743</v>
      </c>
    </row>
    <row r="786" spans="1:1">
      <c r="A786">
        <v>60753</v>
      </c>
    </row>
    <row r="787" spans="1:1">
      <c r="A787">
        <v>60793</v>
      </c>
    </row>
    <row r="788" spans="1:1">
      <c r="A788">
        <v>60882</v>
      </c>
    </row>
    <row r="789" spans="1:1">
      <c r="A789">
        <v>60917</v>
      </c>
    </row>
    <row r="790" spans="1:1">
      <c r="A790">
        <v>60938</v>
      </c>
    </row>
    <row r="791" spans="1:1">
      <c r="A791">
        <v>60951</v>
      </c>
    </row>
    <row r="792" spans="1:1">
      <c r="A792">
        <v>60991</v>
      </c>
    </row>
    <row r="793" spans="1:1">
      <c r="A793">
        <v>60998</v>
      </c>
    </row>
    <row r="794" spans="1:1">
      <c r="A794">
        <v>61042</v>
      </c>
    </row>
    <row r="795" spans="1:1">
      <c r="A795">
        <v>61043</v>
      </c>
    </row>
    <row r="796" spans="1:1">
      <c r="A796">
        <v>61088</v>
      </c>
    </row>
    <row r="797" spans="1:1">
      <c r="A797">
        <v>61108</v>
      </c>
    </row>
    <row r="798" spans="1:1">
      <c r="A798">
        <v>61118</v>
      </c>
    </row>
    <row r="799" spans="1:1">
      <c r="A799">
        <v>61150</v>
      </c>
    </row>
    <row r="800" spans="1:1">
      <c r="A800">
        <v>61247</v>
      </c>
    </row>
    <row r="801" spans="1:1">
      <c r="A801">
        <v>61282</v>
      </c>
    </row>
    <row r="802" spans="1:1">
      <c r="A802">
        <v>61303</v>
      </c>
    </row>
    <row r="803" spans="1:1">
      <c r="A803">
        <v>61316</v>
      </c>
    </row>
    <row r="804" spans="1:1">
      <c r="A804">
        <v>61356</v>
      </c>
    </row>
    <row r="805" spans="1:1">
      <c r="A805">
        <v>61363</v>
      </c>
    </row>
    <row r="806" spans="1:1">
      <c r="A806">
        <v>61427</v>
      </c>
    </row>
    <row r="807" spans="1:1">
      <c r="A807">
        <v>61428</v>
      </c>
    </row>
    <row r="808" spans="1:1">
      <c r="A808">
        <v>61473</v>
      </c>
    </row>
    <row r="809" spans="1:1">
      <c r="A809">
        <v>61474</v>
      </c>
    </row>
    <row r="810" spans="1:1">
      <c r="A810">
        <v>61484</v>
      </c>
    </row>
    <row r="811" spans="1:1">
      <c r="A811">
        <v>61535</v>
      </c>
    </row>
    <row r="812" spans="1:1">
      <c r="A812">
        <v>61613</v>
      </c>
    </row>
    <row r="813" spans="1:1">
      <c r="A813">
        <v>61648</v>
      </c>
    </row>
    <row r="814" spans="1:1">
      <c r="A814">
        <v>61669</v>
      </c>
    </row>
    <row r="815" spans="1:1">
      <c r="A815">
        <v>61682</v>
      </c>
    </row>
    <row r="816" spans="1:1">
      <c r="A816">
        <v>61722</v>
      </c>
    </row>
    <row r="817" spans="1:1">
      <c r="A817">
        <v>61729</v>
      </c>
    </row>
    <row r="818" spans="1:1">
      <c r="A818">
        <v>61784</v>
      </c>
    </row>
    <row r="819" spans="1:1">
      <c r="A819">
        <v>61785</v>
      </c>
    </row>
    <row r="820" spans="1:1">
      <c r="A820">
        <v>61830</v>
      </c>
    </row>
    <row r="821" spans="1:1">
      <c r="A821">
        <v>61839</v>
      </c>
    </row>
    <row r="822" spans="1:1">
      <c r="A822">
        <v>61849</v>
      </c>
    </row>
    <row r="823" spans="1:1">
      <c r="A823">
        <v>61892</v>
      </c>
    </row>
    <row r="824" spans="1:1">
      <c r="A824">
        <v>61978</v>
      </c>
    </row>
    <row r="825" spans="1:1">
      <c r="A825">
        <v>62013</v>
      </c>
    </row>
    <row r="826" spans="1:1">
      <c r="A826">
        <v>62034</v>
      </c>
    </row>
    <row r="827" spans="1:1">
      <c r="A827">
        <v>62047</v>
      </c>
    </row>
    <row r="828" spans="1:1">
      <c r="A828">
        <v>62087</v>
      </c>
    </row>
    <row r="829" spans="1:1">
      <c r="A829">
        <v>62094</v>
      </c>
    </row>
    <row r="830" spans="1:1">
      <c r="A830">
        <v>62134</v>
      </c>
    </row>
    <row r="831" spans="1:1">
      <c r="A831">
        <v>62135</v>
      </c>
    </row>
    <row r="832" spans="1:1">
      <c r="A832">
        <v>62180</v>
      </c>
    </row>
    <row r="833" spans="1:1">
      <c r="A833">
        <v>62204</v>
      </c>
    </row>
    <row r="834" spans="1:1">
      <c r="A834">
        <v>62214</v>
      </c>
    </row>
    <row r="835" spans="1:1">
      <c r="A835">
        <v>62242</v>
      </c>
    </row>
    <row r="836" spans="1:1">
      <c r="A836">
        <v>62343</v>
      </c>
    </row>
    <row r="837" spans="1:1">
      <c r="A837">
        <v>62378</v>
      </c>
    </row>
    <row r="838" spans="1:1">
      <c r="A838">
        <v>62399</v>
      </c>
    </row>
    <row r="839" spans="1:1">
      <c r="A839">
        <v>62412</v>
      </c>
    </row>
    <row r="840" spans="1:1">
      <c r="A840">
        <v>62452</v>
      </c>
    </row>
    <row r="841" spans="1:1">
      <c r="A841">
        <v>62459</v>
      </c>
    </row>
    <row r="842" spans="1:1">
      <c r="A842">
        <v>62519</v>
      </c>
    </row>
    <row r="843" spans="1:1">
      <c r="A843">
        <v>62520</v>
      </c>
    </row>
    <row r="844" spans="1:1">
      <c r="A844">
        <v>62565</v>
      </c>
    </row>
    <row r="845" spans="1:1">
      <c r="A845">
        <v>62569</v>
      </c>
    </row>
    <row r="846" spans="1:1">
      <c r="A846">
        <v>62579</v>
      </c>
    </row>
    <row r="847" spans="1:1">
      <c r="A847">
        <v>62627</v>
      </c>
    </row>
    <row r="848" spans="1:1">
      <c r="A848">
        <v>62708</v>
      </c>
    </row>
    <row r="849" spans="1:1">
      <c r="A849">
        <v>62743</v>
      </c>
    </row>
    <row r="850" spans="1:1">
      <c r="A850">
        <v>62764</v>
      </c>
    </row>
    <row r="851" spans="1:1">
      <c r="A851">
        <v>62777</v>
      </c>
    </row>
    <row r="852" spans="1:1">
      <c r="A852">
        <v>62817</v>
      </c>
    </row>
    <row r="853" spans="1:1">
      <c r="A853">
        <v>62824</v>
      </c>
    </row>
    <row r="854" spans="1:1">
      <c r="A854">
        <v>62876</v>
      </c>
    </row>
    <row r="855" spans="1:1">
      <c r="A855">
        <v>62877</v>
      </c>
    </row>
    <row r="856" spans="1:1">
      <c r="A856">
        <v>62922</v>
      </c>
    </row>
    <row r="857" spans="1:1">
      <c r="A857">
        <v>62935</v>
      </c>
    </row>
    <row r="858" spans="1:1">
      <c r="A858">
        <v>62945</v>
      </c>
    </row>
    <row r="859" spans="1:1">
      <c r="A859">
        <v>62984</v>
      </c>
    </row>
    <row r="860" spans="1:1">
      <c r="A860">
        <v>63074</v>
      </c>
    </row>
    <row r="861" spans="1:1">
      <c r="A861">
        <v>63109</v>
      </c>
    </row>
    <row r="862" spans="1:1">
      <c r="A862">
        <v>63130</v>
      </c>
    </row>
    <row r="863" spans="1:1">
      <c r="A863">
        <v>63143</v>
      </c>
    </row>
    <row r="864" spans="1:1">
      <c r="A864">
        <v>63183</v>
      </c>
    </row>
    <row r="865" spans="1:1">
      <c r="A865">
        <v>63190</v>
      </c>
    </row>
    <row r="866" spans="1:1">
      <c r="A866">
        <v>63226</v>
      </c>
    </row>
    <row r="867" spans="1:1">
      <c r="A867">
        <v>63227</v>
      </c>
    </row>
    <row r="868" spans="1:1">
      <c r="A868">
        <v>63272</v>
      </c>
    </row>
    <row r="869" spans="1:1">
      <c r="A869">
        <v>63300</v>
      </c>
    </row>
    <row r="870" spans="1:1">
      <c r="A870">
        <v>63310</v>
      </c>
    </row>
    <row r="871" spans="1:1">
      <c r="A871">
        <v>63334</v>
      </c>
    </row>
    <row r="872" spans="1:1">
      <c r="A872">
        <v>63439</v>
      </c>
    </row>
    <row r="873" spans="1:1">
      <c r="A873">
        <v>63474</v>
      </c>
    </row>
    <row r="874" spans="1:1">
      <c r="A874">
        <v>63495</v>
      </c>
    </row>
    <row r="875" spans="1:1">
      <c r="A875">
        <v>63508</v>
      </c>
    </row>
    <row r="876" spans="1:1">
      <c r="A876">
        <v>63548</v>
      </c>
    </row>
    <row r="877" spans="1:1">
      <c r="A877">
        <v>63555</v>
      </c>
    </row>
    <row r="878" spans="1:1">
      <c r="A878">
        <v>63611</v>
      </c>
    </row>
    <row r="879" spans="1:1">
      <c r="A879">
        <v>63612</v>
      </c>
    </row>
    <row r="880" spans="1:1">
      <c r="A880">
        <v>63657</v>
      </c>
    </row>
    <row r="881" spans="1:1">
      <c r="A881">
        <v>63665</v>
      </c>
    </row>
    <row r="882" spans="1:1">
      <c r="A882">
        <v>63675</v>
      </c>
    </row>
    <row r="883" spans="1:1">
      <c r="A883">
        <v>63719</v>
      </c>
    </row>
    <row r="884" spans="1:1">
      <c r="A884">
        <v>63804</v>
      </c>
    </row>
    <row r="885" spans="1:1">
      <c r="A885">
        <v>63839</v>
      </c>
    </row>
    <row r="886" spans="1:1">
      <c r="A886">
        <v>63860</v>
      </c>
    </row>
    <row r="887" spans="1:1">
      <c r="A887">
        <v>63873</v>
      </c>
    </row>
    <row r="888" spans="1:1">
      <c r="A888">
        <v>63913</v>
      </c>
    </row>
    <row r="889" spans="1:1">
      <c r="A889">
        <v>63920</v>
      </c>
    </row>
    <row r="890" spans="1:1">
      <c r="A890">
        <v>63968</v>
      </c>
    </row>
    <row r="891" spans="1:1">
      <c r="A891">
        <v>63969</v>
      </c>
    </row>
    <row r="892" spans="1:1">
      <c r="A892">
        <v>64014</v>
      </c>
    </row>
    <row r="893" spans="1:1">
      <c r="A893">
        <v>64030</v>
      </c>
    </row>
    <row r="894" spans="1:1">
      <c r="A894">
        <v>64040</v>
      </c>
    </row>
    <row r="895" spans="1:1">
      <c r="A895">
        <v>64076</v>
      </c>
    </row>
    <row r="896" spans="1:1">
      <c r="A896">
        <v>64169</v>
      </c>
    </row>
    <row r="897" spans="1:1">
      <c r="A897">
        <v>64204</v>
      </c>
    </row>
    <row r="898" spans="1:1">
      <c r="A898">
        <v>64225</v>
      </c>
    </row>
    <row r="899" spans="1:1">
      <c r="A899">
        <v>64238</v>
      </c>
    </row>
    <row r="900" spans="1:1">
      <c r="A900">
        <v>64278</v>
      </c>
    </row>
    <row r="901" spans="1:1">
      <c r="A901">
        <v>64285</v>
      </c>
    </row>
    <row r="902" spans="1:1">
      <c r="A902">
        <v>64346</v>
      </c>
    </row>
    <row r="903" spans="1:1">
      <c r="A903">
        <v>64347</v>
      </c>
    </row>
    <row r="904" spans="1:1">
      <c r="A904">
        <v>64392</v>
      </c>
    </row>
    <row r="905" spans="1:1">
      <c r="A905">
        <v>64396</v>
      </c>
    </row>
    <row r="906" spans="1:1">
      <c r="A906">
        <v>64406</v>
      </c>
    </row>
    <row r="907" spans="1:1">
      <c r="A907">
        <v>64454</v>
      </c>
    </row>
    <row r="908" spans="1:1">
      <c r="A908">
        <v>64535</v>
      </c>
    </row>
    <row r="909" spans="1:1">
      <c r="A909">
        <v>64570</v>
      </c>
    </row>
    <row r="910" spans="1:1">
      <c r="A910">
        <v>64591</v>
      </c>
    </row>
    <row r="911" spans="1:1">
      <c r="A911">
        <v>64604</v>
      </c>
    </row>
    <row r="912" spans="1:1">
      <c r="A912">
        <v>64644</v>
      </c>
    </row>
    <row r="913" spans="1:1">
      <c r="A913">
        <v>64651</v>
      </c>
    </row>
    <row r="914" spans="1:1">
      <c r="A914">
        <v>64703</v>
      </c>
    </row>
    <row r="915" spans="1:1">
      <c r="A915">
        <v>64704</v>
      </c>
    </row>
    <row r="916" spans="1:1">
      <c r="A916">
        <v>64749</v>
      </c>
    </row>
    <row r="917" spans="1:1">
      <c r="A917">
        <v>64761</v>
      </c>
    </row>
    <row r="918" spans="1:1">
      <c r="A918">
        <v>64771</v>
      </c>
    </row>
    <row r="919" spans="1:1">
      <c r="A919">
        <v>64811</v>
      </c>
    </row>
    <row r="920" spans="1:1">
      <c r="A920">
        <v>64900</v>
      </c>
    </row>
    <row r="921" spans="1:1">
      <c r="A921">
        <v>64935</v>
      </c>
    </row>
    <row r="922" spans="1:1">
      <c r="A922">
        <v>64956</v>
      </c>
    </row>
    <row r="923" spans="1:1">
      <c r="A923">
        <v>64969</v>
      </c>
    </row>
    <row r="924" spans="1:1">
      <c r="A924">
        <v>65009</v>
      </c>
    </row>
    <row r="925" spans="1:1">
      <c r="A925">
        <v>65016</v>
      </c>
    </row>
    <row r="926" spans="1:1">
      <c r="A926">
        <v>65060</v>
      </c>
    </row>
    <row r="927" spans="1:1">
      <c r="A927">
        <v>65061</v>
      </c>
    </row>
    <row r="928" spans="1:1">
      <c r="A928">
        <v>65106</v>
      </c>
    </row>
    <row r="929" spans="1:1">
      <c r="A929">
        <v>65126</v>
      </c>
    </row>
    <row r="930" spans="1:1">
      <c r="A930">
        <v>65136</v>
      </c>
    </row>
    <row r="931" spans="1:1">
      <c r="A931">
        <v>65168</v>
      </c>
    </row>
    <row r="932" spans="1:1">
      <c r="A932">
        <v>65265</v>
      </c>
    </row>
    <row r="933" spans="1:1">
      <c r="A933">
        <v>65300</v>
      </c>
    </row>
    <row r="934" spans="1:1">
      <c r="A934">
        <v>65321</v>
      </c>
    </row>
    <row r="935" spans="1:1">
      <c r="A935">
        <v>65334</v>
      </c>
    </row>
    <row r="936" spans="1:1">
      <c r="A936">
        <v>65374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Dashboard</vt:lpstr>
      <vt:lpstr>Simulador</vt:lpstr>
      <vt:lpstr>TxInd_Anbima</vt:lpstr>
      <vt:lpstr>Svensson</vt:lpstr>
      <vt:lpstr>Pre_DI</vt:lpstr>
      <vt:lpstr>bonds</vt:lpstr>
      <vt:lpstr>feriados</vt:lpstr>
      <vt:lpstr>betas_implicita</vt:lpstr>
      <vt:lpstr>betas_pre</vt:lpstr>
      <vt:lpstr>betas_real_spot</vt:lpstr>
      <vt:lpstr>betas_real_ytm</vt:lpstr>
      <vt:lpstr>curve_type</vt:lpstr>
      <vt:lpstr>dus_implicita</vt:lpstr>
      <vt:lpstr>dus_pre</vt:lpstr>
      <vt:lpstr>dus_real</vt:lpstr>
      <vt:lpstr>dus_svensson</vt:lpstr>
      <vt:lpstr>feriados</vt:lpstr>
      <vt:lpstr>method</vt:lpstr>
      <vt:lpstr>pre_shocks</vt:lpstr>
      <vt:lpstr>summary_exposures</vt:lpstr>
      <vt:lpstr>svensson_implicita</vt:lpstr>
      <vt:lpstr>svensson_pre</vt:lpstr>
      <vt:lpstr>svensson_real_spot</vt:lpstr>
      <vt:lpstr>svensson_real_ytm</vt:lpstr>
      <vt:lpstr>val_date</vt:lpstr>
      <vt:lpstr>VNA</vt:lpstr>
      <vt:lpstr>yields_implicita</vt:lpstr>
      <vt:lpstr>yields_pre</vt:lpstr>
      <vt:lpstr>yields_real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Milton Rocha</dc:creator>
  <cp:lastModifiedBy>Milton Rocha</cp:lastModifiedBy>
  <dcterms:created xsi:type="dcterms:W3CDTF">2022-09-21T22:33:20Z</dcterms:created>
  <dcterms:modified xsi:type="dcterms:W3CDTF">2022-09-27T19:37:51Z</dcterms:modified>
</cp:coreProperties>
</file>